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UITS  AND  VEGETABLES(W)" sheetId="1" r:id="rId1"/>
    <sheet name="FISHERY (W)" sheetId="2" r:id="rId2"/>
    <sheet name="BUTCHERY (W)" sheetId="3" r:id="rId3"/>
    <sheet name=" DELICATTESEN (W)" sheetId="4" r:id="rId4"/>
    <sheet name="HOT FOOD" sheetId="5" r:id="rId5"/>
    <sheet name="BAKERY" sheetId="6" r:id="rId6"/>
  </sheets>
  <calcPr calcId="124519" fullCalcOnLoad="1"/>
</workbook>
</file>

<file path=xl/sharedStrings.xml><?xml version="1.0" encoding="utf-8"?>
<sst xmlns="http://schemas.openxmlformats.org/spreadsheetml/2006/main" count="12532" uniqueCount="6151">
  <si>
    <t>PRODUCT_CODE</t>
  </si>
  <si>
    <t>SU</t>
  </si>
  <si>
    <t>BARCODE</t>
  </si>
  <si>
    <t>STOCK_UNIT</t>
  </si>
  <si>
    <t>SECTION</t>
  </si>
  <si>
    <t>SU_DESC</t>
  </si>
  <si>
    <t>UNIT_COST</t>
  </si>
  <si>
    <t>OPENING_QTY</t>
  </si>
  <si>
    <t>OPENING_VAL</t>
  </si>
  <si>
    <t>NET_PURCHASE_QTY</t>
  </si>
  <si>
    <t>NET_PURCHASE_VAL</t>
  </si>
  <si>
    <t>SALES_QTY</t>
  </si>
  <si>
    <t>SALES_VAL</t>
  </si>
  <si>
    <t>WASTAGE_QTY</t>
  </si>
  <si>
    <t>WASTAGE_VAL</t>
  </si>
  <si>
    <t>SYS_QTY</t>
  </si>
  <si>
    <t>SYS_VAL</t>
  </si>
  <si>
    <t>CLOSING_QTY</t>
  </si>
  <si>
    <t>CLOSING_VAL</t>
  </si>
  <si>
    <t>UNKNWON_WASTAGE_QTY</t>
  </si>
  <si>
    <t>UNKNOWN_WASTAGE_VAL</t>
  </si>
  <si>
    <t>COST_OF_SALE</t>
  </si>
  <si>
    <t>PROFIT</t>
  </si>
  <si>
    <t>GP</t>
  </si>
  <si>
    <t>667714</t>
  </si>
  <si>
    <t>669227</t>
  </si>
  <si>
    <t>512434</t>
  </si>
  <si>
    <t>472250</t>
  </si>
  <si>
    <t>472276</t>
  </si>
  <si>
    <t>697140</t>
  </si>
  <si>
    <t>609815</t>
  </si>
  <si>
    <t>568045</t>
  </si>
  <si>
    <t>584073</t>
  </si>
  <si>
    <t>678397</t>
  </si>
  <si>
    <t>688017</t>
  </si>
  <si>
    <t>688401</t>
  </si>
  <si>
    <t>694409</t>
  </si>
  <si>
    <t>447105</t>
  </si>
  <si>
    <t>464843</t>
  </si>
  <si>
    <t>466741</t>
  </si>
  <si>
    <t>466743</t>
  </si>
  <si>
    <t>466751</t>
  </si>
  <si>
    <t>466754</t>
  </si>
  <si>
    <t>466757</t>
  </si>
  <si>
    <t>466764</t>
  </si>
  <si>
    <t>466768</t>
  </si>
  <si>
    <t>466769</t>
  </si>
  <si>
    <t>466771</t>
  </si>
  <si>
    <t>466777</t>
  </si>
  <si>
    <t>466785</t>
  </si>
  <si>
    <t>466786</t>
  </si>
  <si>
    <t>466806</t>
  </si>
  <si>
    <t>466809</t>
  </si>
  <si>
    <t>466810</t>
  </si>
  <si>
    <t>466821</t>
  </si>
  <si>
    <t>466842</t>
  </si>
  <si>
    <t>466845</t>
  </si>
  <si>
    <t>466874</t>
  </si>
  <si>
    <t>466890</t>
  </si>
  <si>
    <t>466896</t>
  </si>
  <si>
    <t>584097</t>
  </si>
  <si>
    <t>584508</t>
  </si>
  <si>
    <t>584518</t>
  </si>
  <si>
    <t>584520</t>
  </si>
  <si>
    <t>584530</t>
  </si>
  <si>
    <t>588884</t>
  </si>
  <si>
    <t>589353</t>
  </si>
  <si>
    <t>593056</t>
  </si>
  <si>
    <t>596770</t>
  </si>
  <si>
    <t>598514</t>
  </si>
  <si>
    <t>599417</t>
  </si>
  <si>
    <t>605595</t>
  </si>
  <si>
    <t>605596</t>
  </si>
  <si>
    <t>605714</t>
  </si>
  <si>
    <t>605716</t>
  </si>
  <si>
    <t>605719</t>
  </si>
  <si>
    <t>605936</t>
  </si>
  <si>
    <t>607818</t>
  </si>
  <si>
    <t>607819</t>
  </si>
  <si>
    <t>608235</t>
  </si>
  <si>
    <t>608514</t>
  </si>
  <si>
    <t>609014</t>
  </si>
  <si>
    <t>609035</t>
  </si>
  <si>
    <t>609036</t>
  </si>
  <si>
    <t>609040</t>
  </si>
  <si>
    <t>609202</t>
  </si>
  <si>
    <t>609534</t>
  </si>
  <si>
    <t>609541</t>
  </si>
  <si>
    <t>609544</t>
  </si>
  <si>
    <t>609554</t>
  </si>
  <si>
    <t>609558</t>
  </si>
  <si>
    <t>609561</t>
  </si>
  <si>
    <t>609564</t>
  </si>
  <si>
    <t>609566</t>
  </si>
  <si>
    <t>609567</t>
  </si>
  <si>
    <t>744040</t>
  </si>
  <si>
    <t>741314</t>
  </si>
  <si>
    <t>742469</t>
  </si>
  <si>
    <t>747251</t>
  </si>
  <si>
    <t>854966</t>
  </si>
  <si>
    <t>901875</t>
  </si>
  <si>
    <t>901876</t>
  </si>
  <si>
    <t>741782</t>
  </si>
  <si>
    <t>743342</t>
  </si>
  <si>
    <t>743350</t>
  </si>
  <si>
    <t>743437</t>
  </si>
  <si>
    <t>746321</t>
  </si>
  <si>
    <t>751851</t>
  </si>
  <si>
    <t>752869</t>
  </si>
  <si>
    <t>752915</t>
  </si>
  <si>
    <t>756982</t>
  </si>
  <si>
    <t>756985</t>
  </si>
  <si>
    <t>743360</t>
  </si>
  <si>
    <t>903803</t>
  </si>
  <si>
    <t>904280</t>
  </si>
  <si>
    <t>464675</t>
  </si>
  <si>
    <t>758783</t>
  </si>
  <si>
    <t>762308</t>
  </si>
  <si>
    <t>762339</t>
  </si>
  <si>
    <t>762713</t>
  </si>
  <si>
    <t>466898</t>
  </si>
  <si>
    <t>466899</t>
  </si>
  <si>
    <t>466909</t>
  </si>
  <si>
    <t>466925</t>
  </si>
  <si>
    <t>466964</t>
  </si>
  <si>
    <t>466968</t>
  </si>
  <si>
    <t>466983</t>
  </si>
  <si>
    <t>470042</t>
  </si>
  <si>
    <t>470067</t>
  </si>
  <si>
    <t>470082</t>
  </si>
  <si>
    <t>470100</t>
  </si>
  <si>
    <t>470101</t>
  </si>
  <si>
    <t>470131</t>
  </si>
  <si>
    <t>470133</t>
  </si>
  <si>
    <t>470139</t>
  </si>
  <si>
    <t>470156</t>
  </si>
  <si>
    <t>470166</t>
  </si>
  <si>
    <t>470229</t>
  </si>
  <si>
    <t>470262</t>
  </si>
  <si>
    <t>470450</t>
  </si>
  <si>
    <t>471640</t>
  </si>
  <si>
    <t>471654</t>
  </si>
  <si>
    <t>471710</t>
  </si>
  <si>
    <t>471715</t>
  </si>
  <si>
    <t>471743</t>
  </si>
  <si>
    <t>471779</t>
  </si>
  <si>
    <t>471786</t>
  </si>
  <si>
    <t>471810</t>
  </si>
  <si>
    <t>471814</t>
  </si>
  <si>
    <t>471815</t>
  </si>
  <si>
    <t>471837</t>
  </si>
  <si>
    <t>471839</t>
  </si>
  <si>
    <t>471891</t>
  </si>
  <si>
    <t>471935</t>
  </si>
  <si>
    <t>471937</t>
  </si>
  <si>
    <t>471946</t>
  </si>
  <si>
    <t>471965</t>
  </si>
  <si>
    <t>472001</t>
  </si>
  <si>
    <t>609568</t>
  </si>
  <si>
    <t>609570</t>
  </si>
  <si>
    <t>609571</t>
  </si>
  <si>
    <t>609573</t>
  </si>
  <si>
    <t>609768</t>
  </si>
  <si>
    <t>609814</t>
  </si>
  <si>
    <t>564800</t>
  </si>
  <si>
    <t>762311</t>
  </si>
  <si>
    <t>764974</t>
  </si>
  <si>
    <t>766499</t>
  </si>
  <si>
    <t>766506</t>
  </si>
  <si>
    <t>743329</t>
  </si>
  <si>
    <t>753683</t>
  </si>
  <si>
    <t>771034</t>
  </si>
  <si>
    <t>771035</t>
  </si>
  <si>
    <t>742495</t>
  </si>
  <si>
    <t>743326</t>
  </si>
  <si>
    <t>743368</t>
  </si>
  <si>
    <t>768524</t>
  </si>
  <si>
    <t>850660</t>
  </si>
  <si>
    <t>678446</t>
  </si>
  <si>
    <t>908839</t>
  </si>
  <si>
    <t>908841</t>
  </si>
  <si>
    <t>908844</t>
  </si>
  <si>
    <t>877255</t>
  </si>
  <si>
    <t>467073</t>
  </si>
  <si>
    <t>472016</t>
  </si>
  <si>
    <t>472018</t>
  </si>
  <si>
    <t>472019</t>
  </si>
  <si>
    <t>472028</t>
  </si>
  <si>
    <t>472068</t>
  </si>
  <si>
    <t>472084</t>
  </si>
  <si>
    <t>472122</t>
  </si>
  <si>
    <t>472185</t>
  </si>
  <si>
    <t>472256</t>
  </si>
  <si>
    <t>472299</t>
  </si>
  <si>
    <t>472320</t>
  </si>
  <si>
    <t>472323</t>
  </si>
  <si>
    <t>472400</t>
  </si>
  <si>
    <t>472401</t>
  </si>
  <si>
    <t>472406</t>
  </si>
  <si>
    <t>472409</t>
  </si>
  <si>
    <t>472410</t>
  </si>
  <si>
    <t>472469</t>
  </si>
  <si>
    <t>472471</t>
  </si>
  <si>
    <t>472514</t>
  </si>
  <si>
    <t>472538</t>
  </si>
  <si>
    <t>472559</t>
  </si>
  <si>
    <t>472580</t>
  </si>
  <si>
    <t>472615</t>
  </si>
  <si>
    <t>472696</t>
  </si>
  <si>
    <t>472715</t>
  </si>
  <si>
    <t>472727</t>
  </si>
  <si>
    <t>470558</t>
  </si>
  <si>
    <t>470573</t>
  </si>
  <si>
    <t>470586</t>
  </si>
  <si>
    <t>571142</t>
  </si>
  <si>
    <t>571144</t>
  </si>
  <si>
    <t>681489</t>
  </si>
  <si>
    <t>869904</t>
  </si>
  <si>
    <t>869929</t>
  </si>
  <si>
    <t>892962</t>
  </si>
  <si>
    <t>901627</t>
  </si>
  <si>
    <t>698270</t>
  </si>
  <si>
    <t>904709</t>
  </si>
  <si>
    <t>741829</t>
  </si>
  <si>
    <t>742286</t>
  </si>
  <si>
    <t>742506</t>
  </si>
  <si>
    <t>742697</t>
  </si>
  <si>
    <t>743290</t>
  </si>
  <si>
    <t>907485</t>
  </si>
  <si>
    <t>870688</t>
  </si>
  <si>
    <t>670798</t>
  </si>
  <si>
    <t>741579</t>
  </si>
  <si>
    <t>780407</t>
  </si>
  <si>
    <t>781921</t>
  </si>
  <si>
    <t>772234</t>
  </si>
  <si>
    <t>470640</t>
  </si>
  <si>
    <t>470709</t>
  </si>
  <si>
    <t>470719</t>
  </si>
  <si>
    <t>470722</t>
  </si>
  <si>
    <t>470753</t>
  </si>
  <si>
    <t>470826</t>
  </si>
  <si>
    <t>470850</t>
  </si>
  <si>
    <t>470853</t>
  </si>
  <si>
    <t>470862</t>
  </si>
  <si>
    <t>470886</t>
  </si>
  <si>
    <t>470891</t>
  </si>
  <si>
    <t>470892</t>
  </si>
  <si>
    <t>470900</t>
  </si>
  <si>
    <t>470926</t>
  </si>
  <si>
    <t>470945</t>
  </si>
  <si>
    <t>470947</t>
  </si>
  <si>
    <t>470948</t>
  </si>
  <si>
    <t>470972</t>
  </si>
  <si>
    <t>471015</t>
  </si>
  <si>
    <t>471016</t>
  </si>
  <si>
    <t>471060</t>
  </si>
  <si>
    <t>471093</t>
  </si>
  <si>
    <t>471094</t>
  </si>
  <si>
    <t>471098</t>
  </si>
  <si>
    <t>471122</t>
  </si>
  <si>
    <t>471123</t>
  </si>
  <si>
    <t>471165</t>
  </si>
  <si>
    <t>471205</t>
  </si>
  <si>
    <t>471208</t>
  </si>
  <si>
    <t>471242</t>
  </si>
  <si>
    <t>471265</t>
  </si>
  <si>
    <t>471313</t>
  </si>
  <si>
    <t>471342</t>
  </si>
  <si>
    <t>471373</t>
  </si>
  <si>
    <t>471383</t>
  </si>
  <si>
    <t>471518</t>
  </si>
  <si>
    <t>468580</t>
  </si>
  <si>
    <t>580968</t>
  </si>
  <si>
    <t>584075</t>
  </si>
  <si>
    <t>584077</t>
  </si>
  <si>
    <t>584084</t>
  </si>
  <si>
    <t>546564</t>
  </si>
  <si>
    <t>546573</t>
  </si>
  <si>
    <t>546581</t>
  </si>
  <si>
    <t>743325</t>
  </si>
  <si>
    <t>793196</t>
  </si>
  <si>
    <t>794890</t>
  </si>
  <si>
    <t>795419</t>
  </si>
  <si>
    <t>795424</t>
  </si>
  <si>
    <t>743445</t>
  </si>
  <si>
    <t>795638</t>
  </si>
  <si>
    <t>798279</t>
  </si>
  <si>
    <t>798810</t>
  </si>
  <si>
    <t>799696</t>
  </si>
  <si>
    <t>799851</t>
  </si>
  <si>
    <t>777738</t>
  </si>
  <si>
    <t>804786</t>
  </si>
  <si>
    <t>467102</t>
  </si>
  <si>
    <t>766843</t>
  </si>
  <si>
    <t>810455</t>
  </si>
  <si>
    <t>810493</t>
  </si>
  <si>
    <t>468624</t>
  </si>
  <si>
    <t>468626</t>
  </si>
  <si>
    <t>468632</t>
  </si>
  <si>
    <t>468635</t>
  </si>
  <si>
    <t>468637</t>
  </si>
  <si>
    <t>468638</t>
  </si>
  <si>
    <t>468713</t>
  </si>
  <si>
    <t>468714</t>
  </si>
  <si>
    <t>468725</t>
  </si>
  <si>
    <t>468728</t>
  </si>
  <si>
    <t>468737</t>
  </si>
  <si>
    <t>468752</t>
  </si>
  <si>
    <t>468777</t>
  </si>
  <si>
    <t>468778</t>
  </si>
  <si>
    <t>468870</t>
  </si>
  <si>
    <t>468957</t>
  </si>
  <si>
    <t>468974</t>
  </si>
  <si>
    <t>469087</t>
  </si>
  <si>
    <t>469090</t>
  </si>
  <si>
    <t>469231</t>
  </si>
  <si>
    <t>469236</t>
  </si>
  <si>
    <t>469250</t>
  </si>
  <si>
    <t>469253</t>
  </si>
  <si>
    <t>469290</t>
  </si>
  <si>
    <t>469304</t>
  </si>
  <si>
    <t>469315</t>
  </si>
  <si>
    <t>469348</t>
  </si>
  <si>
    <t>469379</t>
  </si>
  <si>
    <t>469437</t>
  </si>
  <si>
    <t>469442</t>
  </si>
  <si>
    <t>469512</t>
  </si>
  <si>
    <t>548033</t>
  </si>
  <si>
    <t>821705</t>
  </si>
  <si>
    <t>862045</t>
  </si>
  <si>
    <t>776234</t>
  </si>
  <si>
    <t>778814</t>
  </si>
  <si>
    <t>779274</t>
  </si>
  <si>
    <t>782247</t>
  </si>
  <si>
    <t>469522</t>
  </si>
  <si>
    <t>469525</t>
  </si>
  <si>
    <t>469528</t>
  </si>
  <si>
    <t>469570</t>
  </si>
  <si>
    <t>469723</t>
  </si>
  <si>
    <t>469833</t>
  </si>
  <si>
    <t>469841</t>
  </si>
  <si>
    <t>469850</t>
  </si>
  <si>
    <t>469857</t>
  </si>
  <si>
    <t>469859</t>
  </si>
  <si>
    <t>469864</t>
  </si>
  <si>
    <t>469867</t>
  </si>
  <si>
    <t>469875</t>
  </si>
  <si>
    <t>541463</t>
  </si>
  <si>
    <t>541475</t>
  </si>
  <si>
    <t>550034</t>
  </si>
  <si>
    <t>897438</t>
  </si>
  <si>
    <t>472060</t>
  </si>
  <si>
    <t>743441</t>
  </si>
  <si>
    <t>471145</t>
  </si>
  <si>
    <t>794649</t>
  </si>
  <si>
    <t>795632</t>
  </si>
  <si>
    <t>776319</t>
  </si>
  <si>
    <t>801165</t>
  </si>
  <si>
    <t>814464</t>
  </si>
  <si>
    <t>786707</t>
  </si>
  <si>
    <t>791548</t>
  </si>
  <si>
    <t>791549</t>
  </si>
  <si>
    <t>791551</t>
  </si>
  <si>
    <t>791566</t>
  </si>
  <si>
    <t>823574</t>
  </si>
  <si>
    <t>822466</t>
  </si>
  <si>
    <t>828719</t>
  </si>
  <si>
    <t>551074</t>
  </si>
  <si>
    <t>551755</t>
  </si>
  <si>
    <t>823577</t>
  </si>
  <si>
    <t>471017</t>
  </si>
  <si>
    <t>892304</t>
  </si>
  <si>
    <t>892305</t>
  </si>
  <si>
    <t>892306</t>
  </si>
  <si>
    <t>892307</t>
  </si>
  <si>
    <t>892308</t>
  </si>
  <si>
    <t>892309</t>
  </si>
  <si>
    <t>892310</t>
  </si>
  <si>
    <t>892312</t>
  </si>
  <si>
    <t>892314</t>
  </si>
  <si>
    <t>892328</t>
  </si>
  <si>
    <t>892613</t>
  </si>
  <si>
    <t>897642</t>
  </si>
  <si>
    <t>898288</t>
  </si>
  <si>
    <t>467014</t>
  </si>
  <si>
    <t>467031</t>
  </si>
  <si>
    <t>467035</t>
  </si>
  <si>
    <t>467036</t>
  </si>
  <si>
    <t>467038</t>
  </si>
  <si>
    <t>467041</t>
  </si>
  <si>
    <t>467042</t>
  </si>
  <si>
    <t>467046</t>
  </si>
  <si>
    <t>467048</t>
  </si>
  <si>
    <t>467054</t>
  </si>
  <si>
    <t>467061</t>
  </si>
  <si>
    <t>467064</t>
  </si>
  <si>
    <t>467066</t>
  </si>
  <si>
    <t>467067</t>
  </si>
  <si>
    <t>467077</t>
  </si>
  <si>
    <t>467078</t>
  </si>
  <si>
    <t>467097</t>
  </si>
  <si>
    <t>467119</t>
  </si>
  <si>
    <t>467120</t>
  </si>
  <si>
    <t>467135</t>
  </si>
  <si>
    <t>467136</t>
  </si>
  <si>
    <t>467139</t>
  </si>
  <si>
    <t>467144</t>
  </si>
  <si>
    <t>467146</t>
  </si>
  <si>
    <t>467149</t>
  </si>
  <si>
    <t>467150</t>
  </si>
  <si>
    <t>467155</t>
  </si>
  <si>
    <t>467171</t>
  </si>
  <si>
    <t>467192</t>
  </si>
  <si>
    <t>467193</t>
  </si>
  <si>
    <t>467206</t>
  </si>
  <si>
    <t>467211</t>
  </si>
  <si>
    <t>467212</t>
  </si>
  <si>
    <t>467219</t>
  </si>
  <si>
    <t>467220</t>
  </si>
  <si>
    <t>467221</t>
  </si>
  <si>
    <t>467232</t>
  </si>
  <si>
    <t>467248</t>
  </si>
  <si>
    <t>467254</t>
  </si>
  <si>
    <t>467259</t>
  </si>
  <si>
    <t>467261</t>
  </si>
  <si>
    <t>467264</t>
  </si>
  <si>
    <t>467267</t>
  </si>
  <si>
    <t>467269</t>
  </si>
  <si>
    <t>467274</t>
  </si>
  <si>
    <t>467292</t>
  </si>
  <si>
    <t>467299</t>
  </si>
  <si>
    <t>467301</t>
  </si>
  <si>
    <t>467306</t>
  </si>
  <si>
    <t>472747</t>
  </si>
  <si>
    <t>472784</t>
  </si>
  <si>
    <t>472807</t>
  </si>
  <si>
    <t>472875</t>
  </si>
  <si>
    <t>472879</t>
  </si>
  <si>
    <t>472887</t>
  </si>
  <si>
    <t>472888</t>
  </si>
  <si>
    <t>472903</t>
  </si>
  <si>
    <t>472904</t>
  </si>
  <si>
    <t>472973</t>
  </si>
  <si>
    <t>472977</t>
  </si>
  <si>
    <t>472991</t>
  </si>
  <si>
    <t>473013</t>
  </si>
  <si>
    <t>473027</t>
  </si>
  <si>
    <t>560455</t>
  </si>
  <si>
    <t>678376</t>
  </si>
  <si>
    <t>678383</t>
  </si>
  <si>
    <t>680278</t>
  </si>
  <si>
    <t>467309</t>
  </si>
  <si>
    <t>467331</t>
  </si>
  <si>
    <t>467332</t>
  </si>
  <si>
    <t>467339</t>
  </si>
  <si>
    <t>467341</t>
  </si>
  <si>
    <t>467346</t>
  </si>
  <si>
    <t>467350</t>
  </si>
  <si>
    <t>467362</t>
  </si>
  <si>
    <t>467373</t>
  </si>
  <si>
    <t>467375</t>
  </si>
  <si>
    <t>467382</t>
  </si>
  <si>
    <t>467388</t>
  </si>
  <si>
    <t>467400</t>
  </si>
  <si>
    <t>467401</t>
  </si>
  <si>
    <t>467402</t>
  </si>
  <si>
    <t>467408</t>
  </si>
  <si>
    <t>467409</t>
  </si>
  <si>
    <t>467412</t>
  </si>
  <si>
    <t>467416</t>
  </si>
  <si>
    <t>467423</t>
  </si>
  <si>
    <t>467427</t>
  </si>
  <si>
    <t>467428</t>
  </si>
  <si>
    <t>467437</t>
  </si>
  <si>
    <t>467556</t>
  </si>
  <si>
    <t>467579</t>
  </si>
  <si>
    <t>467611</t>
  </si>
  <si>
    <t>473053</t>
  </si>
  <si>
    <t>473066</t>
  </si>
  <si>
    <t>473108</t>
  </si>
  <si>
    <t>473130</t>
  </si>
  <si>
    <t>609822</t>
  </si>
  <si>
    <t>609824</t>
  </si>
  <si>
    <t>609826</t>
  </si>
  <si>
    <t>609918</t>
  </si>
  <si>
    <t>609923</t>
  </si>
  <si>
    <t>609928</t>
  </si>
  <si>
    <t>610276</t>
  </si>
  <si>
    <t>610278</t>
  </si>
  <si>
    <t>611613</t>
  </si>
  <si>
    <t>611894</t>
  </si>
  <si>
    <t>612814</t>
  </si>
  <si>
    <t>613494</t>
  </si>
  <si>
    <t>613496</t>
  </si>
  <si>
    <t>613497</t>
  </si>
  <si>
    <t>613499</t>
  </si>
  <si>
    <t>613893</t>
  </si>
  <si>
    <t>614283</t>
  </si>
  <si>
    <t>615178</t>
  </si>
  <si>
    <t>615814</t>
  </si>
  <si>
    <t>616903</t>
  </si>
  <si>
    <t>618493</t>
  </si>
  <si>
    <t>619483</t>
  </si>
  <si>
    <t>622286</t>
  </si>
  <si>
    <t>623896</t>
  </si>
  <si>
    <t>624419</t>
  </si>
  <si>
    <t>626514</t>
  </si>
  <si>
    <t>468244</t>
  </si>
  <si>
    <t>431563</t>
  </si>
  <si>
    <t>447104</t>
  </si>
  <si>
    <t>447106</t>
  </si>
  <si>
    <t>464739</t>
  </si>
  <si>
    <t>0</t>
  </si>
  <si>
    <t>1</t>
  </si>
  <si>
    <t>2</t>
  </si>
  <si>
    <t>4565</t>
  </si>
  <si>
    <t>3248</t>
  </si>
  <si>
    <t>1077</t>
  </si>
  <si>
    <t>2980</t>
  </si>
  <si>
    <t>3822</t>
  </si>
  <si>
    <t>3901</t>
  </si>
  <si>
    <t>2487</t>
  </si>
  <si>
    <t>1754</t>
  </si>
  <si>
    <t>1000</t>
  </si>
  <si>
    <t>3480</t>
  </si>
  <si>
    <t>3778</t>
  </si>
  <si>
    <t>3788</t>
  </si>
  <si>
    <t>8908002978285</t>
  </si>
  <si>
    <t>4999900002831</t>
  </si>
  <si>
    <t>1036</t>
  </si>
  <si>
    <t>1142</t>
  </si>
  <si>
    <t>1321</t>
  </si>
  <si>
    <t>1155</t>
  </si>
  <si>
    <t>1376</t>
  </si>
  <si>
    <t>1675</t>
  </si>
  <si>
    <t>1157</t>
  </si>
  <si>
    <t>1159</t>
  </si>
  <si>
    <t>1152</t>
  </si>
  <si>
    <t>1363</t>
  </si>
  <si>
    <t>1416</t>
  </si>
  <si>
    <t>1145</t>
  </si>
  <si>
    <t>1440</t>
  </si>
  <si>
    <t>1008</t>
  </si>
  <si>
    <t>1130</t>
  </si>
  <si>
    <t>1619</t>
  </si>
  <si>
    <t>2647</t>
  </si>
  <si>
    <t>1254</t>
  </si>
  <si>
    <t>1344</t>
  </si>
  <si>
    <t>1115</t>
  </si>
  <si>
    <t>1253</t>
  </si>
  <si>
    <t>1039</t>
  </si>
  <si>
    <t>1297</t>
  </si>
  <si>
    <t>1345</t>
  </si>
  <si>
    <t>1346</t>
  </si>
  <si>
    <t>1348</t>
  </si>
  <si>
    <t>1456</t>
  </si>
  <si>
    <t>1489</t>
  </si>
  <si>
    <t>1573</t>
  </si>
  <si>
    <t>1722</t>
  </si>
  <si>
    <t>1787</t>
  </si>
  <si>
    <t>1887</t>
  </si>
  <si>
    <t>1987</t>
  </si>
  <si>
    <t>1980</t>
  </si>
  <si>
    <t>1981</t>
  </si>
  <si>
    <t>2046</t>
  </si>
  <si>
    <t>2064</t>
  </si>
  <si>
    <t>2069</t>
  </si>
  <si>
    <t>2080</t>
  </si>
  <si>
    <t>2098</t>
  </si>
  <si>
    <t>2108</t>
  </si>
  <si>
    <t>2119</t>
  </si>
  <si>
    <t>2126</t>
  </si>
  <si>
    <t>2142</t>
  </si>
  <si>
    <t>2145</t>
  </si>
  <si>
    <t>2146</t>
  </si>
  <si>
    <t>2166</t>
  </si>
  <si>
    <t>2294</t>
  </si>
  <si>
    <t>2426</t>
  </si>
  <si>
    <t>2430</t>
  </si>
  <si>
    <t>2442</t>
  </si>
  <si>
    <t>2448</t>
  </si>
  <si>
    <t>2449</t>
  </si>
  <si>
    <t>2450</t>
  </si>
  <si>
    <t>2451</t>
  </si>
  <si>
    <t>2452</t>
  </si>
  <si>
    <t>2453</t>
  </si>
  <si>
    <t>4376</t>
  </si>
  <si>
    <t>4295</t>
  </si>
  <si>
    <t>4268</t>
  </si>
  <si>
    <t>4436</t>
  </si>
  <si>
    <t>4566</t>
  </si>
  <si>
    <t>9562</t>
  </si>
  <si>
    <t>9561</t>
  </si>
  <si>
    <t>4248</t>
  </si>
  <si>
    <t>4337</t>
  </si>
  <si>
    <t>4320</t>
  </si>
  <si>
    <t>4347</t>
  </si>
  <si>
    <t>4423</t>
  </si>
  <si>
    <t>4445</t>
  </si>
  <si>
    <t>4468</t>
  </si>
  <si>
    <t>4473</t>
  </si>
  <si>
    <t>4524</t>
  </si>
  <si>
    <t>4525</t>
  </si>
  <si>
    <t>4360</t>
  </si>
  <si>
    <t>9576</t>
  </si>
  <si>
    <t>9599</t>
  </si>
  <si>
    <t>7312</t>
  </si>
  <si>
    <t>4537</t>
  </si>
  <si>
    <t>4567</t>
  </si>
  <si>
    <t>4564</t>
  </si>
  <si>
    <t>4569</t>
  </si>
  <si>
    <t>1146</t>
  </si>
  <si>
    <t>1133</t>
  </si>
  <si>
    <t>1862</t>
  </si>
  <si>
    <t>1264</t>
  </si>
  <si>
    <t>1715</t>
  </si>
  <si>
    <t>1388</t>
  </si>
  <si>
    <t>1445</t>
  </si>
  <si>
    <t>1272</t>
  </si>
  <si>
    <t>1646</t>
  </si>
  <si>
    <t>1783</t>
  </si>
  <si>
    <t>3833</t>
  </si>
  <si>
    <t>2684</t>
  </si>
  <si>
    <t>1460</t>
  </si>
  <si>
    <t>1436</t>
  </si>
  <si>
    <t>1342</t>
  </si>
  <si>
    <t>1565</t>
  </si>
  <si>
    <t>1030</t>
  </si>
  <si>
    <t>1761</t>
  </si>
  <si>
    <t>1733</t>
  </si>
  <si>
    <t>1813</t>
  </si>
  <si>
    <t>1148</t>
  </si>
  <si>
    <t>2976</t>
  </si>
  <si>
    <t>1968</t>
  </si>
  <si>
    <t>1967</t>
  </si>
  <si>
    <t>1694</t>
  </si>
  <si>
    <t>1933</t>
  </si>
  <si>
    <t>1141</t>
  </si>
  <si>
    <t>1975</t>
  </si>
  <si>
    <t>1005</t>
  </si>
  <si>
    <t>1209</t>
  </si>
  <si>
    <t>1208</t>
  </si>
  <si>
    <t>2969</t>
  </si>
  <si>
    <t>3791</t>
  </si>
  <si>
    <t>1591</t>
  </si>
  <si>
    <t>1015</t>
  </si>
  <si>
    <t>1166</t>
  </si>
  <si>
    <t>1730</t>
  </si>
  <si>
    <t>1033</t>
  </si>
  <si>
    <t>1622</t>
  </si>
  <si>
    <t>2454</t>
  </si>
  <si>
    <t>2455</t>
  </si>
  <si>
    <t>2458</t>
  </si>
  <si>
    <t>2460</t>
  </si>
  <si>
    <t>2463</t>
  </si>
  <si>
    <t>2464</t>
  </si>
  <si>
    <t>1912</t>
  </si>
  <si>
    <t>4568</t>
  </si>
  <si>
    <t>4598</t>
  </si>
  <si>
    <t>4606</t>
  </si>
  <si>
    <t>4608</t>
  </si>
  <si>
    <t>4315</t>
  </si>
  <si>
    <t>4488</t>
  </si>
  <si>
    <t>4777</t>
  </si>
  <si>
    <t>4778</t>
  </si>
  <si>
    <t>4267</t>
  </si>
  <si>
    <t>4314</t>
  </si>
  <si>
    <t>4307</t>
  </si>
  <si>
    <t>4674</t>
  </si>
  <si>
    <t>4220</t>
  </si>
  <si>
    <t>3415</t>
  </si>
  <si>
    <t>2000008563581</t>
  </si>
  <si>
    <t>2000008563598</t>
  </si>
  <si>
    <t>2000008563604</t>
  </si>
  <si>
    <t>9388</t>
  </si>
  <si>
    <t>1107</t>
  </si>
  <si>
    <t>1720</t>
  </si>
  <si>
    <t>1298</t>
  </si>
  <si>
    <t>1287</t>
  </si>
  <si>
    <t>1931</t>
  </si>
  <si>
    <t>1950</t>
  </si>
  <si>
    <t>1819</t>
  </si>
  <si>
    <t>1583</t>
  </si>
  <si>
    <t>1029</t>
  </si>
  <si>
    <t>1647</t>
  </si>
  <si>
    <t>1705</t>
  </si>
  <si>
    <t>1598</t>
  </si>
  <si>
    <t>1951</t>
  </si>
  <si>
    <t>1738</t>
  </si>
  <si>
    <t>2805</t>
  </si>
  <si>
    <t>2693</t>
  </si>
  <si>
    <t>1391</t>
  </si>
  <si>
    <t>2794</t>
  </si>
  <si>
    <t>1213</t>
  </si>
  <si>
    <t>1664</t>
  </si>
  <si>
    <t>2687</t>
  </si>
  <si>
    <t>1359</t>
  </si>
  <si>
    <t>9043</t>
  </si>
  <si>
    <t>1464</t>
  </si>
  <si>
    <t>1884</t>
  </si>
  <si>
    <t>1606</t>
  </si>
  <si>
    <t>1014</t>
  </si>
  <si>
    <t>1144</t>
  </si>
  <si>
    <t>1625</t>
  </si>
  <si>
    <t>1954</t>
  </si>
  <si>
    <t>1021</t>
  </si>
  <si>
    <t>2935</t>
  </si>
  <si>
    <t>1669</t>
  </si>
  <si>
    <t>1667</t>
  </si>
  <si>
    <t>3653</t>
  </si>
  <si>
    <t>9264</t>
  </si>
  <si>
    <t>9305</t>
  </si>
  <si>
    <t>9490</t>
  </si>
  <si>
    <t>9553</t>
  </si>
  <si>
    <t>3941</t>
  </si>
  <si>
    <t>9601</t>
  </si>
  <si>
    <t>4254</t>
  </si>
  <si>
    <t>4260</t>
  </si>
  <si>
    <t>4275</t>
  </si>
  <si>
    <t>4297</t>
  </si>
  <si>
    <t>4305</t>
  </si>
  <si>
    <t>9648</t>
  </si>
  <si>
    <t>9312</t>
  </si>
  <si>
    <t>7801</t>
  </si>
  <si>
    <t>4247</t>
  </si>
  <si>
    <t>4860</t>
  </si>
  <si>
    <t>4884</t>
  </si>
  <si>
    <t>4872</t>
  </si>
  <si>
    <t>1448</t>
  </si>
  <si>
    <t>2854</t>
  </si>
  <si>
    <t>2798</t>
  </si>
  <si>
    <t>2924</t>
  </si>
  <si>
    <t>1636</t>
  </si>
  <si>
    <t>1377</t>
  </si>
  <si>
    <t>2916</t>
  </si>
  <si>
    <t>1092</t>
  </si>
  <si>
    <t>2790</t>
  </si>
  <si>
    <t>1040</t>
  </si>
  <si>
    <t>1639</t>
  </si>
  <si>
    <t>1824</t>
  </si>
  <si>
    <t>2970</t>
  </si>
  <si>
    <t>1232</t>
  </si>
  <si>
    <t>1657</t>
  </si>
  <si>
    <t>1160</t>
  </si>
  <si>
    <t>1840</t>
  </si>
  <si>
    <t>1175</t>
  </si>
  <si>
    <t>1198</t>
  </si>
  <si>
    <t>1187</t>
  </si>
  <si>
    <t>1134</t>
  </si>
  <si>
    <t>1401</t>
  </si>
  <si>
    <t>1578</t>
  </si>
  <si>
    <t>1806</t>
  </si>
  <si>
    <t>1973</t>
  </si>
  <si>
    <t>1960</t>
  </si>
  <si>
    <t>1803</t>
  </si>
  <si>
    <t>2127</t>
  </si>
  <si>
    <t>1105</t>
  </si>
  <si>
    <t>1139</t>
  </si>
  <si>
    <t>2846</t>
  </si>
  <si>
    <t>1520</t>
  </si>
  <si>
    <t>2942</t>
  </si>
  <si>
    <t>8178</t>
  </si>
  <si>
    <t>3705</t>
  </si>
  <si>
    <t>1825</t>
  </si>
  <si>
    <t>1858</t>
  </si>
  <si>
    <t>1494</t>
  </si>
  <si>
    <t>1219</t>
  </si>
  <si>
    <t>1231</t>
  </si>
  <si>
    <t>1246</t>
  </si>
  <si>
    <t>1403</t>
  </si>
  <si>
    <t>1406</t>
  </si>
  <si>
    <t>1425</t>
  </si>
  <si>
    <t>4316</t>
  </si>
  <si>
    <t>7615</t>
  </si>
  <si>
    <t>7630</t>
  </si>
  <si>
    <t>7645</t>
  </si>
  <si>
    <t>7648</t>
  </si>
  <si>
    <t>4317</t>
  </si>
  <si>
    <t>7652</t>
  </si>
  <si>
    <t>7845</t>
  </si>
  <si>
    <t>7849</t>
  </si>
  <si>
    <t>7868</t>
  </si>
  <si>
    <t>7869</t>
  </si>
  <si>
    <t>4822</t>
  </si>
  <si>
    <t>7922</t>
  </si>
  <si>
    <t>1329</t>
  </si>
  <si>
    <t>4614</t>
  </si>
  <si>
    <t>7975</t>
  </si>
  <si>
    <t>7968</t>
  </si>
  <si>
    <t>1746</t>
  </si>
  <si>
    <t>1158</t>
  </si>
  <si>
    <t>1154</t>
  </si>
  <si>
    <t>1013</t>
  </si>
  <si>
    <t>1564</t>
  </si>
  <si>
    <t>1712</t>
  </si>
  <si>
    <t>1400</t>
  </si>
  <si>
    <t>1800</t>
  </si>
  <si>
    <t>1581</t>
  </si>
  <si>
    <t>1481</t>
  </si>
  <si>
    <t>1442</t>
  </si>
  <si>
    <t>1455</t>
  </si>
  <si>
    <t>1677</t>
  </si>
  <si>
    <t>1615</t>
  </si>
  <si>
    <t>2691</t>
  </si>
  <si>
    <t>1043</t>
  </si>
  <si>
    <t>1833</t>
  </si>
  <si>
    <t>1815</t>
  </si>
  <si>
    <t>1023</t>
  </si>
  <si>
    <t>1167</t>
  </si>
  <si>
    <t>1118</t>
  </si>
  <si>
    <t>1920</t>
  </si>
  <si>
    <t>1129</t>
  </si>
  <si>
    <t>1239</t>
  </si>
  <si>
    <t>1025</t>
  </si>
  <si>
    <t>1752</t>
  </si>
  <si>
    <t>1569</t>
  </si>
  <si>
    <t>2939</t>
  </si>
  <si>
    <t>1065</t>
  </si>
  <si>
    <t>1716</t>
  </si>
  <si>
    <t>1727</t>
  </si>
  <si>
    <t>1488</t>
  </si>
  <si>
    <t>9120</t>
  </si>
  <si>
    <t>4714</t>
  </si>
  <si>
    <t>4806</t>
  </si>
  <si>
    <t>4827</t>
  </si>
  <si>
    <t>4844</t>
  </si>
  <si>
    <t>4887</t>
  </si>
  <si>
    <t>2789</t>
  </si>
  <si>
    <t>1420</t>
  </si>
  <si>
    <t>1816</t>
  </si>
  <si>
    <t>1594</t>
  </si>
  <si>
    <t>1408</t>
  </si>
  <si>
    <t>1525</t>
  </si>
  <si>
    <t>1528</t>
  </si>
  <si>
    <t>1491</t>
  </si>
  <si>
    <t>1621</t>
  </si>
  <si>
    <t>1009</t>
  </si>
  <si>
    <t>1044</t>
  </si>
  <si>
    <t>1614</t>
  </si>
  <si>
    <t>1805</t>
  </si>
  <si>
    <t>1270</t>
  </si>
  <si>
    <t>1930</t>
  </si>
  <si>
    <t>1325</t>
  </si>
  <si>
    <t>9517</t>
  </si>
  <si>
    <t>9542</t>
  </si>
  <si>
    <t>4344</t>
  </si>
  <si>
    <t>7679</t>
  </si>
  <si>
    <t>7625</t>
  </si>
  <si>
    <t>7651</t>
  </si>
  <si>
    <t>4809</t>
  </si>
  <si>
    <t>7894</t>
  </si>
  <si>
    <t>9054</t>
  </si>
  <si>
    <t>4986</t>
  </si>
  <si>
    <t>7575</t>
  </si>
  <si>
    <t>7576</t>
  </si>
  <si>
    <t>7578</t>
  </si>
  <si>
    <t>7579</t>
  </si>
  <si>
    <t>9144</t>
  </si>
  <si>
    <t>9128</t>
  </si>
  <si>
    <t>9227</t>
  </si>
  <si>
    <t>1476</t>
  </si>
  <si>
    <t>1793</t>
  </si>
  <si>
    <t>9145</t>
  </si>
  <si>
    <t>2732</t>
  </si>
  <si>
    <t>0658738672770</t>
  </si>
  <si>
    <t>0658738672848</t>
  </si>
  <si>
    <t>0658738672831</t>
  </si>
  <si>
    <t>0658738672800</t>
  </si>
  <si>
    <t>0658738672794</t>
  </si>
  <si>
    <t>0658738672862</t>
  </si>
  <si>
    <t>0658738672855</t>
  </si>
  <si>
    <t>0658738672824</t>
  </si>
  <si>
    <t>0658738672817</t>
  </si>
  <si>
    <t>0658738672787</t>
  </si>
  <si>
    <t>9475</t>
  </si>
  <si>
    <t>9514</t>
  </si>
  <si>
    <t>9534</t>
  </si>
  <si>
    <t>1212</t>
  </si>
  <si>
    <t>1314</t>
  </si>
  <si>
    <t>1192</t>
  </si>
  <si>
    <t>1191</t>
  </si>
  <si>
    <t>1356</t>
  </si>
  <si>
    <t>1194</t>
  </si>
  <si>
    <t>1258</t>
  </si>
  <si>
    <t>1109</t>
  </si>
  <si>
    <t>1430</t>
  </si>
  <si>
    <t>1037</t>
  </si>
  <si>
    <t>1275</t>
  </si>
  <si>
    <t>1075</t>
  </si>
  <si>
    <t>1438</t>
  </si>
  <si>
    <t>1074</t>
  </si>
  <si>
    <t>1201</t>
  </si>
  <si>
    <t>1202</t>
  </si>
  <si>
    <t>1461</t>
  </si>
  <si>
    <t>1119</t>
  </si>
  <si>
    <t>1322</t>
  </si>
  <si>
    <t>1252</t>
  </si>
  <si>
    <t>1121</t>
  </si>
  <si>
    <t>1183</t>
  </si>
  <si>
    <t>1228</t>
  </si>
  <si>
    <t>1431</t>
  </si>
  <si>
    <t>1367</t>
  </si>
  <si>
    <t>1721</t>
  </si>
  <si>
    <t>1002</t>
  </si>
  <si>
    <t>1095</t>
  </si>
  <si>
    <t>1128</t>
  </si>
  <si>
    <t>1137</t>
  </si>
  <si>
    <t>1149</t>
  </si>
  <si>
    <t>1347</t>
  </si>
  <si>
    <t>1421</t>
  </si>
  <si>
    <t>1153</t>
  </si>
  <si>
    <t>1177</t>
  </si>
  <si>
    <t>1016</t>
  </si>
  <si>
    <t>1380</t>
  </si>
  <si>
    <t>1205</t>
  </si>
  <si>
    <t>1451</t>
  </si>
  <si>
    <t>1562</t>
  </si>
  <si>
    <t>1181</t>
  </si>
  <si>
    <t>1570</t>
  </si>
  <si>
    <t>1482</t>
  </si>
  <si>
    <t>1300</t>
  </si>
  <si>
    <t>1439</t>
  </si>
  <si>
    <t>1222</t>
  </si>
  <si>
    <t>1375</t>
  </si>
  <si>
    <t>1256</t>
  </si>
  <si>
    <t>1319</t>
  </si>
  <si>
    <t>2859</t>
  </si>
  <si>
    <t>1309</t>
  </si>
  <si>
    <t>1534</t>
  </si>
  <si>
    <t>1925</t>
  </si>
  <si>
    <t>3758</t>
  </si>
  <si>
    <t>1200</t>
  </si>
  <si>
    <t>1835</t>
  </si>
  <si>
    <t>1900</t>
  </si>
  <si>
    <t>2822</t>
  </si>
  <si>
    <t>1138</t>
  </si>
  <si>
    <t>2967</t>
  </si>
  <si>
    <t>2943</t>
  </si>
  <si>
    <t>1409</t>
  </si>
  <si>
    <t>1898</t>
  </si>
  <si>
    <t>1934</t>
  </si>
  <si>
    <t>1995</t>
  </si>
  <si>
    <t>3430</t>
  </si>
  <si>
    <t>3507</t>
  </si>
  <si>
    <t>3624</t>
  </si>
  <si>
    <t>1320</t>
  </si>
  <si>
    <t>1299</t>
  </si>
  <si>
    <t>1369</t>
  </si>
  <si>
    <t>1162</t>
  </si>
  <si>
    <t>1245</t>
  </si>
  <si>
    <t>1398</t>
  </si>
  <si>
    <t>1012</t>
  </si>
  <si>
    <t>2951</t>
  </si>
  <si>
    <t>1151</t>
  </si>
  <si>
    <t>1022</t>
  </si>
  <si>
    <t>1290</t>
  </si>
  <si>
    <t>1385</t>
  </si>
  <si>
    <t>1499</t>
  </si>
  <si>
    <t>1850</t>
  </si>
  <si>
    <t>1501</t>
  </si>
  <si>
    <t>1244</t>
  </si>
  <si>
    <t>1415</t>
  </si>
  <si>
    <t>1390</t>
  </si>
  <si>
    <t>1211</t>
  </si>
  <si>
    <t>1595</t>
  </si>
  <si>
    <t>1117</t>
  </si>
  <si>
    <t>1731</t>
  </si>
  <si>
    <t>1405</t>
  </si>
  <si>
    <t>1852</t>
  </si>
  <si>
    <t>1947</t>
  </si>
  <si>
    <t>1330</t>
  </si>
  <si>
    <t>1604</t>
  </si>
  <si>
    <t>1801</t>
  </si>
  <si>
    <t>1916</t>
  </si>
  <si>
    <t>1582</t>
  </si>
  <si>
    <t>2000003746866</t>
  </si>
  <si>
    <t>2483</t>
  </si>
  <si>
    <t>2478</t>
  </si>
  <si>
    <t>2481</t>
  </si>
  <si>
    <t>2494</t>
  </si>
  <si>
    <t>2498</t>
  </si>
  <si>
    <t>2491</t>
  </si>
  <si>
    <t>2510</t>
  </si>
  <si>
    <t>2512</t>
  </si>
  <si>
    <t>2540</t>
  </si>
  <si>
    <t>2541</t>
  </si>
  <si>
    <t>2543</t>
  </si>
  <si>
    <t>7452</t>
  </si>
  <si>
    <t>7453</t>
  </si>
  <si>
    <t>7454</t>
  </si>
  <si>
    <t>7455</t>
  </si>
  <si>
    <t>2565</t>
  </si>
  <si>
    <t>2572</t>
  </si>
  <si>
    <t>7458</t>
  </si>
  <si>
    <t>2584</t>
  </si>
  <si>
    <t>2595</t>
  </si>
  <si>
    <t>2617</t>
  </si>
  <si>
    <t>4048</t>
  </si>
  <si>
    <t>2640</t>
  </si>
  <si>
    <t>2662</t>
  </si>
  <si>
    <t>2664</t>
  </si>
  <si>
    <t>2673</t>
  </si>
  <si>
    <t>1032</t>
  </si>
  <si>
    <t>4999900002817</t>
  </si>
  <si>
    <t>8718421670109</t>
  </si>
  <si>
    <t>4999900002848</t>
  </si>
  <si>
    <t>4139</t>
  </si>
  <si>
    <t>Kilo/kilo</t>
  </si>
  <si>
    <t>Piece/piece</t>
  </si>
  <si>
    <t>FRUITS  AND  VEGETABLES(W)</t>
  </si>
  <si>
    <t>APPLE PINK LADY SOUTH AFRICA KG</t>
  </si>
  <si>
    <t>WATERMELON OMAN KG</t>
  </si>
  <si>
    <t>RADISH WHITE CHINA</t>
  </si>
  <si>
    <t>RASAKADALI BANANA INDIA KG</t>
  </si>
  <si>
    <t>BEETROOT OMAN KG</t>
  </si>
  <si>
    <t>ONION FLOWER BANGLADESH AIR KG</t>
  </si>
  <si>
    <t>BAJJI CHILLI FARM QATAR KG</t>
  </si>
  <si>
    <t>DATES ASSORTED IRAN KG</t>
  </si>
  <si>
    <t>EGGPLANT PREMIUM QATAR BIG PACKET</t>
  </si>
  <si>
    <t>KASHTA LEBANON AIR KG</t>
  </si>
  <si>
    <t>PERSIMMON FRUIT SPAIN KG</t>
  </si>
  <si>
    <t>RED PUMPKIN INDIA KG</t>
  </si>
  <si>
    <t>FRUITO SNACK BOILED SWEET CORN COB PCS</t>
  </si>
  <si>
    <t>PA BROWN MUSHROOM 250GM</t>
  </si>
  <si>
    <t>BANANA GREEN INDIA AIR KG</t>
  </si>
  <si>
    <t>ANAR EGYPT KGS</t>
  </si>
  <si>
    <t>POMEGRANATE INDIA KG</t>
  </si>
  <si>
    <t>APPLE FUJI CHINA</t>
  </si>
  <si>
    <t>APPLE GOLDEN FRANCE KG</t>
  </si>
  <si>
    <t>APPLE JAAZ MINI PACKET</t>
  </si>
  <si>
    <t>APPLE RED IRAN</t>
  </si>
  <si>
    <t>APPLE ROYAL GALA CHILE KGS</t>
  </si>
  <si>
    <t>APPLE TURKEY KGS</t>
  </si>
  <si>
    <t>APRICOT KGS</t>
  </si>
  <si>
    <t>Baby Asparagus Thailand</t>
  </si>
  <si>
    <t>BANANA FLOWER INDIA AIR KG</t>
  </si>
  <si>
    <t>BANANA PHILIPPINE KGS</t>
  </si>
  <si>
    <t>BROCCOLI SPAIN KGS</t>
  </si>
  <si>
    <t>BITTER GOURD BANGLADESH AIR KG</t>
  </si>
  <si>
    <t>BITTER GOURD KGS</t>
  </si>
  <si>
    <t>CABBAGE CHINA</t>
  </si>
  <si>
    <t>CHICKOO INDIA AIR KG</t>
  </si>
  <si>
    <t>CHILLY LONG JORDAN KGS</t>
  </si>
  <si>
    <t>DRUMSTICK INDIA AIR KG</t>
  </si>
  <si>
    <t>GREEN PEAS (MUTTER) KGS</t>
  </si>
  <si>
    <t>GINGER CHINA KGS</t>
  </si>
  <si>
    <t>GRAPES BLACK TURKEY BOX</t>
  </si>
  <si>
    <t>MUKUNUWENNA SRILANKA KG</t>
  </si>
  <si>
    <t>EGG PLANT SRILANKA KG</t>
  </si>
  <si>
    <t>CUCUMBER SRI LANKA KG</t>
  </si>
  <si>
    <t>BANANA(AMBUL) SRI LANKA KG</t>
  </si>
  <si>
    <t>AL ALI FARM RED RADISH KG</t>
  </si>
  <si>
    <t>ORANGE NAVEL MOROCCO KG</t>
  </si>
  <si>
    <t>POMEGRANATE YEMEN KG</t>
  </si>
  <si>
    <t>PANDAN LEAVES THAILAND KG</t>
  </si>
  <si>
    <t>GUAVA LEBANON AIR KG</t>
  </si>
  <si>
    <t>BLACK TOMATO SPAIN PCS</t>
  </si>
  <si>
    <t>BAJI CHILLI QATAR KG</t>
  </si>
  <si>
    <t>GRAPES RED INDIA BOX</t>
  </si>
  <si>
    <t>CHILLI BAJJI GREEN QATAR KG</t>
  </si>
  <si>
    <t>WHITE ONION SPAIN KG</t>
  </si>
  <si>
    <t>BROWN ONION SPAIN KG</t>
  </si>
  <si>
    <t>KINAR QATAR KG</t>
  </si>
  <si>
    <t>PEACHES AFRICA KG</t>
  </si>
  <si>
    <t>NECTARINE AFRICA KG</t>
  </si>
  <si>
    <t>CELERY SPAIN KG</t>
  </si>
  <si>
    <t>DRAGON FRUIT VIETNAM KG</t>
  </si>
  <si>
    <t>TENDER COCONUT VIETNAM PC</t>
  </si>
  <si>
    <t>ROCK MELON OMAN KG</t>
  </si>
  <si>
    <t>SWEET POTATO UGANDA AIR KG</t>
  </si>
  <si>
    <t>DATES ALGERIA KG</t>
  </si>
  <si>
    <t>HONEYDEW MELON OMAN KG</t>
  </si>
  <si>
    <t>GUAVA BANGLADESH AIR KG</t>
  </si>
  <si>
    <t>CABBAGE FARM QATAR KG</t>
  </si>
  <si>
    <t>CAULIFLOWER FARM QATAR KG</t>
  </si>
  <si>
    <t>EGGPLANT FARM QATAR KG</t>
  </si>
  <si>
    <t>LONG BEANS FARM QATAR KG</t>
  </si>
  <si>
    <t>BEANS FARM QATAR KG</t>
  </si>
  <si>
    <t>CAPSICUM GREEN FARM QATAR KG</t>
  </si>
  <si>
    <t>KOOSA FARM QATAR KG</t>
  </si>
  <si>
    <t>LETTUCE FARM QATAR KG</t>
  </si>
  <si>
    <t>CAPSICUM YELLOW OMAN KG</t>
  </si>
  <si>
    <t>BLUEBERRY MOROCCO PKT</t>
  </si>
  <si>
    <t>CABBAGE OMAN KG</t>
  </si>
  <si>
    <t>NECTARINE TUNISIA KG</t>
  </si>
  <si>
    <t>MANDARIN EGYPT KG</t>
  </si>
  <si>
    <t>LETTUCE SYRIA KG</t>
  </si>
  <si>
    <t>PEAR ROSE CHINA KG</t>
  </si>
  <si>
    <t>APPLE GREEN MOLDOVA KG</t>
  </si>
  <si>
    <t>EGGPLANT BIG OMAN KG</t>
  </si>
  <si>
    <t>BITTER GOURD SAUDIA ARABIA KG</t>
  </si>
  <si>
    <t>PUMPKIN BOBER SAUDI ARABIA KG</t>
  </si>
  <si>
    <t>PERSIMMON SOUTH AFRICA KG</t>
  </si>
  <si>
    <t>POTATO WHITE JORDAN KG</t>
  </si>
  <si>
    <t>PUI PALAK QATAR PCS</t>
  </si>
  <si>
    <t>GRAPES WHITE EGYPT PCS</t>
  </si>
  <si>
    <t>DILL LEAVES SAUDI ARABIA KG</t>
  </si>
  <si>
    <t>PARSLEY SAUDI ARABIA KG</t>
  </si>
  <si>
    <t>BROCCOLI EGYPT KG</t>
  </si>
  <si>
    <t>APPLE REDDY CRUSH FRANCE KG</t>
  </si>
  <si>
    <t>CHILLI BANGLADESH PCS</t>
  </si>
  <si>
    <t>KABKAB DATES IRAN</t>
  </si>
  <si>
    <t>SWEET POTATO EGYPT KG</t>
  </si>
  <si>
    <t>ASH GOURD FARM QATAR KG</t>
  </si>
  <si>
    <t>SWEET MELON FARM QATAR KG</t>
  </si>
  <si>
    <t>DRAGON FRUIT INDIA KG</t>
  </si>
  <si>
    <t>GINGER INDIA AIR KG</t>
  </si>
  <si>
    <t>GINGER INDIA KGS</t>
  </si>
  <si>
    <t>GINGER CHINA AIR KG</t>
  </si>
  <si>
    <t>GRAPE FRUIT SOUTH AFRICA</t>
  </si>
  <si>
    <t>KERALA VELLERY KGS</t>
  </si>
  <si>
    <t>LEEKS HOLLAND KGS</t>
  </si>
  <si>
    <t>LIME BRAZIL KGS</t>
  </si>
  <si>
    <t>MANGO NEELAN INDIA AIR</t>
  </si>
  <si>
    <t>MUSHROOM WHITE DOHA</t>
  </si>
  <si>
    <t>PEAR BROWN CHINA</t>
  </si>
  <si>
    <t>SEEM FARM QATAR KG</t>
  </si>
  <si>
    <t>NECTARINE SPAIN KG</t>
  </si>
  <si>
    <t>NECTRINE LABANAN</t>
  </si>
  <si>
    <t>ORANGE VALENCIA MOROCCO</t>
  </si>
  <si>
    <t>ORANGE VALANCIA AFRICA KGS</t>
  </si>
  <si>
    <t>SNAKE GOURD IND KG</t>
  </si>
  <si>
    <t>PUI PALAK PCS</t>
  </si>
  <si>
    <t>PAPAYA BRAZIL</t>
  </si>
  <si>
    <t>RAMBUTAN THAILAND</t>
  </si>
  <si>
    <t>PLUMS RED LEBANON BOX</t>
  </si>
  <si>
    <t>TAMARIND FRESH THAILAND</t>
  </si>
  <si>
    <t>DRUMSTICK INDIA KG</t>
  </si>
  <si>
    <t>CABBAGE WHITE  KG</t>
  </si>
  <si>
    <t>PRICKLY TUNISIA PCS</t>
  </si>
  <si>
    <t>TOMATO TOMMYS MOROCO</t>
  </si>
  <si>
    <t>GARLIC PEELD SMALL PCS</t>
  </si>
  <si>
    <t>INDIAN JACK FRUIT SEED KGS</t>
  </si>
  <si>
    <t>MANGO KENIYA</t>
  </si>
  <si>
    <t>INDIAN GUAVA KGS</t>
  </si>
  <si>
    <t>PEAR BIG CHINA</t>
  </si>
  <si>
    <t>PEAR JASS LABNAN</t>
  </si>
  <si>
    <t>EGGPLANT SMALL FARM QATAR KG</t>
  </si>
  <si>
    <t>GINGER THAILAND KG</t>
  </si>
  <si>
    <t>MANGO SINDOOR INDIA AIR</t>
  </si>
  <si>
    <t>ARAVI INDIA AIR KG</t>
  </si>
  <si>
    <t>APPLE  GALA KG</t>
  </si>
  <si>
    <t>BROCCOLI JORDAN</t>
  </si>
  <si>
    <t>PUMPKIN GREEN INDIA AIR KG</t>
  </si>
  <si>
    <t>CABBAGE QATAR</t>
  </si>
  <si>
    <t>BROCCOLI FARM QATAR KG</t>
  </si>
  <si>
    <t>WHITE RADISH FARM QATAR KG</t>
  </si>
  <si>
    <t>TURNIP FARM QATAR KG</t>
  </si>
  <si>
    <t>CORIANDER LEAVES FARM QATAR KG</t>
  </si>
  <si>
    <t>LONG BEANS BANGLADESH AIR</t>
  </si>
  <si>
    <t>CHILLI LONG FARM QATAR KG</t>
  </si>
  <si>
    <t>SNAKE GOURD BANGLADESH AIR KG</t>
  </si>
  <si>
    <t>BEETROOT SRI LANKA KG</t>
  </si>
  <si>
    <t>PLUMS GREEN TURKEY PKT</t>
  </si>
  <si>
    <t>MANGO EGYPT KG</t>
  </si>
  <si>
    <t>MINT LEAVES SAUDI ARABIA KG</t>
  </si>
  <si>
    <t>CHILLI LONG SAUDI ARABIA KG</t>
  </si>
  <si>
    <t>GUAVA EGYPT KG</t>
  </si>
  <si>
    <t>RED CHEERA FARM QATAR KG</t>
  </si>
  <si>
    <t>GREEN CHEERA FARM QATAR KG</t>
  </si>
  <si>
    <t>TOMATO SAUDI ARABIA KG</t>
  </si>
  <si>
    <t>CHILLI LONG OMAN KG</t>
  </si>
  <si>
    <t>CABBAGE EGYPT</t>
  </si>
  <si>
    <t>MANGO KEITT EGYPT KG</t>
  </si>
  <si>
    <t>CAPSICUM ORANGE OMAN KG</t>
  </si>
  <si>
    <t>SUGAR BEET LEBANON AIR KG</t>
  </si>
  <si>
    <t>SUFRI DATES 500GM</t>
  </si>
  <si>
    <t>SUAQI DATES 500GM</t>
  </si>
  <si>
    <t>SUFRI DATES 250 GM</t>
  </si>
  <si>
    <t>GRAPES RED EGYPT KG</t>
  </si>
  <si>
    <t>RED CHILLY LONG KGS</t>
  </si>
  <si>
    <t>CUCUMBER FARM QATAR</t>
  </si>
  <si>
    <t>GARLIC CHINA</t>
  </si>
  <si>
    <t>GARLIC AIR CHINA</t>
  </si>
  <si>
    <t>GARLIC PEELD CHINA</t>
  </si>
  <si>
    <t>RED CHEERA QATAR KG</t>
  </si>
  <si>
    <t>GUAVA VIETNAM</t>
  </si>
  <si>
    <t>MANGO ROUND (GREEN) INDIA AIR KG</t>
  </si>
  <si>
    <t>PEAR D ANJ USA</t>
  </si>
  <si>
    <t>TOMATO FARM QATAR</t>
  </si>
  <si>
    <t>GRAPE WHITE INDIA</t>
  </si>
  <si>
    <t>CHIKKU INDIA KGS</t>
  </si>
  <si>
    <t>KIWI IRAN KGS</t>
  </si>
  <si>
    <t>KOCHU BANGLADESH AIR KG</t>
  </si>
  <si>
    <t>CAPSICUM RED JORDAN KG</t>
  </si>
  <si>
    <t>WOOD APPLE SRI LANKA KG</t>
  </si>
  <si>
    <t>SURAN CHENA INDIA (AP)</t>
  </si>
  <si>
    <t>MANDARIN NADORCOTT SOUTH AFRICA KG</t>
  </si>
  <si>
    <t>MANDARIN SOUTH AFRICA KG</t>
  </si>
  <si>
    <t>SWEET POTATO AUSTRALIA</t>
  </si>
  <si>
    <t>BARBIR LEAF FARM QATAR KG</t>
  </si>
  <si>
    <t>MANGO BEDHAMI INDIA AIR</t>
  </si>
  <si>
    <t>GINGER VIETNAM KG</t>
  </si>
  <si>
    <t>LEMON LEAVES HOLLAND KG</t>
  </si>
  <si>
    <t>LEMON GRASS THAILAND</t>
  </si>
  <si>
    <t>APPLE FUJI JUMBO CHINA</t>
  </si>
  <si>
    <t>CAPSICUM JORDAN</t>
  </si>
  <si>
    <t>FRESH FLOWER ASSTD</t>
  </si>
  <si>
    <t>ICE BERG QATAR</t>
  </si>
  <si>
    <t>SWEET MELON OMAN</t>
  </si>
  <si>
    <t>CHIKOO THAI</t>
  </si>
  <si>
    <t>CAPSICUM RED FARM QATAR KG</t>
  </si>
  <si>
    <t>SMALL ONION IMPORT KG</t>
  </si>
  <si>
    <t>BEETROOT IMPORT KG</t>
  </si>
  <si>
    <t>POTATO PAKISTAN BAG</t>
  </si>
  <si>
    <t>GUNDRUK NEPAL 200GM AIR</t>
  </si>
  <si>
    <t>AKABARE CHILLY(RED HOT)NEPAL AIR KG</t>
  </si>
  <si>
    <t>SPONGE GOURD FARM QATAR KG</t>
  </si>
  <si>
    <t>MATOKI BANANA UGANDA KG</t>
  </si>
  <si>
    <t>LETTUCE OMAN KG</t>
  </si>
  <si>
    <t>GREEN TAMARIND KG</t>
  </si>
  <si>
    <t>TOMATO OMAN KG</t>
  </si>
  <si>
    <t>CAULIFLOWER OMAN KG</t>
  </si>
  <si>
    <t>CURRY LEAVES OMAN KG</t>
  </si>
  <si>
    <t>GRAPES RED INDIA KG</t>
  </si>
  <si>
    <t>TURNIP OMAN KG</t>
  </si>
  <si>
    <t>MANDARINE NADARCCOT EGYPT KG</t>
  </si>
  <si>
    <t>KANDARI CHIILI PKT</t>
  </si>
  <si>
    <t>CUCUMBER BANGLADESH AIR KG</t>
  </si>
  <si>
    <t>LETTUCE ICEBERG EGYPT KG</t>
  </si>
  <si>
    <t>GINGER KENYA KG</t>
  </si>
  <si>
    <t>WHITE ONION OMAN KG</t>
  </si>
  <si>
    <t>LEMON EGYPT KG</t>
  </si>
  <si>
    <t>QV EGPLANT QATAR</t>
  </si>
  <si>
    <t>GREEN CHILLI UGANDA AIR KG</t>
  </si>
  <si>
    <t>KING COCONUT SRI LANKA PC</t>
  </si>
  <si>
    <t>SPRING ONION BANGLADESH KG</t>
  </si>
  <si>
    <t>FRESH DATES FARM QATAR KG</t>
  </si>
  <si>
    <t>TINDALY INDIA</t>
  </si>
  <si>
    <t>PLUMS RED ITALY KGS</t>
  </si>
  <si>
    <t>POMEGRANTE MOROCCO</t>
  </si>
  <si>
    <t>POTATO BANGLADESH KG</t>
  </si>
  <si>
    <t>TOMATO FARM PREMIUM 1000GM PKT</t>
  </si>
  <si>
    <t>TOMATO INDIA KGS</t>
  </si>
  <si>
    <t>TOMATO LOCAL</t>
  </si>
  <si>
    <t>EGGPLANT LONG FARM QATAR KG</t>
  </si>
  <si>
    <t>RADISH RED HOLLAND PC</t>
  </si>
  <si>
    <t>APPLE GOLDEN SML IRAN</t>
  </si>
  <si>
    <t>APPLE RED JUMBO USA</t>
  </si>
  <si>
    <t>APPLE ROCKIT NZL</t>
  </si>
  <si>
    <t>FRESH DATES ALGERIA 500G</t>
  </si>
  <si>
    <t>APPLE ROYAL GALA MORROCO</t>
  </si>
  <si>
    <t>APPLE R GALA SPN SP</t>
  </si>
  <si>
    <t>YELLOW CUCUMBER (VELLARY) INDIA AIR KG</t>
  </si>
  <si>
    <t>BABY GREEN CHILLI THAILAND</t>
  </si>
  <si>
    <t>BABY ROCKET</t>
  </si>
  <si>
    <t>BAJJI CHILLI SAUDI</t>
  </si>
  <si>
    <t>GRAPE BLACK BOX</t>
  </si>
  <si>
    <t>GRAPE LEAVES PCS</t>
  </si>
  <si>
    <t>WATERMELON YEMEN</t>
  </si>
  <si>
    <t>MUSKMELON INDIA KG</t>
  </si>
  <si>
    <t>SWEET MELON DOHA</t>
  </si>
  <si>
    <t>BUTTER PUMKIN SRILANKA</t>
  </si>
  <si>
    <t>LETTUCE ICEBERG SPAIN KG</t>
  </si>
  <si>
    <t>BLACKBERRIES</t>
  </si>
  <si>
    <t>CAPSICUM RED OMAN KG</t>
  </si>
  <si>
    <t>APPLE PINK LADY CHILE KG</t>
  </si>
  <si>
    <t>BUTTERNUT PUMPKIN OMAN</t>
  </si>
  <si>
    <t>COCONUT WHOLE INDIA</t>
  </si>
  <si>
    <t>ARAVI BANGLADESH AIR KG</t>
  </si>
  <si>
    <t>RUID LEAVES KG</t>
  </si>
  <si>
    <t>CUCUMBER PREMIUM QATAR BIG PACKET</t>
  </si>
  <si>
    <t>KOOSA PREMIUM QATAR BIG PACKET</t>
  </si>
  <si>
    <t>EGGPLANT BIG PREMIUM QATAR SMALL PACKET</t>
  </si>
  <si>
    <t>MINT LEAVES QTR</t>
  </si>
  <si>
    <t>PECHAY QTR</t>
  </si>
  <si>
    <t>WATERMELON INDIA</t>
  </si>
  <si>
    <t>CHILLI LONG EGYPT KG</t>
  </si>
  <si>
    <t>GARLIC PEELED CHINA 500GM</t>
  </si>
  <si>
    <t>GRAPES BLACK SOUTH AFRICA KG</t>
  </si>
  <si>
    <t>GOTUKOLA SRILANKA KG</t>
  </si>
  <si>
    <t>DAMBALA SRILANKA KG</t>
  </si>
  <si>
    <t>WATERMELON SAUDI ARABIA KG</t>
  </si>
  <si>
    <t>ONION BROWN CHINA KG</t>
  </si>
  <si>
    <t>APPLE ROYAL GALA CROATIA KG</t>
  </si>
  <si>
    <t>ROSE FLOWER INDIA PCS</t>
  </si>
  <si>
    <t>PEAR GREEN SOUTH AFRICA KG</t>
  </si>
  <si>
    <t>GRAPEFRUIT SYRIA KG</t>
  </si>
  <si>
    <t>METHI LEAVES FARM QATAR KG</t>
  </si>
  <si>
    <t>GOOSEBERRY SMALL INDIA LOCAL PCS</t>
  </si>
  <si>
    <t>ROSE MARY FRUIT KGS</t>
  </si>
  <si>
    <t>CABBAGE RED OMAN KG</t>
  </si>
  <si>
    <t>APPLE ROYAL GALA SOUTH AFRICA KG</t>
  </si>
  <si>
    <t>ONION INDIA KG</t>
  </si>
  <si>
    <t>APPLE GREEN FRANCE</t>
  </si>
  <si>
    <t>APPLE GREEN SPAIN</t>
  </si>
  <si>
    <t>APPLE RED CHILI</t>
  </si>
  <si>
    <t>APPLE ROYAL GALA FRANCE KGS</t>
  </si>
  <si>
    <t>APPLE ROYAL GALA NEW ZEALAND / KG</t>
  </si>
  <si>
    <t>APPLE ROYAL GALA POLAND</t>
  </si>
  <si>
    <t>BABY CORN THAILAND</t>
  </si>
  <si>
    <t>BABY PAKSOY</t>
  </si>
  <si>
    <t>BAJJI CHILLI JORDAN</t>
  </si>
  <si>
    <t>BANANA CAVENDISH INDIA</t>
  </si>
  <si>
    <t>BANANA ROBEST INDIA AIR KG</t>
  </si>
  <si>
    <t>BEANS FRESH NEPAL AIR KG</t>
  </si>
  <si>
    <t>BEETROOT COOKED</t>
  </si>
  <si>
    <t>BEETROOT INDIA AIR KG</t>
  </si>
  <si>
    <t>BLUEBERRY PKT</t>
  </si>
  <si>
    <t>CHESTNUT CHINA</t>
  </si>
  <si>
    <t>CABBAGE IRAN</t>
  </si>
  <si>
    <t>CARROT INDIA</t>
  </si>
  <si>
    <t>CARROT KGS</t>
  </si>
  <si>
    <t>CHOW CHOW INDIA AIR KG</t>
  </si>
  <si>
    <t>CLUSTER BEANS INDIA AIR KG</t>
  </si>
  <si>
    <t>EGGPLANT LONG GREEN INDIA</t>
  </si>
  <si>
    <t>EGPLANT STAR QATAR</t>
  </si>
  <si>
    <t>DATES IRAN</t>
  </si>
  <si>
    <t>DHILL QATAR</t>
  </si>
  <si>
    <t>DRUMSTICK LEAVES INDIA</t>
  </si>
  <si>
    <t>GARLIC INDIA AIR KG</t>
  </si>
  <si>
    <t>BEETROOT IRAN KG</t>
  </si>
  <si>
    <t>GREEN PAPPAYA SRILANKA</t>
  </si>
  <si>
    <t>GREEN SHALGAM QATAR</t>
  </si>
  <si>
    <t>GRAPE WHITE INDIA BOX</t>
  </si>
  <si>
    <t>ONION HOLLAND KG</t>
  </si>
  <si>
    <t>DILL LEAVES JORDAN PC</t>
  </si>
  <si>
    <t>CHILLI KANDARI INDIA PKT 100GM</t>
  </si>
  <si>
    <t>BOTTLE GOURD IRAN KG</t>
  </si>
  <si>
    <t>APPLE GREEN CHINA KG</t>
  </si>
  <si>
    <t>JARJEER LEAF SAUDI ARABIA KG</t>
  </si>
  <si>
    <t>CAPSICUM YELLOW EGYPT KG</t>
  </si>
  <si>
    <t>PARSLEY LEAVES JORDAN PC</t>
  </si>
  <si>
    <t>GREEN BANANA KGS</t>
  </si>
  <si>
    <t>GREEN CHILLI INDIA AIR KG</t>
  </si>
  <si>
    <t>KINAR BANGLADESH</t>
  </si>
  <si>
    <t>MANDARINE AUSTRALIA</t>
  </si>
  <si>
    <t>LEMON AFRICA</t>
  </si>
  <si>
    <t>LETTUCE FRISSE GREEN HOLLAND</t>
  </si>
  <si>
    <t>LIME VIETNAM</t>
  </si>
  <si>
    <t>LONG BEENS QATAR</t>
  </si>
  <si>
    <t>LOTTI BANGLADESH AIR KG</t>
  </si>
  <si>
    <t>MANGO MALLIKA INDIA AIR</t>
  </si>
  <si>
    <t>MANGO MUVANDAN INDIA AIR KG</t>
  </si>
  <si>
    <t>MANGO SUNDARI INDIA AIR KG</t>
  </si>
  <si>
    <t>GERGER LEAVES IRAN KG</t>
  </si>
  <si>
    <t>DRAGON FRUIT KG</t>
  </si>
  <si>
    <t>POTATO WHITE PAKISTAN KG</t>
  </si>
  <si>
    <t>PUMPKIN LEAVES PCS</t>
  </si>
  <si>
    <t>TAMARILLO NEPAL KG</t>
  </si>
  <si>
    <t>SWEET MELON EGYPT KG</t>
  </si>
  <si>
    <t>STRAWBERRY EGYPT BOX</t>
  </si>
  <si>
    <t>PLUMS BANGLADESH AIR KG</t>
  </si>
  <si>
    <t>ONION WHITE CHINA KG</t>
  </si>
  <si>
    <t>CABBAGE RED EGYPT KG</t>
  </si>
  <si>
    <t>MANGO BADAMI INDIA AIR KG</t>
  </si>
  <si>
    <t>CORIANDER LEAF OMAN KG</t>
  </si>
  <si>
    <t>BOTTLEGOURD FARM QATAR KG</t>
  </si>
  <si>
    <t>EGGPLANT BLACK LONG FARM QATAR KG</t>
  </si>
  <si>
    <t>EGGPLANT STAR FARM QATAR KG</t>
  </si>
  <si>
    <t>EGGPLANT RED LONG FARM QATAR KG</t>
  </si>
  <si>
    <t>EGG PLANT GREEN LONG FARM QATAR KG</t>
  </si>
  <si>
    <t>AVOCADO UGANDA AIR KG</t>
  </si>
  <si>
    <t>KIWI GOLD NEW ZEALAND KG</t>
  </si>
  <si>
    <t>CHILLI BHAJJI OMAN KG</t>
  </si>
  <si>
    <t>WHITE ONION AUSTRALIA KG</t>
  </si>
  <si>
    <t>CAULIFLOWER QATAR KG</t>
  </si>
  <si>
    <t>AVOCADO KENYA AIR KG</t>
  </si>
  <si>
    <t>APPLE SMALL BOX PC</t>
  </si>
  <si>
    <t>Q DATES AJWA DATES 400GM</t>
  </si>
  <si>
    <t>Q DATES SAFAWI DATES 800GM</t>
  </si>
  <si>
    <t>Q DATES SAFAWI DATES 400 GM</t>
  </si>
  <si>
    <t>Q DATES MABROOM DATES 800 GM</t>
  </si>
  <si>
    <t>Q DATES MABROOM DATES 400 GM</t>
  </si>
  <si>
    <t>Q DATES SUFRI DATES 800 GM</t>
  </si>
  <si>
    <t>Q DATES SUFRI DATES 400 GM</t>
  </si>
  <si>
    <t>Q DATES SUQAI DATES 800 GM</t>
  </si>
  <si>
    <t>Q DATES SUQAI DATES 400 GM</t>
  </si>
  <si>
    <t>Q DATES AJWA DATES 800GM</t>
  </si>
  <si>
    <t>SWEET POTATO TURKEY KG</t>
  </si>
  <si>
    <t>TURNIP LEAVES PKT</t>
  </si>
  <si>
    <t>GRAPE FRUIT EGYPT KG</t>
  </si>
  <si>
    <t>PEAR GOLD CHINA KG</t>
  </si>
  <si>
    <t>Onion India Bag 1 bag</t>
  </si>
  <si>
    <t>ORANGE NAVEL EGYPT KGS</t>
  </si>
  <si>
    <t>ORANGE NAVEL SA KGS</t>
  </si>
  <si>
    <t>ORANGE SANDRA PAKISTAN KGS</t>
  </si>
  <si>
    <t>ORANGE VALENCIA EGYPT KGS</t>
  </si>
  <si>
    <t>SNAKE GOURD INDIA AIR KG</t>
  </si>
  <si>
    <t>PAPAYA YELLOW INDIA AIR KG</t>
  </si>
  <si>
    <t>PAPDI KGS</t>
  </si>
  <si>
    <t>PASSION FRUITS KGS</t>
  </si>
  <si>
    <t>PINEAPPLE INDIA KG</t>
  </si>
  <si>
    <t>PUMPKIN RED OMAN KG</t>
  </si>
  <si>
    <t>PUMPKIN BOBAR INDIA KGS</t>
  </si>
  <si>
    <t>PUMPKIN RED IRAN KG</t>
  </si>
  <si>
    <t>PLUM YELLOW S AFRICA KGS</t>
  </si>
  <si>
    <t>PLUMS RED AFRICA KGS</t>
  </si>
  <si>
    <t>Red Currant Holland</t>
  </si>
  <si>
    <t>TAPIOCA SRI LANKA KG</t>
  </si>
  <si>
    <t>TENDER JACKFRUIT INDIA AIR KG</t>
  </si>
  <si>
    <t>SUGAR CANE KGS</t>
  </si>
  <si>
    <t>SURAN (CHENA) INDIA AIR KG</t>
  </si>
  <si>
    <t>SWEET MELON IRAN KGS</t>
  </si>
  <si>
    <t>KIWI KG</t>
  </si>
  <si>
    <t>Longan Thailand</t>
  </si>
  <si>
    <t>MANGO YEMEN / KG</t>
  </si>
  <si>
    <t>MIXED FRUIT</t>
  </si>
  <si>
    <t>COCONUT SCRAPED INDIA</t>
  </si>
  <si>
    <t>ARAVI CHINA KGS</t>
  </si>
  <si>
    <t>BANANA GREEN KGS</t>
  </si>
  <si>
    <t>BANANA STUMP KG</t>
  </si>
  <si>
    <t>BINDI (OKRA) INDIA AIR KG</t>
  </si>
  <si>
    <t>BITTER GOURD INDIA AIR KG</t>
  </si>
  <si>
    <t>Blueberry</t>
  </si>
  <si>
    <t>AVOCADO KENYA KGS</t>
  </si>
  <si>
    <t>BANANA DOLE ECUADOR KG</t>
  </si>
  <si>
    <t>CAPSICUM MIXED</t>
  </si>
  <si>
    <t>GRAPE WHITE AFRICA KGS</t>
  </si>
  <si>
    <t>PAPAYA GREEN INDIA AIR KG</t>
  </si>
  <si>
    <t>Physalis</t>
  </si>
  <si>
    <t>ONION KG</t>
  </si>
  <si>
    <t>MANGO AFRICA KGS</t>
  </si>
  <si>
    <t>ONION SMALL INDIA AIR KG</t>
  </si>
  <si>
    <t>Pineapple Pc</t>
  </si>
  <si>
    <t>Garlic Bag Small</t>
  </si>
  <si>
    <t>POMELO CHINA KGS</t>
  </si>
  <si>
    <t>APPLE RED CHINA KGS</t>
  </si>
  <si>
    <t>CARROT CHINA KGS</t>
  </si>
  <si>
    <t>INDIAN ANAR-RED KGS</t>
  </si>
  <si>
    <t>Strawberry Usa</t>
  </si>
  <si>
    <t>CAPSICUM YELLOW JORDAN KG</t>
  </si>
  <si>
    <t>BEANS FRESH INDIA AIR KG</t>
  </si>
  <si>
    <t>CELERY STICK AUSTRALIA</t>
  </si>
  <si>
    <t>ONION TURKEY</t>
  </si>
  <si>
    <t>CURRY LEAVES SRI LANKA KG</t>
  </si>
  <si>
    <t>POMEGRANATE SYRIA</t>
  </si>
  <si>
    <t>POTATO RED AUSTRALIA</t>
  </si>
  <si>
    <t>POTATO RED PAK KGS</t>
  </si>
  <si>
    <t>KINAR FRUIT INDIA KG</t>
  </si>
  <si>
    <t>SNAKE GOURD SRILANKA</t>
  </si>
  <si>
    <t>APPLE GOLDEN ITALY KG</t>
  </si>
  <si>
    <t>TOMATO CHERRY MOROCCO 250GM</t>
  </si>
  <si>
    <t>BABY RED CHILLI THAILAND</t>
  </si>
  <si>
    <t>TOMATO IRAN</t>
  </si>
  <si>
    <t>GARLIC PEELED CHINA 250 GM</t>
  </si>
  <si>
    <t>APPLE GALA BRAZIL KG</t>
  </si>
  <si>
    <t>BASIL LEBANON AIR PC</t>
  </si>
  <si>
    <t>MUSHROOM SHEMJI BROWN THAILAND PC</t>
  </si>
  <si>
    <t>CHILLI GAZAL RED JORDAN KG</t>
  </si>
  <si>
    <t>GREEN CHILLI INDIA KGS</t>
  </si>
  <si>
    <t>Garlic Bag Big 1 bag</t>
  </si>
  <si>
    <t>GOLDEN PINEAPPLE INDIA AIR KG</t>
  </si>
  <si>
    <t>APPLE RED USA KGS</t>
  </si>
  <si>
    <t>BANANA INDIA AIR KG</t>
  </si>
  <si>
    <t>ORANGE NAVEL AUSTRALIA KG</t>
  </si>
  <si>
    <t>CABBAGE KGS</t>
  </si>
  <si>
    <t>YELLOW BANANA INDIAN KGS</t>
  </si>
  <si>
    <t>APPLE RED JUMBO ITALY KGS</t>
  </si>
  <si>
    <t>CARROT AUSTRALIA KG</t>
  </si>
  <si>
    <t>FRESH TURMERIC INDIA AIR KG</t>
  </si>
  <si>
    <t>PEANUT FRESH INDIA KG</t>
  </si>
  <si>
    <t>Raspberry</t>
  </si>
  <si>
    <t>POTATO LOCAL</t>
  </si>
  <si>
    <t>REHAN/METHI</t>
  </si>
  <si>
    <t>RED POOVAN INDIA AIR KG</t>
  </si>
  <si>
    <t>Mangosteen</t>
  </si>
  <si>
    <t>Banana Leaves</t>
  </si>
  <si>
    <t>PEAR COSIA CHILLY KGS</t>
  </si>
  <si>
    <t>GOOSEBERRY INDIA AIR KG</t>
  </si>
  <si>
    <t>TOMATO MALAYSIA KGS</t>
  </si>
  <si>
    <t>CUCUMBER QATAR KG</t>
  </si>
  <si>
    <t>APPLE ROYAL GALA ITALY KGS</t>
  </si>
  <si>
    <t>PEAR VERMAN BEAUTY</t>
  </si>
  <si>
    <t>CUCUMBER PREMIUM DOHA</t>
  </si>
  <si>
    <t>TURY INDIA AIR KG</t>
  </si>
  <si>
    <t>LEMON BANGLADESH AIR KG</t>
  </si>
  <si>
    <t>RADISH WHITE BANGLADESH</t>
  </si>
  <si>
    <t>LIME INDIA KGS</t>
  </si>
  <si>
    <t>LIME INDIA AIR KG</t>
  </si>
  <si>
    <t>APPLE GALA MOLDOVA KG</t>
  </si>
  <si>
    <t>BLACKBERRY MEXICO PKT</t>
  </si>
  <si>
    <t>GRAPE RED SEEDLESS AUSTRALIA KG</t>
  </si>
  <si>
    <t>BLUEBERRY MEXICO PKT</t>
  </si>
  <si>
    <t>STRAWBERRY MOROCCO SMALL PKT</t>
  </si>
  <si>
    <t>SWEET CORN QATAR KG</t>
  </si>
  <si>
    <t>AVOCADO HASS PERU AIR KG</t>
  </si>
  <si>
    <t>BLUEBERRY PERU PC</t>
  </si>
  <si>
    <t>CHINESE CABBAGE HOLLAND KG</t>
  </si>
  <si>
    <t>GRAPE RED SOUTH AFRICA KG</t>
  </si>
  <si>
    <t>GRAPE BLACK INDIA KG</t>
  </si>
  <si>
    <t>PALAK LEAVES FARM QATAR KG</t>
  </si>
  <si>
    <t>SPRING ONION FARM QATAR KG</t>
  </si>
  <si>
    <t>DILL LEAF FARM QATAR KG</t>
  </si>
  <si>
    <t>MUSTARD LEAF FARM QATAR KG</t>
  </si>
  <si>
    <t>RADISH RED QATAR KG</t>
  </si>
  <si>
    <t>GERGER LEAF FARM QATAR KG</t>
  </si>
  <si>
    <t>CAPSICUM GREEN IRAN KG</t>
  </si>
  <si>
    <t>SWEET TAMARIND W SUGAR THAILAND PC</t>
  </si>
  <si>
    <t>CAPSICUM GREEN PREMIUM 500GM PKT</t>
  </si>
  <si>
    <t>APPLE RED ITALY KG</t>
  </si>
  <si>
    <t>APRICOT IRAN KG</t>
  </si>
  <si>
    <t>MINT LEAVES JORDAN KG</t>
  </si>
  <si>
    <t>COLOR CAPSICUM MIX 250 GM</t>
  </si>
  <si>
    <t>APPLE GREEN SOUTH AFRICA KG</t>
  </si>
  <si>
    <t>NECTARINE IRAN KG</t>
  </si>
  <si>
    <t>EGGPLANT WHITE QATAR KG</t>
  </si>
  <si>
    <t>FRESH DATES DOHA</t>
  </si>
  <si>
    <t>PA MUNG BEANS SPROUTS 250GM</t>
  </si>
  <si>
    <t>PA SLICE MUSHROOM 250GM</t>
  </si>
  <si>
    <t>PA WHITE MUSHROOM 250GM</t>
  </si>
  <si>
    <t>MUNNAKKA KG</t>
  </si>
  <si>
    <t>667942</t>
  </si>
  <si>
    <t>668311</t>
  </si>
  <si>
    <t>668319</t>
  </si>
  <si>
    <t>539028</t>
  </si>
  <si>
    <t>823373</t>
  </si>
  <si>
    <t>652033</t>
  </si>
  <si>
    <t>466710</t>
  </si>
  <si>
    <t>609083</t>
  </si>
  <si>
    <t>609095</t>
  </si>
  <si>
    <t>609096</t>
  </si>
  <si>
    <t>609099</t>
  </si>
  <si>
    <t>609116</t>
  </si>
  <si>
    <t>609121</t>
  </si>
  <si>
    <t>609122</t>
  </si>
  <si>
    <t>609124</t>
  </si>
  <si>
    <t>609126</t>
  </si>
  <si>
    <t>609128</t>
  </si>
  <si>
    <t>609132</t>
  </si>
  <si>
    <t>744491</t>
  </si>
  <si>
    <t>468079</t>
  </si>
  <si>
    <t>742288</t>
  </si>
  <si>
    <t>823348</t>
  </si>
  <si>
    <t>763924</t>
  </si>
  <si>
    <t>470102</t>
  </si>
  <si>
    <t>470176</t>
  </si>
  <si>
    <t>470222</t>
  </si>
  <si>
    <t>470331</t>
  </si>
  <si>
    <t>470332</t>
  </si>
  <si>
    <t>470333</t>
  </si>
  <si>
    <t>470335</t>
  </si>
  <si>
    <t>470422</t>
  </si>
  <si>
    <t>470446</t>
  </si>
  <si>
    <t>471689</t>
  </si>
  <si>
    <t>471795</t>
  </si>
  <si>
    <t>770556</t>
  </si>
  <si>
    <t>823355</t>
  </si>
  <si>
    <t>884046</t>
  </si>
  <si>
    <t>884047</t>
  </si>
  <si>
    <t>884048</t>
  </si>
  <si>
    <t>884049</t>
  </si>
  <si>
    <t>884050</t>
  </si>
  <si>
    <t>884051</t>
  </si>
  <si>
    <t>468097</t>
  </si>
  <si>
    <t>609075</t>
  </si>
  <si>
    <t>868748</t>
  </si>
  <si>
    <t>472051</t>
  </si>
  <si>
    <t>472070</t>
  </si>
  <si>
    <t>472152</t>
  </si>
  <si>
    <t>472271</t>
  </si>
  <si>
    <t>472319</t>
  </si>
  <si>
    <t>472338</t>
  </si>
  <si>
    <t>472464</t>
  </si>
  <si>
    <t>472498</t>
  </si>
  <si>
    <t>472624</t>
  </si>
  <si>
    <t>472662</t>
  </si>
  <si>
    <t>470497</t>
  </si>
  <si>
    <t>470546</t>
  </si>
  <si>
    <t>742287</t>
  </si>
  <si>
    <t>823352</t>
  </si>
  <si>
    <t>739137</t>
  </si>
  <si>
    <t>470699</t>
  </si>
  <si>
    <t>470952</t>
  </si>
  <si>
    <t>471104</t>
  </si>
  <si>
    <t>471151</t>
  </si>
  <si>
    <t>471178</t>
  </si>
  <si>
    <t>468615</t>
  </si>
  <si>
    <t>545501</t>
  </si>
  <si>
    <t>545513</t>
  </si>
  <si>
    <t>545522</t>
  </si>
  <si>
    <t>469264</t>
  </si>
  <si>
    <t>469272</t>
  </si>
  <si>
    <t>469333</t>
  </si>
  <si>
    <t>469359</t>
  </si>
  <si>
    <t>469467</t>
  </si>
  <si>
    <t>469486</t>
  </si>
  <si>
    <t>814111</t>
  </si>
  <si>
    <t>847446</t>
  </si>
  <si>
    <t>856863</t>
  </si>
  <si>
    <t>857133</t>
  </si>
  <si>
    <t>857137</t>
  </si>
  <si>
    <t>861708</t>
  </si>
  <si>
    <t>861946</t>
  </si>
  <si>
    <t>823365</t>
  </si>
  <si>
    <t>770555</t>
  </si>
  <si>
    <t>469574</t>
  </si>
  <si>
    <t>469583</t>
  </si>
  <si>
    <t>469585</t>
  </si>
  <si>
    <t>469638</t>
  </si>
  <si>
    <t>469690</t>
  </si>
  <si>
    <t>469699</t>
  </si>
  <si>
    <t>469700</t>
  </si>
  <si>
    <t>469710</t>
  </si>
  <si>
    <t>469711</t>
  </si>
  <si>
    <t>469737</t>
  </si>
  <si>
    <t>469770</t>
  </si>
  <si>
    <t>470035</t>
  </si>
  <si>
    <t>852808</t>
  </si>
  <si>
    <t>881665</t>
  </si>
  <si>
    <t>881667</t>
  </si>
  <si>
    <t>899485</t>
  </si>
  <si>
    <t>472804</t>
  </si>
  <si>
    <t>472861</t>
  </si>
  <si>
    <t>472869</t>
  </si>
  <si>
    <t>472881</t>
  </si>
  <si>
    <t>472889</t>
  </si>
  <si>
    <t>472919</t>
  </si>
  <si>
    <t>559154</t>
  </si>
  <si>
    <t>682246</t>
  </si>
  <si>
    <t>468085</t>
  </si>
  <si>
    <t>468090</t>
  </si>
  <si>
    <t>468096</t>
  </si>
  <si>
    <t>468098</t>
  </si>
  <si>
    <t>473102</t>
  </si>
  <si>
    <t>473139</t>
  </si>
  <si>
    <t>633447</t>
  </si>
  <si>
    <t>468101</t>
  </si>
  <si>
    <t>468106</t>
  </si>
  <si>
    <t>468110</t>
  </si>
  <si>
    <t>468340</t>
  </si>
  <si>
    <t>652022</t>
  </si>
  <si>
    <t>652024</t>
  </si>
  <si>
    <t>664499</t>
  </si>
  <si>
    <t>7713</t>
  </si>
  <si>
    <t>3246</t>
  </si>
  <si>
    <t>3247</t>
  </si>
  <si>
    <t>3128</t>
  </si>
  <si>
    <t>9140</t>
  </si>
  <si>
    <t>3229</t>
  </si>
  <si>
    <t>7525</t>
  </si>
  <si>
    <t>2465</t>
  </si>
  <si>
    <t>3180</t>
  </si>
  <si>
    <t>3134</t>
  </si>
  <si>
    <t>3140</t>
  </si>
  <si>
    <t>3197</t>
  </si>
  <si>
    <t>3186</t>
  </si>
  <si>
    <t>3198</t>
  </si>
  <si>
    <t>3199</t>
  </si>
  <si>
    <t>3200</t>
  </si>
  <si>
    <t>3202</t>
  </si>
  <si>
    <t>3203</t>
  </si>
  <si>
    <t>4385</t>
  </si>
  <si>
    <t>3865</t>
  </si>
  <si>
    <t>4262</t>
  </si>
  <si>
    <t>9133</t>
  </si>
  <si>
    <t>4580</t>
  </si>
  <si>
    <t>3102</t>
  </si>
  <si>
    <t>3064</t>
  </si>
  <si>
    <t>3091</t>
  </si>
  <si>
    <t>3160</t>
  </si>
  <si>
    <t>3050</t>
  </si>
  <si>
    <t>3120</t>
  </si>
  <si>
    <t>3086</t>
  </si>
  <si>
    <t>3220</t>
  </si>
  <si>
    <t>3015</t>
  </si>
  <si>
    <t>3077</t>
  </si>
  <si>
    <t>3131</t>
  </si>
  <si>
    <t>4762</t>
  </si>
  <si>
    <t>9135</t>
  </si>
  <si>
    <t>9446</t>
  </si>
  <si>
    <t>9451</t>
  </si>
  <si>
    <t>9447</t>
  </si>
  <si>
    <t>9452</t>
  </si>
  <si>
    <t>9448</t>
  </si>
  <si>
    <t>9449</t>
  </si>
  <si>
    <t>3864</t>
  </si>
  <si>
    <t>3061</t>
  </si>
  <si>
    <t>7850</t>
  </si>
  <si>
    <t>3110</t>
  </si>
  <si>
    <t>3156</t>
  </si>
  <si>
    <t>3079</t>
  </si>
  <si>
    <t>3162</t>
  </si>
  <si>
    <t>3165</t>
  </si>
  <si>
    <t>3041</t>
  </si>
  <si>
    <t>3116</t>
  </si>
  <si>
    <t>3026</t>
  </si>
  <si>
    <t>3034</t>
  </si>
  <si>
    <t>3078</t>
  </si>
  <si>
    <t>3013</t>
  </si>
  <si>
    <t>3117</t>
  </si>
  <si>
    <t>4261</t>
  </si>
  <si>
    <t>9134</t>
  </si>
  <si>
    <t>4210</t>
  </si>
  <si>
    <t>3028</t>
  </si>
  <si>
    <t>3057</t>
  </si>
  <si>
    <t>3100</t>
  </si>
  <si>
    <t>3014</t>
  </si>
  <si>
    <t>3030</t>
  </si>
  <si>
    <t>3087</t>
  </si>
  <si>
    <t>3070</t>
  </si>
  <si>
    <t>3137</t>
  </si>
  <si>
    <t>3192</t>
  </si>
  <si>
    <t>3106</t>
  </si>
  <si>
    <t>3046</t>
  </si>
  <si>
    <t>3012</t>
  </si>
  <si>
    <t>3075</t>
  </si>
  <si>
    <t>3002</t>
  </si>
  <si>
    <t>3092</t>
  </si>
  <si>
    <t>9052</t>
  </si>
  <si>
    <t>9293</t>
  </si>
  <si>
    <t>4696</t>
  </si>
  <si>
    <t>4697</t>
  </si>
  <si>
    <t>4695</t>
  </si>
  <si>
    <t>4709</t>
  </si>
  <si>
    <t>4712</t>
  </si>
  <si>
    <t>9138</t>
  </si>
  <si>
    <t>4767</t>
  </si>
  <si>
    <t>3019</t>
  </si>
  <si>
    <t>3104</t>
  </si>
  <si>
    <t>3049</t>
  </si>
  <si>
    <t>3016</t>
  </si>
  <si>
    <t>3017</t>
  </si>
  <si>
    <t>3023</t>
  </si>
  <si>
    <t>3024</t>
  </si>
  <si>
    <t>3027</t>
  </si>
  <si>
    <t>3094</t>
  </si>
  <si>
    <t>3111</t>
  </si>
  <si>
    <t>3007</t>
  </si>
  <si>
    <t>3098</t>
  </si>
  <si>
    <t>4548</t>
  </si>
  <si>
    <t>9439</t>
  </si>
  <si>
    <t>9441</t>
  </si>
  <si>
    <t>9540</t>
  </si>
  <si>
    <t>3144</t>
  </si>
  <si>
    <t>3103</t>
  </si>
  <si>
    <t>3107</t>
  </si>
  <si>
    <t>3009</t>
  </si>
  <si>
    <t>3040</t>
  </si>
  <si>
    <t>3163</t>
  </si>
  <si>
    <t>3150</t>
  </si>
  <si>
    <t>2000006233264</t>
  </si>
  <si>
    <t>3852</t>
  </si>
  <si>
    <t>3004</t>
  </si>
  <si>
    <t>3006</t>
  </si>
  <si>
    <t>3857</t>
  </si>
  <si>
    <t>3011</t>
  </si>
  <si>
    <t>3825</t>
  </si>
  <si>
    <t>3207</t>
  </si>
  <si>
    <t>3820</t>
  </si>
  <si>
    <t>3054</t>
  </si>
  <si>
    <t>3051</t>
  </si>
  <si>
    <t>7526</t>
  </si>
  <si>
    <t>3223</t>
  </si>
  <si>
    <t>3227</t>
  </si>
  <si>
    <t>3240</t>
  </si>
  <si>
    <t>FISHERY (W)</t>
  </si>
  <si>
    <t>SAFI FISH MEDIUM QATAR KG</t>
  </si>
  <si>
    <t>BARRACUDA FISH BIG QATAR KG</t>
  </si>
  <si>
    <t>CRAB MALE MEDIUM QATAR KG</t>
  </si>
  <si>
    <t>SILVER POMFRET KG</t>
  </si>
  <si>
    <t>PRAWNS 40/50 UAE KG</t>
  </si>
  <si>
    <t>JESH FISH STEAK QATAR KG</t>
  </si>
  <si>
    <t>FASKER FISH MEDIUM QATAR KG</t>
  </si>
  <si>
    <t>FARSH FISH MEDIUM QATAR KG</t>
  </si>
  <si>
    <t>KRARY FISH MEDIUM QATAR KG</t>
  </si>
  <si>
    <t>SULTAN IBRAHIM FISH MEDIUM QATAR KG</t>
  </si>
  <si>
    <t>TUNA FISH MEDIUM QATAR KG</t>
  </si>
  <si>
    <t>HAMOUR MEDIUM FISH QATAR KG</t>
  </si>
  <si>
    <t>QURKIVAN FISH MEDIUM QATAR KG</t>
  </si>
  <si>
    <t>JASH FISH MEDIUM QATAR KG</t>
  </si>
  <si>
    <t>JD FISH MEDIUM QATAR KG</t>
  </si>
  <si>
    <t>KING FISH SMALL QATAR KG</t>
  </si>
  <si>
    <t>NAIMI FISH MEDIUM QATAR KG</t>
  </si>
  <si>
    <t>NESSER FISH MEDIUM QATAR KG</t>
  </si>
  <si>
    <t>TILAPIA EGYPT KG</t>
  </si>
  <si>
    <t>RED SNAPPER MEDIUM QATAR KG</t>
  </si>
  <si>
    <t>CATLA FISH UGANDA KG</t>
  </si>
  <si>
    <t>SOLE FISH UAE KG</t>
  </si>
  <si>
    <t>SHARK STEAK DOHA KG</t>
  </si>
  <si>
    <t>NEEDLE FISH DOHA</t>
  </si>
  <si>
    <t>PARROT FISH DOHA</t>
  </si>
  <si>
    <t>QUEEN FISH BIG QATAR KG</t>
  </si>
  <si>
    <t>SHERI BIG QATAR KG</t>
  </si>
  <si>
    <t>SHERI BIG KGS</t>
  </si>
  <si>
    <t>SHERI MEDIUM DOHA</t>
  </si>
  <si>
    <t>RED GROUPER DOHA</t>
  </si>
  <si>
    <t>SARDINE OMAN FROZEN KG</t>
  </si>
  <si>
    <t>TAIL FISH DOHA KGS</t>
  </si>
  <si>
    <t>MILK FISH BIG DOHA</t>
  </si>
  <si>
    <t>SEABREAM TURKEY</t>
  </si>
  <si>
    <t>ROHU EGYPT KG</t>
  </si>
  <si>
    <t>SARDINE UAE KG</t>
  </si>
  <si>
    <t>TUNA UAE KG</t>
  </si>
  <si>
    <t>ANCHOVIES UAE KG</t>
  </si>
  <si>
    <t>SQUID UAE KG</t>
  </si>
  <si>
    <t>ROHU UAE KG</t>
  </si>
  <si>
    <t>SILVER POMFRET UAE KG</t>
  </si>
  <si>
    <t>SULTAN IBRAHIM UAE KG</t>
  </si>
  <si>
    <t>NEEDLE FISH OMAN KG</t>
  </si>
  <si>
    <t>RAPEEP FISH MEDIUM QATAR KG</t>
  </si>
  <si>
    <t>MODHA FISH HEAD KG</t>
  </si>
  <si>
    <t>WHITE SHERI SMALL QATAR KG</t>
  </si>
  <si>
    <t>HAMAM FISH BLACK DOHA</t>
  </si>
  <si>
    <t>SEA BASS TURKEY</t>
  </si>
  <si>
    <t>SILVER MOONY FISH DOHA</t>
  </si>
  <si>
    <t>KING FISH STEAK</t>
  </si>
  <si>
    <t>SNAPPER RED KGS</t>
  </si>
  <si>
    <t>MALABAR TREVALLY SMALL DOHA</t>
  </si>
  <si>
    <t>MULLEN KGS</t>
  </si>
  <si>
    <t>BADHA MEDIUM QATAR KG</t>
  </si>
  <si>
    <t>THODI KGS</t>
  </si>
  <si>
    <t>SPADHA KGS</t>
  </si>
  <si>
    <t>SULTAN BASI DOHA</t>
  </si>
  <si>
    <t>CATLA EGYPT KG</t>
  </si>
  <si>
    <t>BELT FISH UAE KG</t>
  </si>
  <si>
    <t>HORSE MACKEREL OMAN KG</t>
  </si>
  <si>
    <t>EMAD FISH DOHA</t>
  </si>
  <si>
    <t>TUNA FISH BIG KGS</t>
  </si>
  <si>
    <t>VETTAN FISH DOHA</t>
  </si>
  <si>
    <t>BARRACUDA FISH SMALL DOHA</t>
  </si>
  <si>
    <t>WHITE SNAPPER BIG QATAR KG</t>
  </si>
  <si>
    <t>ANCHOVI OMAN</t>
  </si>
  <si>
    <t>SHARK SMALL QATAR KG</t>
  </si>
  <si>
    <t>JESH BIG QATAR KG</t>
  </si>
  <si>
    <t>MALABAR TRAVALLEY MEDIUM DOHA</t>
  </si>
  <si>
    <t>YANM SMALL QATAR KG</t>
  </si>
  <si>
    <t>CUTTLEFISH BIG QATAR KG</t>
  </si>
  <si>
    <t>ETTA KGS</t>
  </si>
  <si>
    <t>FASKER DOHA</t>
  </si>
  <si>
    <t>HAMAM FISH WHITE DOHA</t>
  </si>
  <si>
    <t>GOLDEN TREVALLY BIG QATAR KG</t>
  </si>
  <si>
    <t>KING FISH HEAD KG</t>
  </si>
  <si>
    <t>MACKEREL UAE KG</t>
  </si>
  <si>
    <t>SALMON UAE KG</t>
  </si>
  <si>
    <t>MACKEREL SMALL SAUDI KG</t>
  </si>
  <si>
    <t>SQUID SAUDI KG</t>
  </si>
  <si>
    <t>BLUE MARLIN FISH KSA KG</t>
  </si>
  <si>
    <t>PRAWNS SMALL KSA KG</t>
  </si>
  <si>
    <t>SEA WHITE PRAWNS 20/30 UAE KG</t>
  </si>
  <si>
    <t>WHITE POMFRET BIG OMAN KG</t>
  </si>
  <si>
    <t>KING FISH SMALL KGS</t>
  </si>
  <si>
    <t>KOFAR BIG DOHA</t>
  </si>
  <si>
    <t>KOFAR SMALL KGS</t>
  </si>
  <si>
    <t>JACK MACKEREL DOHA</t>
  </si>
  <si>
    <t>KARIMEEN KGS</t>
  </si>
  <si>
    <t>MACKEREL BIG KGS</t>
  </si>
  <si>
    <t>MACKEREL SMALL KGS</t>
  </si>
  <si>
    <t>MAKRONI VELTAN KGS</t>
  </si>
  <si>
    <t>MALABAR TREVALLY BIG QATAR KG</t>
  </si>
  <si>
    <t>KORAN FISH DOHA</t>
  </si>
  <si>
    <t>CRAB LADY BIG QATAR KG</t>
  </si>
  <si>
    <t>MULLET FISH SMALL PAKISTAN</t>
  </si>
  <si>
    <t>SEABASS UAE KG</t>
  </si>
  <si>
    <t>GREEN MUSSELS UAE KG</t>
  </si>
  <si>
    <t>SULTAN BASI UAE KG</t>
  </si>
  <si>
    <t>TILAPIA UAE KG</t>
  </si>
  <si>
    <t>KING FISH BIG QATAR KG</t>
  </si>
  <si>
    <t>CHEMBAN KG</t>
  </si>
  <si>
    <t>MULLAN SMALL KGS</t>
  </si>
  <si>
    <t>MAANTHAL KGS</t>
  </si>
  <si>
    <t>PRAWNS 5060 KGS</t>
  </si>
  <si>
    <t>SALMON NORWAY</t>
  </si>
  <si>
    <t>KRARY BIG QATAR KG</t>
  </si>
  <si>
    <t>FISH-IN ICE 50 KG PCS</t>
  </si>
  <si>
    <t>SELAR SCAD FISH OMAN KG</t>
  </si>
  <si>
    <t>SARDINES OMAN BIG KGS</t>
  </si>
  <si>
    <t>BLACK POMFRET KGS</t>
  </si>
  <si>
    <t>TUNA BIG QATAR KG</t>
  </si>
  <si>
    <t>SUMAN FISH MEDIUM QATAR KG</t>
  </si>
  <si>
    <t>TUNA FISH SMALL OMAN KG</t>
  </si>
  <si>
    <t>FRESH TILAPIA QATAR KG</t>
  </si>
  <si>
    <t>ANCHOVY OMAN KG</t>
  </si>
  <si>
    <t>SULTAN IBRAHIM KGS</t>
  </si>
  <si>
    <t>SHERI SMALL KGS</t>
  </si>
  <si>
    <t>KOFER MEDIUM QATAR KG</t>
  </si>
  <si>
    <t>SIKEN FISH STEAK QATAR KG</t>
  </si>
  <si>
    <t>RED SNAPPER BIG QATAR KG</t>
  </si>
  <si>
    <t>WHITE SNAPPER MEDIUM QATAR KG</t>
  </si>
  <si>
    <t>668250</t>
  </si>
  <si>
    <t>668258</t>
  </si>
  <si>
    <t>668266</t>
  </si>
  <si>
    <t>668270</t>
  </si>
  <si>
    <t>669723</t>
  </si>
  <si>
    <t>669743</t>
  </si>
  <si>
    <t>516905</t>
  </si>
  <si>
    <t>516906</t>
  </si>
  <si>
    <t>516913</t>
  </si>
  <si>
    <t>516916</t>
  </si>
  <si>
    <t>516920</t>
  </si>
  <si>
    <t>516930</t>
  </si>
  <si>
    <t>518271</t>
  </si>
  <si>
    <t>528329</t>
  </si>
  <si>
    <t>662584</t>
  </si>
  <si>
    <t>472214</t>
  </si>
  <si>
    <t>518272</t>
  </si>
  <si>
    <t>518273</t>
  </si>
  <si>
    <t>843078</t>
  </si>
  <si>
    <t>597446</t>
  </si>
  <si>
    <t>428219</t>
  </si>
  <si>
    <t>432225</t>
  </si>
  <si>
    <t>584233</t>
  </si>
  <si>
    <t>591314</t>
  </si>
  <si>
    <t>593598</t>
  </si>
  <si>
    <t>744588</t>
  </si>
  <si>
    <t>566753</t>
  </si>
  <si>
    <t>891701</t>
  </si>
  <si>
    <t>909527</t>
  </si>
  <si>
    <t>847442</t>
  </si>
  <si>
    <t>472533</t>
  </si>
  <si>
    <t>472616</t>
  </si>
  <si>
    <t>472617</t>
  </si>
  <si>
    <t>472642</t>
  </si>
  <si>
    <t>574741</t>
  </si>
  <si>
    <t>472078</t>
  </si>
  <si>
    <t>471001</t>
  </si>
  <si>
    <t>471028</t>
  </si>
  <si>
    <t>471154</t>
  </si>
  <si>
    <t>471157</t>
  </si>
  <si>
    <t>545487</t>
  </si>
  <si>
    <t>468646</t>
  </si>
  <si>
    <t>468649</t>
  </si>
  <si>
    <t>468662</t>
  </si>
  <si>
    <t>468674</t>
  </si>
  <si>
    <t>468676</t>
  </si>
  <si>
    <t>468677</t>
  </si>
  <si>
    <t>468758</t>
  </si>
  <si>
    <t>468763</t>
  </si>
  <si>
    <t>469066</t>
  </si>
  <si>
    <t>469067</t>
  </si>
  <si>
    <t>856283</t>
  </si>
  <si>
    <t>856286</t>
  </si>
  <si>
    <t>856288</t>
  </si>
  <si>
    <t>856289</t>
  </si>
  <si>
    <t>856290</t>
  </si>
  <si>
    <t>856293</t>
  </si>
  <si>
    <t>856340</t>
  </si>
  <si>
    <t>856341</t>
  </si>
  <si>
    <t>856342</t>
  </si>
  <si>
    <t>856347</t>
  </si>
  <si>
    <t>856348</t>
  </si>
  <si>
    <t>856349</t>
  </si>
  <si>
    <t>856351</t>
  </si>
  <si>
    <t>856352</t>
  </si>
  <si>
    <t>856353</t>
  </si>
  <si>
    <t>856354</t>
  </si>
  <si>
    <t>888690</t>
  </si>
  <si>
    <t>888691</t>
  </si>
  <si>
    <t>469803</t>
  </si>
  <si>
    <t>469805</t>
  </si>
  <si>
    <t>469810</t>
  </si>
  <si>
    <t>469901</t>
  </si>
  <si>
    <t>469928</t>
  </si>
  <si>
    <t>469930</t>
  </si>
  <si>
    <t>541949</t>
  </si>
  <si>
    <t>890988</t>
  </si>
  <si>
    <t>895646</t>
  </si>
  <si>
    <t>895651</t>
  </si>
  <si>
    <t>895655</t>
  </si>
  <si>
    <t>895683</t>
  </si>
  <si>
    <t>895641</t>
  </si>
  <si>
    <t>895696</t>
  </si>
  <si>
    <t>897163</t>
  </si>
  <si>
    <t>899544</t>
  </si>
  <si>
    <t>899545</t>
  </si>
  <si>
    <t>899546</t>
  </si>
  <si>
    <t>472829</t>
  </si>
  <si>
    <t>472994</t>
  </si>
  <si>
    <t>681190</t>
  </si>
  <si>
    <t>682245</t>
  </si>
  <si>
    <t>473036</t>
  </si>
  <si>
    <t>685806</t>
  </si>
  <si>
    <t>685809</t>
  </si>
  <si>
    <t>611383</t>
  </si>
  <si>
    <t>612153</t>
  </si>
  <si>
    <t>625770</t>
  </si>
  <si>
    <t>242164</t>
  </si>
  <si>
    <t>242393</t>
  </si>
  <si>
    <t>386022</t>
  </si>
  <si>
    <t>393420</t>
  </si>
  <si>
    <t>393421</t>
  </si>
  <si>
    <t>396326</t>
  </si>
  <si>
    <t>396329</t>
  </si>
  <si>
    <t>396334</t>
  </si>
  <si>
    <t>398409</t>
  </si>
  <si>
    <t>414255</t>
  </si>
  <si>
    <t>424074</t>
  </si>
  <si>
    <t>431574</t>
  </si>
  <si>
    <t>639164</t>
  </si>
  <si>
    <t>2911</t>
  </si>
  <si>
    <t>2912</t>
  </si>
  <si>
    <t>3244</t>
  </si>
  <si>
    <t>3245</t>
  </si>
  <si>
    <t>7774</t>
  </si>
  <si>
    <t>7780</t>
  </si>
  <si>
    <t>0745114343345</t>
  </si>
  <si>
    <t>0745114343352</t>
  </si>
  <si>
    <t>0745114343369</t>
  </si>
  <si>
    <t>745114343376</t>
  </si>
  <si>
    <t>0745114343383</t>
  </si>
  <si>
    <t>0745114343420</t>
  </si>
  <si>
    <t>745114343437</t>
  </si>
  <si>
    <t>0745114343925</t>
  </si>
  <si>
    <t>7533</t>
  </si>
  <si>
    <t>7827</t>
  </si>
  <si>
    <t>0745114343444</t>
  </si>
  <si>
    <t>0745114343499</t>
  </si>
  <si>
    <t>9265</t>
  </si>
  <si>
    <t>2025</t>
  </si>
  <si>
    <t>2000000606408</t>
  </si>
  <si>
    <t>2000000606392</t>
  </si>
  <si>
    <t>0745760173273</t>
  </si>
  <si>
    <t>6679</t>
  </si>
  <si>
    <t>0745125004648</t>
  </si>
  <si>
    <t>4395</t>
  </si>
  <si>
    <t>0710535911008</t>
  </si>
  <si>
    <t>9473</t>
  </si>
  <si>
    <t>9652</t>
  </si>
  <si>
    <t>9298</t>
  </si>
  <si>
    <t>2411</t>
  </si>
  <si>
    <t>2291</t>
  </si>
  <si>
    <t>2213</t>
  </si>
  <si>
    <t>2009</t>
  </si>
  <si>
    <t>2456</t>
  </si>
  <si>
    <t>2283</t>
  </si>
  <si>
    <t>2946</t>
  </si>
  <si>
    <t>2406</t>
  </si>
  <si>
    <t>2224</t>
  </si>
  <si>
    <t>2292</t>
  </si>
  <si>
    <t>2445</t>
  </si>
  <si>
    <t>2225</t>
  </si>
  <si>
    <t>2296</t>
  </si>
  <si>
    <t>2290</t>
  </si>
  <si>
    <t>2228</t>
  </si>
  <si>
    <t>2276</t>
  </si>
  <si>
    <t>2287</t>
  </si>
  <si>
    <t>2212</t>
  </si>
  <si>
    <t>2232</t>
  </si>
  <si>
    <t>2272</t>
  </si>
  <si>
    <t>2164</t>
  </si>
  <si>
    <t>5051146349664</t>
  </si>
  <si>
    <t>5051146349626</t>
  </si>
  <si>
    <t>5051146349701</t>
  </si>
  <si>
    <t>5051146349510</t>
  </si>
  <si>
    <t>5051146349619</t>
  </si>
  <si>
    <t>5051153834184</t>
  </si>
  <si>
    <t>5051153834139</t>
  </si>
  <si>
    <t>5051153834146</t>
  </si>
  <si>
    <t>5051146349640</t>
  </si>
  <si>
    <t>5051146349541</t>
  </si>
  <si>
    <t>5051146349596</t>
  </si>
  <si>
    <t>5051146349527</t>
  </si>
  <si>
    <t>5051146349657</t>
  </si>
  <si>
    <t>5051146349572</t>
  </si>
  <si>
    <t>5051146349718</t>
  </si>
  <si>
    <t>5051146349763</t>
  </si>
  <si>
    <t>6300900710240</t>
  </si>
  <si>
    <t>6300900710257</t>
  </si>
  <si>
    <t>2014</t>
  </si>
  <si>
    <t>2058</t>
  </si>
  <si>
    <t>2054</t>
  </si>
  <si>
    <t>2216</t>
  </si>
  <si>
    <t>2011</t>
  </si>
  <si>
    <t>2961</t>
  </si>
  <si>
    <t>0745114343413</t>
  </si>
  <si>
    <t>9468</t>
  </si>
  <si>
    <t>6425742451486</t>
  </si>
  <si>
    <t>6425742368326</t>
  </si>
  <si>
    <t>6425743875847</t>
  </si>
  <si>
    <t>6425748869810</t>
  </si>
  <si>
    <t>6425746446426</t>
  </si>
  <si>
    <t>6425745859876</t>
  </si>
  <si>
    <t>9505</t>
  </si>
  <si>
    <t>9544</t>
  </si>
  <si>
    <t>9545</t>
  </si>
  <si>
    <t>9546</t>
  </si>
  <si>
    <t>2012</t>
  </si>
  <si>
    <t>2288</t>
  </si>
  <si>
    <t>3641</t>
  </si>
  <si>
    <t>2000006233189</t>
  </si>
  <si>
    <t>2289</t>
  </si>
  <si>
    <t>3739</t>
  </si>
  <si>
    <t>3740</t>
  </si>
  <si>
    <t>2524</t>
  </si>
  <si>
    <t>2542</t>
  </si>
  <si>
    <t>2666</t>
  </si>
  <si>
    <t>1209051000017</t>
  </si>
  <si>
    <t>1209021000016</t>
  </si>
  <si>
    <t>3854018149612</t>
  </si>
  <si>
    <t>0710535010541</t>
  </si>
  <si>
    <t>0710535010558</t>
  </si>
  <si>
    <t>0705632998809</t>
  </si>
  <si>
    <t>3854018149551</t>
  </si>
  <si>
    <t>0710535010718</t>
  </si>
  <si>
    <t>0710535010534</t>
  </si>
  <si>
    <t>2000005045332</t>
  </si>
  <si>
    <t>2000000986869</t>
  </si>
  <si>
    <t>2000000586526</t>
  </si>
  <si>
    <t>0710535010527</t>
  </si>
  <si>
    <t>BUTCHERY (W)</t>
  </si>
  <si>
    <t>BEEF BONE LOCAL KG</t>
  </si>
  <si>
    <t>BEEF BONE PAKISTAN KG</t>
  </si>
  <si>
    <t>BEEF FAT PAKISTAN KG</t>
  </si>
  <si>
    <t>CAMEL FAT LOCAL KG</t>
  </si>
  <si>
    <t>MUTTON  BONE INDIA KG</t>
  </si>
  <si>
    <t>MUTTON FAT INDIA KG</t>
  </si>
  <si>
    <t>AL NASEEM FRESH WHOLE CHICKEN 800GM</t>
  </si>
  <si>
    <t>AL NASEEM FRESH WHOLE CHICKEN 900GM</t>
  </si>
  <si>
    <t>AL NASEEM FRESH WHOLE CHICKEN 1000GM</t>
  </si>
  <si>
    <t>AL NASEEM FRESH WHOLE CHICKEN 1100GM</t>
  </si>
  <si>
    <t>AL NASEEM FRESH CHICKEN WHOLE 1200GM</t>
  </si>
  <si>
    <t>AL NASEEM FRESH CHICKEN WINGS 500GM</t>
  </si>
  <si>
    <t>AL NASEEM FRESH CHICKEN THIGHS 500GM</t>
  </si>
  <si>
    <t>MAZZRATY FRESH CHICKEN NECKS 500GM</t>
  </si>
  <si>
    <t>FRESH DEER MEAT NEW ZEALAND KG</t>
  </si>
  <si>
    <t>BEEF BONELESS LOCAL KG</t>
  </si>
  <si>
    <t>AL NASEEM FRESH CHICKEN DRUMSTICKS 500GM</t>
  </si>
  <si>
    <t>AL NASEEM FRESH WHOLE LEGS 500GM</t>
  </si>
  <si>
    <t>CAMEL HEAD / KG</t>
  </si>
  <si>
    <t>MUTTON ARGENTINA (FROZEN) KG</t>
  </si>
  <si>
    <t>AL WAHA FRESH CHICKEN 1000GM</t>
  </si>
  <si>
    <t>AL WAHA FRESH CHICKEN 800GM</t>
  </si>
  <si>
    <t>MAZZRATY FRESH CHKN  MIXED PARTS 1000GM</t>
  </si>
  <si>
    <t>BUFFALO BONELESS INDIA KG</t>
  </si>
  <si>
    <t>AL NASEEM FRESH CHICKEN MIXED PARTS 1000G</t>
  </si>
  <si>
    <t>CAMEL LIVER LOCAL KG</t>
  </si>
  <si>
    <t>MAZZRATY FRESH CHICKEN FEET 500GM</t>
  </si>
  <si>
    <t>LOCAL LAMB HEAD PCS</t>
  </si>
  <si>
    <t>BEEF PAYA FROZEN AUSTRALIA KG</t>
  </si>
  <si>
    <t>TANZANIA LAMB FEET KG</t>
  </si>
  <si>
    <t>LAMB KEBAB MARINATED AUS</t>
  </si>
  <si>
    <t>BEEF BRAIN PCS</t>
  </si>
  <si>
    <t>BEEF FAT LOCAL</t>
  </si>
  <si>
    <t>MUTTON LEG INDIAN KGS</t>
  </si>
  <si>
    <t>BUTCHERY SPECIAL PROMO KG</t>
  </si>
  <si>
    <t>LAMB 6WAY CUT FROZEN AUSTRALIA</t>
  </si>
  <si>
    <t>MUTTON HEAD PAKISTAN KG</t>
  </si>
  <si>
    <t>BEEF PROMO INDIAN</t>
  </si>
  <si>
    <t>BEEF BONE IN PAKISTAN KGS</t>
  </si>
  <si>
    <t>BEEF TONGUE LOCAL</t>
  </si>
  <si>
    <t>ROMANIAN LAMB ENTERNAL</t>
  </si>
  <si>
    <t>BEEF BONELESS PAKISTAN KGS</t>
  </si>
  <si>
    <t>BEEF BONELESS BRAZIL</t>
  </si>
  <si>
    <t>BEEF HEAD LOCAL</t>
  </si>
  <si>
    <t>BEEF LIVER QATAR KG</t>
  </si>
  <si>
    <t>BEEF LIVER PAKISTAN</t>
  </si>
  <si>
    <t>BEEF LUNGS LOCAL</t>
  </si>
  <si>
    <t>BEEF BONE IN LOCAL</t>
  </si>
  <si>
    <t>BEEF STOMACH PAK KGS</t>
  </si>
  <si>
    <t>CAMEL MEAT B/IN LOCAL KGS</t>
  </si>
  <si>
    <t>CAMEL MEAT BONELESS KGS</t>
  </si>
  <si>
    <t>AFRAS FRESH CHICKEN LIVER 500 GM</t>
  </si>
  <si>
    <t>AFRAS FRESH CHICKEN NECK 500 GM</t>
  </si>
  <si>
    <t>AFRAS FRESH CHICKEN THIGHS 500 GM</t>
  </si>
  <si>
    <t>AFRAS FRESH CHICKEN WHOLE LEG 500 GM</t>
  </si>
  <si>
    <t>AFRAS FRESH CHICKEN WINGS 500 GM</t>
  </si>
  <si>
    <t>AFRAS SLICED FRESH CHICKEN BREAST 500 GM</t>
  </si>
  <si>
    <t>AFRAS CHICKEN MIXPARTS 800 GM</t>
  </si>
  <si>
    <t>AFRAS CHICKEN MIXPARTS 900 GM</t>
  </si>
  <si>
    <t>AFRAS FRESH CHICKEN 1000 GM</t>
  </si>
  <si>
    <t>AFRAS FRESH CHICKEN 800 GM</t>
  </si>
  <si>
    <t>AFRAS FRESH CHICKEN 900 GM</t>
  </si>
  <si>
    <t>AFRAS FRESH CHICKEN BONE 1000 GM</t>
  </si>
  <si>
    <t>AFRAS FRESH CHICKEN DRUMSTICK 500 GM</t>
  </si>
  <si>
    <t>AFRAS FRESH CHICKEN FEET 500 GM</t>
  </si>
  <si>
    <t>AFRAS FRESH CHICKEN GIZZARD 500 GM</t>
  </si>
  <si>
    <t>AFRAS FRESH CHICKEN HEART 500 GM</t>
  </si>
  <si>
    <t>ALQUSAIMI FRESH MINCED BEEF 450GM</t>
  </si>
  <si>
    <t>ALQUSAIMI FRESH MINCED MUTTON 450GM</t>
  </si>
  <si>
    <t>LAMB SHOLDER NEW ZEALAND</t>
  </si>
  <si>
    <t>LAMB SHOULDER B/IN AUS KGS</t>
  </si>
  <si>
    <t>LAMB WHOLE AUSTRALIA</t>
  </si>
  <si>
    <t>MUTTON INDIAN KGS</t>
  </si>
  <si>
    <t>MUTTON SHOULDER INDIAN KGS</t>
  </si>
  <si>
    <t>MUTTON BRAIN PAKISTAN KG</t>
  </si>
  <si>
    <t>AL NASEEM FRESH CHICKEN BREAST FILLET 500GM</t>
  </si>
  <si>
    <t>LOCAL LAMB KG</t>
  </si>
  <si>
    <t>RAYHAN FRESH CHICKEN 900 GM</t>
  </si>
  <si>
    <t>RAYHAN FRESH CHICKEN 1000 GM</t>
  </si>
  <si>
    <t>RAYHAN FRESH CHICKEN 1100 GM</t>
  </si>
  <si>
    <t>RAYHAN FRESH CHICKEN BONE 1000 GM</t>
  </si>
  <si>
    <t>RAYHAN FRESH CHICKEN 800 GM</t>
  </si>
  <si>
    <t>RAYHAN FRESH CHICKEN 1200 GM</t>
  </si>
  <si>
    <t>BEEF PAYA FROZEN BRAZIL KG</t>
  </si>
  <si>
    <t>LOCAL LAMB STOMACH PCS</t>
  </si>
  <si>
    <t>LOCAL LAMB INTESTINES KG</t>
  </si>
  <si>
    <t>LOCAL LAMB PAYA PCS</t>
  </si>
  <si>
    <t>CAMEL BONE LOCAL</t>
  </si>
  <si>
    <t>BEEF STOMACH LOCAL KGS</t>
  </si>
  <si>
    <t>BEEF BRAIN PAKISTAN KG</t>
  </si>
  <si>
    <t>BUTCH-IN BLADE PCS</t>
  </si>
  <si>
    <t>BEEF PAYA</t>
  </si>
  <si>
    <t>MUTTON PAYA AUSTRALIA (FROZEN) KG</t>
  </si>
  <si>
    <t>VEAL PAYA HOLLAND (FROZEN) KG</t>
  </si>
  <si>
    <t>MUTTON LIVER PAKISTAN KG</t>
  </si>
  <si>
    <t>MUTTON FROZEN INDIA KG</t>
  </si>
  <si>
    <t>MUTTON STOMACH PAKISTAN KG</t>
  </si>
  <si>
    <t>AQWAT MUTTON MINCE 500GM</t>
  </si>
  <si>
    <t>AQWAT BEEF MINCE 500GM</t>
  </si>
  <si>
    <t>MAZZRATY FRESH CHICKEN GIZZARDS 500GM</t>
  </si>
  <si>
    <t>MAZRATTY FRESH WHOLE CHICKEN-1000GM</t>
  </si>
  <si>
    <t>MAZRATTY FRESH WHOLE-CHICKEN-1100GM</t>
  </si>
  <si>
    <t>MAZZRATY FRESH CHICKEN LIVERS 500GM</t>
  </si>
  <si>
    <t>MAZZRATY FRESH CHICKEN THIGHS 500GM</t>
  </si>
  <si>
    <t>MAZZRATY FRESH CHICKEN HEARTS 500GM</t>
  </si>
  <si>
    <t>MAZRATTY FRESH WHOLE CHICKEN-900GM</t>
  </si>
  <si>
    <t>AL WAHA CHICKEN WHOLE LEG 500GM</t>
  </si>
  <si>
    <t>AL WAHA CHICKEN GIZZARD 500GM</t>
  </si>
  <si>
    <t>AL WAHA FRESH CHICKEN 900GM</t>
  </si>
  <si>
    <t>MAZZRATY FRESH CHICKEN WHOLE 800 GM</t>
  </si>
  <si>
    <t>487195</t>
  </si>
  <si>
    <t>487292</t>
  </si>
  <si>
    <t>507339</t>
  </si>
  <si>
    <t>507343</t>
  </si>
  <si>
    <t>517070</t>
  </si>
  <si>
    <t>517079</t>
  </si>
  <si>
    <t>517097</t>
  </si>
  <si>
    <t>517100</t>
  </si>
  <si>
    <t>673016</t>
  </si>
  <si>
    <t>673017</t>
  </si>
  <si>
    <t>507345</t>
  </si>
  <si>
    <t>507702</t>
  </si>
  <si>
    <t>539240</t>
  </si>
  <si>
    <t>562501</t>
  </si>
  <si>
    <t>562502</t>
  </si>
  <si>
    <t>738883</t>
  </si>
  <si>
    <t>843010</t>
  </si>
  <si>
    <t>843016</t>
  </si>
  <si>
    <t>568934</t>
  </si>
  <si>
    <t>569027</t>
  </si>
  <si>
    <t>551521</t>
  </si>
  <si>
    <t>555674</t>
  </si>
  <si>
    <t>556035</t>
  </si>
  <si>
    <t>697023</t>
  </si>
  <si>
    <t>542046</t>
  </si>
  <si>
    <t>466513</t>
  </si>
  <si>
    <t>585063</t>
  </si>
  <si>
    <t>587268</t>
  </si>
  <si>
    <t>589813</t>
  </si>
  <si>
    <t>591694</t>
  </si>
  <si>
    <t>542302</t>
  </si>
  <si>
    <t>485859</t>
  </si>
  <si>
    <t>485864</t>
  </si>
  <si>
    <t>843027</t>
  </si>
  <si>
    <t>754001</t>
  </si>
  <si>
    <t>746909</t>
  </si>
  <si>
    <t>471694</t>
  </si>
  <si>
    <t>568915</t>
  </si>
  <si>
    <t>568994</t>
  </si>
  <si>
    <t>568999</t>
  </si>
  <si>
    <t>569008</t>
  </si>
  <si>
    <t>569015</t>
  </si>
  <si>
    <t>770984</t>
  </si>
  <si>
    <t>466512</t>
  </si>
  <si>
    <t>558160</t>
  </si>
  <si>
    <t>775519</t>
  </si>
  <si>
    <t>868909</t>
  </si>
  <si>
    <t>868910</t>
  </si>
  <si>
    <t>472663</t>
  </si>
  <si>
    <t>569018</t>
  </si>
  <si>
    <t>569026</t>
  </si>
  <si>
    <t>569031</t>
  </si>
  <si>
    <t>569074</t>
  </si>
  <si>
    <t>569094</t>
  </si>
  <si>
    <t>569097</t>
  </si>
  <si>
    <t>574633</t>
  </si>
  <si>
    <t>574653</t>
  </si>
  <si>
    <t>574657</t>
  </si>
  <si>
    <t>868911</t>
  </si>
  <si>
    <t>556093</t>
  </si>
  <si>
    <t>903809</t>
  </si>
  <si>
    <t>903814</t>
  </si>
  <si>
    <t>903821</t>
  </si>
  <si>
    <t>903823</t>
  </si>
  <si>
    <t>906198</t>
  </si>
  <si>
    <t>843034</t>
  </si>
  <si>
    <t>576773</t>
  </si>
  <si>
    <t>470725</t>
  </si>
  <si>
    <t>545276</t>
  </si>
  <si>
    <t>781732</t>
  </si>
  <si>
    <t>547942</t>
  </si>
  <si>
    <t>548988</t>
  </si>
  <si>
    <t>776325</t>
  </si>
  <si>
    <t>471970</t>
  </si>
  <si>
    <t>776043</t>
  </si>
  <si>
    <t>470002</t>
  </si>
  <si>
    <t>540761</t>
  </si>
  <si>
    <t>540965</t>
  </si>
  <si>
    <t>668857</t>
  </si>
  <si>
    <t>675907</t>
  </si>
  <si>
    <t>810121</t>
  </si>
  <si>
    <t>746910</t>
  </si>
  <si>
    <t>818087</t>
  </si>
  <si>
    <t>818128</t>
  </si>
  <si>
    <t>820335</t>
  </si>
  <si>
    <t>753005</t>
  </si>
  <si>
    <t>820345</t>
  </si>
  <si>
    <t>820355</t>
  </si>
  <si>
    <t>828305</t>
  </si>
  <si>
    <t>828004</t>
  </si>
  <si>
    <t>828005</t>
  </si>
  <si>
    <t>752987</t>
  </si>
  <si>
    <t>768510</t>
  </si>
  <si>
    <t>542036</t>
  </si>
  <si>
    <t>542097</t>
  </si>
  <si>
    <t>542133</t>
  </si>
  <si>
    <t>542215</t>
  </si>
  <si>
    <t>877853</t>
  </si>
  <si>
    <t>877856</t>
  </si>
  <si>
    <t>542304</t>
  </si>
  <si>
    <t>542313</t>
  </si>
  <si>
    <t>555236</t>
  </si>
  <si>
    <t>555254</t>
  </si>
  <si>
    <t>555287</t>
  </si>
  <si>
    <t>555290</t>
  </si>
  <si>
    <t>555675</t>
  </si>
  <si>
    <t>555833</t>
  </si>
  <si>
    <t>556020</t>
  </si>
  <si>
    <t>556037</t>
  </si>
  <si>
    <t>556039</t>
  </si>
  <si>
    <t>558620</t>
  </si>
  <si>
    <t>676046</t>
  </si>
  <si>
    <t>467483</t>
  </si>
  <si>
    <t>615896</t>
  </si>
  <si>
    <t>615897</t>
  </si>
  <si>
    <t>625175</t>
  </si>
  <si>
    <t>463934</t>
  </si>
  <si>
    <t>463942</t>
  </si>
  <si>
    <t>463948</t>
  </si>
  <si>
    <t>464263</t>
  </si>
  <si>
    <t>464664</t>
  </si>
  <si>
    <t>465099</t>
  </si>
  <si>
    <t>465100</t>
  </si>
  <si>
    <t>465103</t>
  </si>
  <si>
    <t>465108</t>
  </si>
  <si>
    <t>466442</t>
  </si>
  <si>
    <t>466443</t>
  </si>
  <si>
    <t>466445</t>
  </si>
  <si>
    <t>466446</t>
  </si>
  <si>
    <t>466449</t>
  </si>
  <si>
    <t>466450</t>
  </si>
  <si>
    <t>466453</t>
  </si>
  <si>
    <t>466462</t>
  </si>
  <si>
    <t>466464</t>
  </si>
  <si>
    <t>466465</t>
  </si>
  <si>
    <t>466472</t>
  </si>
  <si>
    <t>466483</t>
  </si>
  <si>
    <t>466484</t>
  </si>
  <si>
    <t>466494</t>
  </si>
  <si>
    <t>466496</t>
  </si>
  <si>
    <t>466505</t>
  </si>
  <si>
    <t>466506</t>
  </si>
  <si>
    <t>636005</t>
  </si>
  <si>
    <t>636006</t>
  </si>
  <si>
    <t>656125</t>
  </si>
  <si>
    <t>656666</t>
  </si>
  <si>
    <t>659699</t>
  </si>
  <si>
    <t>485773</t>
  </si>
  <si>
    <t>485829</t>
  </si>
  <si>
    <t>485842</t>
  </si>
  <si>
    <t>485847</t>
  </si>
  <si>
    <t>485849</t>
  </si>
  <si>
    <t>485860</t>
  </si>
  <si>
    <t>485914</t>
  </si>
  <si>
    <t>485919</t>
  </si>
  <si>
    <t>2000003753062</t>
  </si>
  <si>
    <t>2000003753956</t>
  </si>
  <si>
    <t>2000004106133</t>
  </si>
  <si>
    <t>2000004106157</t>
  </si>
  <si>
    <t>2000004221263</t>
  </si>
  <si>
    <t>2000004221492</t>
  </si>
  <si>
    <t>2000004221522</t>
  </si>
  <si>
    <t>2000004221546</t>
  </si>
  <si>
    <t>2000006122490</t>
  </si>
  <si>
    <t>2000006122506</t>
  </si>
  <si>
    <t>2000004106171</t>
  </si>
  <si>
    <t>2000004110420</t>
  </si>
  <si>
    <t>2000004445935</t>
  </si>
  <si>
    <t>2000004747725</t>
  </si>
  <si>
    <t>2000004747732</t>
  </si>
  <si>
    <t>4195</t>
  </si>
  <si>
    <t>9268</t>
  </si>
  <si>
    <t>9270</t>
  </si>
  <si>
    <t>2000004827205</t>
  </si>
  <si>
    <t>4974</t>
  </si>
  <si>
    <t>2000004599911</t>
  </si>
  <si>
    <t>5648</t>
  </si>
  <si>
    <t>5985</t>
  </si>
  <si>
    <t>2000006425676</t>
  </si>
  <si>
    <t>2000004476786</t>
  </si>
  <si>
    <t>5080</t>
  </si>
  <si>
    <t>5909</t>
  </si>
  <si>
    <t>2000005069475</t>
  </si>
  <si>
    <t>6543</t>
  </si>
  <si>
    <t>4558</t>
  </si>
  <si>
    <t>2000004479244</t>
  </si>
  <si>
    <t>2000003739271</t>
  </si>
  <si>
    <t>2000003739325</t>
  </si>
  <si>
    <t>9272</t>
  </si>
  <si>
    <t>4485</t>
  </si>
  <si>
    <t>2000006780515</t>
  </si>
  <si>
    <t>5348</t>
  </si>
  <si>
    <t>2000004827090</t>
  </si>
  <si>
    <t>4230</t>
  </si>
  <si>
    <t>4904</t>
  </si>
  <si>
    <t>4197</t>
  </si>
  <si>
    <t>4971</t>
  </si>
  <si>
    <t>4775</t>
  </si>
  <si>
    <t>5817</t>
  </si>
  <si>
    <t>5614</t>
  </si>
  <si>
    <t>4796</t>
  </si>
  <si>
    <t>9109</t>
  </si>
  <si>
    <t>9142</t>
  </si>
  <si>
    <t>5341</t>
  </si>
  <si>
    <t>4977</t>
  </si>
  <si>
    <t>4975</t>
  </si>
  <si>
    <t>4973</t>
  </si>
  <si>
    <t>4969</t>
  </si>
  <si>
    <t>4966</t>
  </si>
  <si>
    <t>4964</t>
  </si>
  <si>
    <t>4849</t>
  </si>
  <si>
    <t>4852</t>
  </si>
  <si>
    <t>4845</t>
  </si>
  <si>
    <t>9156</t>
  </si>
  <si>
    <t>5643</t>
  </si>
  <si>
    <t>9579</t>
  </si>
  <si>
    <t>9581</t>
  </si>
  <si>
    <t>9584</t>
  </si>
  <si>
    <t>9585</t>
  </si>
  <si>
    <t>9644</t>
  </si>
  <si>
    <t>9274</t>
  </si>
  <si>
    <t>2000004914899</t>
  </si>
  <si>
    <t>6927</t>
  </si>
  <si>
    <t>5216</t>
  </si>
  <si>
    <t>4868</t>
  </si>
  <si>
    <t>2000004552541</t>
  </si>
  <si>
    <t>2000004565619</t>
  </si>
  <si>
    <t>4810</t>
  </si>
  <si>
    <t>5890</t>
  </si>
  <si>
    <t>4804</t>
  </si>
  <si>
    <t>5866</t>
  </si>
  <si>
    <t>2000004462420</t>
  </si>
  <si>
    <t>5312</t>
  </si>
  <si>
    <t>2000006074751</t>
  </si>
  <si>
    <t>2000007089129</t>
  </si>
  <si>
    <t>2000007375970</t>
  </si>
  <si>
    <t>2000006780522</t>
  </si>
  <si>
    <t>9089</t>
  </si>
  <si>
    <t>9095</t>
  </si>
  <si>
    <t>9104</t>
  </si>
  <si>
    <t>4455</t>
  </si>
  <si>
    <t>9105</t>
  </si>
  <si>
    <t>9155</t>
  </si>
  <si>
    <t>9217</t>
  </si>
  <si>
    <t>9228</t>
  </si>
  <si>
    <t>9229</t>
  </si>
  <si>
    <t>4464</t>
  </si>
  <si>
    <t>4683</t>
  </si>
  <si>
    <t>2000004476717</t>
  </si>
  <si>
    <t>2000004477271</t>
  </si>
  <si>
    <t>2000004477608</t>
  </si>
  <si>
    <t>2000004478414</t>
  </si>
  <si>
    <t>9395</t>
  </si>
  <si>
    <t>9398</t>
  </si>
  <si>
    <t>2000004479268</t>
  </si>
  <si>
    <t>2000004479343</t>
  </si>
  <si>
    <t>2000004645298</t>
  </si>
  <si>
    <t>2000004645342</t>
  </si>
  <si>
    <t>2000004645731</t>
  </si>
  <si>
    <t>2000004645755</t>
  </si>
  <si>
    <t>5649</t>
  </si>
  <si>
    <t>5984</t>
  </si>
  <si>
    <t>2000008276870</t>
  </si>
  <si>
    <t>5979</t>
  </si>
  <si>
    <t>5981</t>
  </si>
  <si>
    <t>6475</t>
  </si>
  <si>
    <t>2000006159519</t>
  </si>
  <si>
    <t>5092</t>
  </si>
  <si>
    <t>2000005413872</t>
  </si>
  <si>
    <t>2000005413889</t>
  </si>
  <si>
    <t>2000005512865</t>
  </si>
  <si>
    <t>5862</t>
  </si>
  <si>
    <t>5912</t>
  </si>
  <si>
    <t>5860</t>
  </si>
  <si>
    <t>5342</t>
  </si>
  <si>
    <t>5089</t>
  </si>
  <si>
    <t>5839</t>
  </si>
  <si>
    <t>5841</t>
  </si>
  <si>
    <t>5840</t>
  </si>
  <si>
    <t>5836</t>
  </si>
  <si>
    <t>5060</t>
  </si>
  <si>
    <t>5083</t>
  </si>
  <si>
    <t>5073</t>
  </si>
  <si>
    <t>5075</t>
  </si>
  <si>
    <t>5081</t>
  </si>
  <si>
    <t>5055</t>
  </si>
  <si>
    <t>5134</t>
  </si>
  <si>
    <t>5062</t>
  </si>
  <si>
    <t>5091</t>
  </si>
  <si>
    <t>5090</t>
  </si>
  <si>
    <t>5085</t>
  </si>
  <si>
    <t>5082</t>
  </si>
  <si>
    <t>5061</t>
  </si>
  <si>
    <t>5088</t>
  </si>
  <si>
    <t>5079</t>
  </si>
  <si>
    <t>5078</t>
  </si>
  <si>
    <t>5086</t>
  </si>
  <si>
    <t>2000005654060</t>
  </si>
  <si>
    <t>2000005654077</t>
  </si>
  <si>
    <t>8789</t>
  </si>
  <si>
    <t>2000005920851</t>
  </si>
  <si>
    <t>8841</t>
  </si>
  <si>
    <t>2000003738465</t>
  </si>
  <si>
    <t>2000003738984</t>
  </si>
  <si>
    <t>2000003739110</t>
  </si>
  <si>
    <t>2000003739165</t>
  </si>
  <si>
    <t>2000003739189</t>
  </si>
  <si>
    <t>2000003739288</t>
  </si>
  <si>
    <t>2000003739820</t>
  </si>
  <si>
    <t>2000003739868</t>
  </si>
  <si>
    <t xml:space="preserve"> DELICATTESEN (W)</t>
  </si>
  <si>
    <t>DL-IN RAW MANGO KG</t>
  </si>
  <si>
    <t>DL-IN GARLIC KG</t>
  </si>
  <si>
    <t>DL-IN YOGHURT KG</t>
  </si>
  <si>
    <t>DL-IN SALT KG</t>
  </si>
  <si>
    <t>DL-IN CUCUMBER KG</t>
  </si>
  <si>
    <t>DL-IN FETA CHEESE KG</t>
  </si>
  <si>
    <t>DL-IN CHILLY POWDER KG</t>
  </si>
  <si>
    <t>DL-IN LABNEH KG</t>
  </si>
  <si>
    <t>DL IN CRYSTAL CLEAR CUP 12OZ 360ML PCS</t>
  </si>
  <si>
    <t>DL IN MICRO RECT 500CC+LID 16OZ 500PCS</t>
  </si>
  <si>
    <t>DL-IN LEMON SALT KG</t>
  </si>
  <si>
    <t>DL-IN MANGO KG</t>
  </si>
  <si>
    <t>DL-IN FRESH MILK KG</t>
  </si>
  <si>
    <t>DL-IN CLEAR RECT MICRO CONTAINER 1000ML 500S</t>
  </si>
  <si>
    <t>DL-IN CLEAR RECT MICRO CONTAINER 500ML 500S</t>
  </si>
  <si>
    <t>SMALL YELLOW PEPPER TURKEY KG</t>
  </si>
  <si>
    <t>MAZZRATY ISTANBULI CHEESE / KG</t>
  </si>
  <si>
    <t>MAZZRATY DOMIATI CHEESE / KG</t>
  </si>
  <si>
    <t>DL-IN SWEET CHILLY SAUCE KG</t>
  </si>
  <si>
    <t>QT-DL ORIENTAL PINEAPPLE KG</t>
  </si>
  <si>
    <t>DL-IN WATER MELON KG</t>
  </si>
  <si>
    <t>COW'S BEST RED CHEDDAR CHEESE KG</t>
  </si>
  <si>
    <t>QT-DL FRICO MEMOLETTE BALL KG</t>
  </si>
  <si>
    <t>DL IN PLASTIC BOTTLE 500ML CAP 100 PCS</t>
  </si>
  <si>
    <t>DL-IN MICROWAVE CONTR 1500CC+LIDS 250 PCS</t>
  </si>
  <si>
    <t>HL BLACK OLIVES WHOLE SPAIN</t>
  </si>
  <si>
    <t>AWAFI WHITE CHEESE WITH VEG OIL KG</t>
  </si>
  <si>
    <t>DL-IN MICRO CONTAINER W/LID 120X35MM 8OZ</t>
  </si>
  <si>
    <t>QT-DL HOME STYLE TUNA FISH PICKLE KG</t>
  </si>
  <si>
    <t>BALADNA TURKISH LABNEH FF KG</t>
  </si>
  <si>
    <t>DL-IN MAXI ROLL 2PLY EMBOSED/PERFORAED 1*6</t>
  </si>
  <si>
    <t>DL-IN CAPSICUM GREEN KG</t>
  </si>
  <si>
    <t>DL-IN CARROTS KG</t>
  </si>
  <si>
    <t>MAZZRATY FETA CHEESE KG</t>
  </si>
  <si>
    <t>DELI MEX CHEESE WITH PEPPER KG</t>
  </si>
  <si>
    <t>DELI MEX ORIENTAL BEETROOT PICKLE KG</t>
  </si>
  <si>
    <t>MIX PICKLE JORDAN</t>
  </si>
  <si>
    <t>DL-IN BLACK  JEERA KG</t>
  </si>
  <si>
    <t>QT-DL HOME STYLE MANGO PICKLE KG</t>
  </si>
  <si>
    <t>QT-DL SPICY PITTED GREEN  OLIVES KG</t>
  </si>
  <si>
    <t>QT-DL HOME STYLE LEMON PICKLE KG</t>
  </si>
  <si>
    <t>QT-DL MANGO SWEET AND SPICY KG</t>
  </si>
  <si>
    <t>DELI MEX KALAMATA OLIVE LARGE KG</t>
  </si>
  <si>
    <t>OLIVE OIL TURKEY KG</t>
  </si>
  <si>
    <t>QT-DL FRESH MANGO SHAKE</t>
  </si>
  <si>
    <t>AL AHRAMATH FETA CHEESE DENMARK KG</t>
  </si>
  <si>
    <t>RAWA FETA CHEESE KG</t>
  </si>
  <si>
    <t>RAWA BARAMILY CHEESE KG</t>
  </si>
  <si>
    <t>THURMOS</t>
  </si>
  <si>
    <t>QT-DL ORIENTAL BEETROOT PICKLE KG</t>
  </si>
  <si>
    <t>QT-DL ORIENTAL AMLA PICKLE KG</t>
  </si>
  <si>
    <t>QT-DL MISH MISRI KG</t>
  </si>
  <si>
    <t>QT-DL SPICY VEGETABLE OLIVE SALAD KG</t>
  </si>
  <si>
    <t>QT-DL CARROT PICKLE KG</t>
  </si>
  <si>
    <t>QT-DL GARLIC PASTE KG</t>
  </si>
  <si>
    <t>QT-DL FRESH HAMMUS KG</t>
  </si>
  <si>
    <t>QT-DL WATER MELON JUICE PCS</t>
  </si>
  <si>
    <t>QT-DL HORIATIKI OLIVE SALAD KG</t>
  </si>
  <si>
    <t>RAWA ISTANBOLLY CHEESE KG</t>
  </si>
  <si>
    <t>QT-DL GOURMET BEEF PEPERONI ROLL GM KG</t>
  </si>
  <si>
    <t>FORMAGGIO DOUBLE CREAM WHITE CHEESE KG</t>
  </si>
  <si>
    <t>FORMAGGIO DOMYATI WHITE CHEESE KG</t>
  </si>
  <si>
    <t>FORMAGGIO LOW SALT WHITE CHEESE KG</t>
  </si>
  <si>
    <t>FORMAGGIO AREESH WHITE CHEESE KG</t>
  </si>
  <si>
    <t>CHILLI PASTE SYRIA KG</t>
  </si>
  <si>
    <t>MAZZRATY MOZZARELLA  BLOCK / KG</t>
  </si>
  <si>
    <t>DL-IN ICE CUBES KG</t>
  </si>
  <si>
    <t>ORANGE JUICE  FRESH</t>
  </si>
  <si>
    <t>DMS LABNEH BALL WITH SUMAC KG</t>
  </si>
  <si>
    <t>HL BASTERMA JORDAN KG</t>
  </si>
  <si>
    <t>DL-IN CRUSHED CHILLY KG</t>
  </si>
  <si>
    <t>DL-IN DELI AVOCADO KG</t>
  </si>
  <si>
    <t>MANGO SLICED KG</t>
  </si>
  <si>
    <t>RADISH SALT</t>
  </si>
  <si>
    <t>ROUMY CHEESE EGYPT KG</t>
  </si>
  <si>
    <t>MIXED PICKLE LEBANESE</t>
  </si>
  <si>
    <t>DL-IN SUMAC POWDER KG</t>
  </si>
  <si>
    <t>BALADNA PANEER CUBE KG</t>
  </si>
  <si>
    <t>DL-IN EGG KG</t>
  </si>
  <si>
    <t>DL-IN UHT MILK KG</t>
  </si>
  <si>
    <t>DL-IN PET JAR 300ML PCS</t>
  </si>
  <si>
    <t>DELI MEX CAULIFLOWER PICKLE KG</t>
  </si>
  <si>
    <t>PICKLED CUCUMBER EGYPT KG</t>
  </si>
  <si>
    <t>GREEN OLIVE  WHOLE EGYPT KG</t>
  </si>
  <si>
    <t>CHILLI PASTE JORDAN KG</t>
  </si>
  <si>
    <t>DELI MEX SWEET AMLA KG</t>
  </si>
  <si>
    <t>OLIVES WITH LEMON AND WATER JORDAN KG</t>
  </si>
  <si>
    <t>CUCUMBER PICKLE JORDAN KG</t>
  </si>
  <si>
    <t>MST BLACK OLIVES LEBANON KG</t>
  </si>
  <si>
    <t>SADIA CHICKEN MORTADELLA KG</t>
  </si>
  <si>
    <t>SADIA BEEF MORTADELLA KG</t>
  </si>
  <si>
    <t>DELI MEX APPLE JAM KG</t>
  </si>
  <si>
    <t>BUTTER BLOCK KG</t>
  </si>
  <si>
    <t>DL-IN 1000CCM/WAVE CONT RECT 500+LID</t>
  </si>
  <si>
    <t>DL-IN MINT LEAVES KG</t>
  </si>
  <si>
    <t>DL-IN WHITE PEPPER KG</t>
  </si>
  <si>
    <t>DL-IN ITALIAN DRESSING KG</t>
  </si>
  <si>
    <t>LARESSA ORGANIC ALEXANDRIAN CHEESE KG</t>
  </si>
  <si>
    <t>LARESSA ORGANIC WHITE FETA CHEESE KG</t>
  </si>
  <si>
    <t>DL-IN PLASTIC DESERT SPOON</t>
  </si>
  <si>
    <t>DL-IN VINYLE GLOVES POWDER FREE LAR 10X100 PCS</t>
  </si>
  <si>
    <t>DL-IN SLICES BLACK OLIVES KG</t>
  </si>
  <si>
    <t>DL-IN SLICES GREEN OLIVES KG</t>
  </si>
  <si>
    <t>DL-IN GREEN PITTED OLIVES KG</t>
  </si>
  <si>
    <t>DL-IN BLACK PITTED OLIVES KG</t>
  </si>
  <si>
    <t>COW'S BEST WHITE CHEDDAR CHEESE KG</t>
  </si>
  <si>
    <t>QT-DL AL AHRAMAT LEMON PICKLES KG</t>
  </si>
  <si>
    <t>QT-DL AVOCADO JUICE</t>
  </si>
  <si>
    <t>QT-DL ONION PICKLES KG</t>
  </si>
  <si>
    <t>QT-DL PAPAYA SLICE KG</t>
  </si>
  <si>
    <t>NABIL DRY BASTERMA KG</t>
  </si>
  <si>
    <t>DL-IN FOAM TRAY WHITE 216X152X20 MM 500O PCS</t>
  </si>
  <si>
    <t>HALAWA PLAIN</t>
  </si>
  <si>
    <t>DL-IN CAPSICUM YELLOW KG</t>
  </si>
  <si>
    <t>DL-IN CAPSICUM RED KG</t>
  </si>
  <si>
    <t>DL-IN WATER KG</t>
  </si>
  <si>
    <t>MEXICAN GREEN PEPPER KG</t>
  </si>
  <si>
    <t>TURKISH JALAPENOS SLICED</t>
  </si>
  <si>
    <t>MIX PICKLE BOLIVE KG</t>
  </si>
  <si>
    <t>BABY CUCUMBER KGS</t>
  </si>
  <si>
    <t>CORDOBA POMACE OLIVE OIL SPAIN</t>
  </si>
  <si>
    <t>GOURMET BEEF PLAIN MORTADELLA ROLL QATAR</t>
  </si>
  <si>
    <t>GOURMET BEEF W/B.PEPPER MORTADELLA ROLL QATAR</t>
  </si>
  <si>
    <t>OLIVES MORTADELLA ROLLS KG</t>
  </si>
  <si>
    <t>GOURMET CHICKEN OLIVES MORTADELLA ROLL QATAR</t>
  </si>
  <si>
    <t>HL BLACK OLIVES LEBANESE</t>
  </si>
  <si>
    <t>HL BLACK PITTED OLIVES SPAIN</t>
  </si>
  <si>
    <t>HL GREEN OLIVES JORDAN</t>
  </si>
  <si>
    <t>HL GREEN OLIVES KALAMATA JORDAN</t>
  </si>
  <si>
    <t>HL GREEN OLIVES WHOLE SPAIN</t>
  </si>
  <si>
    <t>HL GREEN PEPPER SYRIYA</t>
  </si>
  <si>
    <t>HL MAKDOUS SYRIAN</t>
  </si>
  <si>
    <t>KALAMATA BLACK OLIVES LEBANESE</t>
  </si>
  <si>
    <t>LEBANESE CHOCOLATE HALAWA KGS</t>
  </si>
  <si>
    <t>LEBANESE HALAWA PISTACHIO KGS</t>
  </si>
  <si>
    <t>DELI STRAWBERRY JAM KGS</t>
  </si>
  <si>
    <t>HL GREEN PITTED OLIVES SPAIN</t>
  </si>
  <si>
    <t>KALAMATA GREEN OLIVES LEBANESE</t>
  </si>
  <si>
    <t>SYRIAN FIG JAM KGS</t>
  </si>
  <si>
    <t>HL GREEN OLIVES SLICES SPAIN</t>
  </si>
  <si>
    <t>HL BLACK OLIVES SLICES SPAIN</t>
  </si>
  <si>
    <t>SYRIAN APRICOT JAM KGS</t>
  </si>
  <si>
    <t>DL-IN FOAM TRAY 167*129*25MM EHITE 500PCS</t>
  </si>
  <si>
    <t>DL-IN PLASTIC SQR BOTTLE 250ML+BLACK CAP PCS</t>
  </si>
  <si>
    <t>EMBORG CHEDDAR BLOCK COLOURED</t>
  </si>
  <si>
    <t>DL-IN MANGO PULP KG</t>
  </si>
  <si>
    <t>QT-DL MORTADELLA WITH VEGETABLE KG</t>
  </si>
  <si>
    <t>DL-IN THAHINA KG</t>
  </si>
  <si>
    <t>DL-IN OLIVE OIL KG</t>
  </si>
  <si>
    <t>DL-IN HOT SAUCE KG</t>
  </si>
  <si>
    <t>DL-IN CHICK PEAS KG</t>
  </si>
  <si>
    <t>DL-IN SUNFLOWER OIL KG</t>
  </si>
  <si>
    <t>DL-IN CAPSICUM COLOR KG</t>
  </si>
  <si>
    <t>DL-IN SUGAR KG</t>
  </si>
  <si>
    <t>DL-IN TOMATO KG</t>
  </si>
  <si>
    <t>485943</t>
  </si>
  <si>
    <t>485955</t>
  </si>
  <si>
    <t>485956</t>
  </si>
  <si>
    <t>485972</t>
  </si>
  <si>
    <t>485978</t>
  </si>
  <si>
    <t>485982</t>
  </si>
  <si>
    <t>485988</t>
  </si>
  <si>
    <t>485996</t>
  </si>
  <si>
    <t>485998</t>
  </si>
  <si>
    <t>486001</t>
  </si>
  <si>
    <t>486009</t>
  </si>
  <si>
    <t>486010</t>
  </si>
  <si>
    <t>486012</t>
  </si>
  <si>
    <t>486015</t>
  </si>
  <si>
    <t>486018</t>
  </si>
  <si>
    <t>486021</t>
  </si>
  <si>
    <t>486023</t>
  </si>
  <si>
    <t>486024</t>
  </si>
  <si>
    <t>486027</t>
  </si>
  <si>
    <t>486029</t>
  </si>
  <si>
    <t>486031</t>
  </si>
  <si>
    <t>486061</t>
  </si>
  <si>
    <t>486068</t>
  </si>
  <si>
    <t>486069</t>
  </si>
  <si>
    <t>486072</t>
  </si>
  <si>
    <t>486075</t>
  </si>
  <si>
    <t>486078</t>
  </si>
  <si>
    <t>486083</t>
  </si>
  <si>
    <t>486090</t>
  </si>
  <si>
    <t>486091</t>
  </si>
  <si>
    <t>486092</t>
  </si>
  <si>
    <t>486094</t>
  </si>
  <si>
    <t>486096</t>
  </si>
  <si>
    <t>486097</t>
  </si>
  <si>
    <t>486104</t>
  </si>
  <si>
    <t>486107</t>
  </si>
  <si>
    <t>486110</t>
  </si>
  <si>
    <t>486114</t>
  </si>
  <si>
    <t>486121</t>
  </si>
  <si>
    <t>486122</t>
  </si>
  <si>
    <t>486131</t>
  </si>
  <si>
    <t>486132</t>
  </si>
  <si>
    <t>486137</t>
  </si>
  <si>
    <t>486143</t>
  </si>
  <si>
    <t>486156</t>
  </si>
  <si>
    <t>486160</t>
  </si>
  <si>
    <t>486162</t>
  </si>
  <si>
    <t>486170</t>
  </si>
  <si>
    <t>486175</t>
  </si>
  <si>
    <t>486184</t>
  </si>
  <si>
    <t>486193</t>
  </si>
  <si>
    <t>668927</t>
  </si>
  <si>
    <t>668929</t>
  </si>
  <si>
    <t>668932</t>
  </si>
  <si>
    <t>668934</t>
  </si>
  <si>
    <t>668935</t>
  </si>
  <si>
    <t>668939</t>
  </si>
  <si>
    <t>668941</t>
  </si>
  <si>
    <t>668944</t>
  </si>
  <si>
    <t>668945</t>
  </si>
  <si>
    <t>669272</t>
  </si>
  <si>
    <t>669297</t>
  </si>
  <si>
    <t>669306</t>
  </si>
  <si>
    <t>669344</t>
  </si>
  <si>
    <t>669358</t>
  </si>
  <si>
    <t>669359</t>
  </si>
  <si>
    <t>669361</t>
  </si>
  <si>
    <t>669573</t>
  </si>
  <si>
    <t>669574</t>
  </si>
  <si>
    <t>670231</t>
  </si>
  <si>
    <t>670501</t>
  </si>
  <si>
    <t>670502</t>
  </si>
  <si>
    <t>670503</t>
  </si>
  <si>
    <t>672834</t>
  </si>
  <si>
    <t>486201</t>
  </si>
  <si>
    <t>486459</t>
  </si>
  <si>
    <t>487015</t>
  </si>
  <si>
    <t>487056</t>
  </si>
  <si>
    <t>487375</t>
  </si>
  <si>
    <t>487596</t>
  </si>
  <si>
    <t>487604</t>
  </si>
  <si>
    <t>491118</t>
  </si>
  <si>
    <t>491158</t>
  </si>
  <si>
    <t>491317</t>
  </si>
  <si>
    <t>492378</t>
  </si>
  <si>
    <t>493903</t>
  </si>
  <si>
    <t>495047</t>
  </si>
  <si>
    <t>499420</t>
  </si>
  <si>
    <t>501682</t>
  </si>
  <si>
    <t>506163</t>
  </si>
  <si>
    <t>485999</t>
  </si>
  <si>
    <t>486127</t>
  </si>
  <si>
    <t>486136</t>
  </si>
  <si>
    <t>486140</t>
  </si>
  <si>
    <t>486153</t>
  </si>
  <si>
    <t>486274</t>
  </si>
  <si>
    <t>486475</t>
  </si>
  <si>
    <t>487113</t>
  </si>
  <si>
    <t>487285</t>
  </si>
  <si>
    <t>488334</t>
  </si>
  <si>
    <t>491138</t>
  </si>
  <si>
    <t>491313</t>
  </si>
  <si>
    <t>495044</t>
  </si>
  <si>
    <t>501678</t>
  </si>
  <si>
    <t>506202</t>
  </si>
  <si>
    <t>521887</t>
  </si>
  <si>
    <t>525878</t>
  </si>
  <si>
    <t>539272</t>
  </si>
  <si>
    <t>540618</t>
  </si>
  <si>
    <t>540659</t>
  </si>
  <si>
    <t>540664</t>
  </si>
  <si>
    <t>562660</t>
  </si>
  <si>
    <t>562733</t>
  </si>
  <si>
    <t>562755</t>
  </si>
  <si>
    <t>562763</t>
  </si>
  <si>
    <t>562769</t>
  </si>
  <si>
    <t>562797</t>
  </si>
  <si>
    <t>562818</t>
  </si>
  <si>
    <t>562826</t>
  </si>
  <si>
    <t>562836</t>
  </si>
  <si>
    <t>673015</t>
  </si>
  <si>
    <t>697810</t>
  </si>
  <si>
    <t>525927</t>
  </si>
  <si>
    <t>539087</t>
  </si>
  <si>
    <t>539260</t>
  </si>
  <si>
    <t>539266</t>
  </si>
  <si>
    <t>540617</t>
  </si>
  <si>
    <t>540624</t>
  </si>
  <si>
    <t>540627</t>
  </si>
  <si>
    <t>540633</t>
  </si>
  <si>
    <t>540656</t>
  </si>
  <si>
    <t>540658</t>
  </si>
  <si>
    <t>540666</t>
  </si>
  <si>
    <t>540673</t>
  </si>
  <si>
    <t>540717</t>
  </si>
  <si>
    <t>562505</t>
  </si>
  <si>
    <t>562507</t>
  </si>
  <si>
    <t>739117</t>
  </si>
  <si>
    <t>739315</t>
  </si>
  <si>
    <t>562865</t>
  </si>
  <si>
    <t>575510</t>
  </si>
  <si>
    <t>546713</t>
  </si>
  <si>
    <t>546976</t>
  </si>
  <si>
    <t>557816</t>
  </si>
  <si>
    <t>677646</t>
  </si>
  <si>
    <t>562510</t>
  </si>
  <si>
    <t>562517</t>
  </si>
  <si>
    <t>562518</t>
  </si>
  <si>
    <t>562519</t>
  </si>
  <si>
    <t>562520</t>
  </si>
  <si>
    <t>562528</t>
  </si>
  <si>
    <t>562531</t>
  </si>
  <si>
    <t>562653</t>
  </si>
  <si>
    <t>562654</t>
  </si>
  <si>
    <t>562658</t>
  </si>
  <si>
    <t>562659</t>
  </si>
  <si>
    <t>562673</t>
  </si>
  <si>
    <t>562694</t>
  </si>
  <si>
    <t>562696</t>
  </si>
  <si>
    <t>562697</t>
  </si>
  <si>
    <t>562715</t>
  </si>
  <si>
    <t>562734</t>
  </si>
  <si>
    <t>562735</t>
  </si>
  <si>
    <t>562753</t>
  </si>
  <si>
    <t>562754</t>
  </si>
  <si>
    <t>562756</t>
  </si>
  <si>
    <t>562757</t>
  </si>
  <si>
    <t>562759</t>
  </si>
  <si>
    <t>562761</t>
  </si>
  <si>
    <t>562762</t>
  </si>
  <si>
    <t>562764</t>
  </si>
  <si>
    <t>562765</t>
  </si>
  <si>
    <t>562766</t>
  </si>
  <si>
    <t>562767</t>
  </si>
  <si>
    <t>562768</t>
  </si>
  <si>
    <t>562774</t>
  </si>
  <si>
    <t>562777</t>
  </si>
  <si>
    <t>562778</t>
  </si>
  <si>
    <t>562780</t>
  </si>
  <si>
    <t>562781</t>
  </si>
  <si>
    <t>562794</t>
  </si>
  <si>
    <t>562795</t>
  </si>
  <si>
    <t>562796</t>
  </si>
  <si>
    <t>562815</t>
  </si>
  <si>
    <t>562816</t>
  </si>
  <si>
    <t>562817</t>
  </si>
  <si>
    <t>562819</t>
  </si>
  <si>
    <t>562820</t>
  </si>
  <si>
    <t>562822</t>
  </si>
  <si>
    <t>562823</t>
  </si>
  <si>
    <t>562825</t>
  </si>
  <si>
    <t>562827</t>
  </si>
  <si>
    <t>562833</t>
  </si>
  <si>
    <t>562834</t>
  </si>
  <si>
    <t>562835</t>
  </si>
  <si>
    <t>562837</t>
  </si>
  <si>
    <t>677649</t>
  </si>
  <si>
    <t>678049</t>
  </si>
  <si>
    <t>635456</t>
  </si>
  <si>
    <t>635459</t>
  </si>
  <si>
    <t>694793</t>
  </si>
  <si>
    <t>694794</t>
  </si>
  <si>
    <t>695601</t>
  </si>
  <si>
    <t>695910</t>
  </si>
  <si>
    <t>698134</t>
  </si>
  <si>
    <t>542052</t>
  </si>
  <si>
    <t>542204</t>
  </si>
  <si>
    <t>542208</t>
  </si>
  <si>
    <t>542211</t>
  </si>
  <si>
    <t>542226</t>
  </si>
  <si>
    <t>562853</t>
  </si>
  <si>
    <t>562854</t>
  </si>
  <si>
    <t>562856</t>
  </si>
  <si>
    <t>562859</t>
  </si>
  <si>
    <t>562861</t>
  </si>
  <si>
    <t>562862</t>
  </si>
  <si>
    <t>562867</t>
  </si>
  <si>
    <t>562868</t>
  </si>
  <si>
    <t>562871</t>
  </si>
  <si>
    <t>587674</t>
  </si>
  <si>
    <t>542243</t>
  </si>
  <si>
    <t>542246</t>
  </si>
  <si>
    <t>542266</t>
  </si>
  <si>
    <t>542275</t>
  </si>
  <si>
    <t>542288</t>
  </si>
  <si>
    <t>484555</t>
  </si>
  <si>
    <t>485242</t>
  </si>
  <si>
    <t>485254</t>
  </si>
  <si>
    <t>485257</t>
  </si>
  <si>
    <t>485264</t>
  </si>
  <si>
    <t>485267</t>
  </si>
  <si>
    <t>485275</t>
  </si>
  <si>
    <t>485278</t>
  </si>
  <si>
    <t>485284</t>
  </si>
  <si>
    <t>485286</t>
  </si>
  <si>
    <t>485289</t>
  </si>
  <si>
    <t>485300</t>
  </si>
  <si>
    <t>485958</t>
  </si>
  <si>
    <t>485965</t>
  </si>
  <si>
    <t>485974</t>
  </si>
  <si>
    <t>485980</t>
  </si>
  <si>
    <t>485990</t>
  </si>
  <si>
    <t>485995</t>
  </si>
  <si>
    <t>565160</t>
  </si>
  <si>
    <t>566716</t>
  </si>
  <si>
    <t>774012</t>
  </si>
  <si>
    <t>774729</t>
  </si>
  <si>
    <t>776213</t>
  </si>
  <si>
    <t>854947</t>
  </si>
  <si>
    <t>854949</t>
  </si>
  <si>
    <t>880476</t>
  </si>
  <si>
    <t>467788</t>
  </si>
  <si>
    <t>472131</t>
  </si>
  <si>
    <t>570508</t>
  </si>
  <si>
    <t>575414</t>
  </si>
  <si>
    <t>575416</t>
  </si>
  <si>
    <t>575418</t>
  </si>
  <si>
    <t>575469</t>
  </si>
  <si>
    <t>827575</t>
  </si>
  <si>
    <t>850828</t>
  </si>
  <si>
    <t>666371</t>
  </si>
  <si>
    <t>551897</t>
  </si>
  <si>
    <t>781236</t>
  </si>
  <si>
    <t>677798</t>
  </si>
  <si>
    <t>471233</t>
  </si>
  <si>
    <t>471474</t>
  </si>
  <si>
    <t>575508</t>
  </si>
  <si>
    <t>575513</t>
  </si>
  <si>
    <t>575514</t>
  </si>
  <si>
    <t>575515</t>
  </si>
  <si>
    <t>575516</t>
  </si>
  <si>
    <t>542413</t>
  </si>
  <si>
    <t>546044</t>
  </si>
  <si>
    <t>546047</t>
  </si>
  <si>
    <t>546050</t>
  </si>
  <si>
    <t>546053</t>
  </si>
  <si>
    <t>546055</t>
  </si>
  <si>
    <t>546059</t>
  </si>
  <si>
    <t>546075</t>
  </si>
  <si>
    <t>546134</t>
  </si>
  <si>
    <t>546138</t>
  </si>
  <si>
    <t>546151</t>
  </si>
  <si>
    <t>546163</t>
  </si>
  <si>
    <t>546171</t>
  </si>
  <si>
    <t>546178</t>
  </si>
  <si>
    <t>546181</t>
  </si>
  <si>
    <t>546182</t>
  </si>
  <si>
    <t>546186</t>
  </si>
  <si>
    <t>546195</t>
  </si>
  <si>
    <t>546350</t>
  </si>
  <si>
    <t>546377</t>
  </si>
  <si>
    <t>546379</t>
  </si>
  <si>
    <t>546393</t>
  </si>
  <si>
    <t>546394</t>
  </si>
  <si>
    <t>546395</t>
  </si>
  <si>
    <t>546396</t>
  </si>
  <si>
    <t>546683</t>
  </si>
  <si>
    <t>795085</t>
  </si>
  <si>
    <t>660596</t>
  </si>
  <si>
    <t>800782</t>
  </si>
  <si>
    <t>800783</t>
  </si>
  <si>
    <t>800784</t>
  </si>
  <si>
    <t>800790</t>
  </si>
  <si>
    <t>800793</t>
  </si>
  <si>
    <t>800796</t>
  </si>
  <si>
    <t>800923</t>
  </si>
  <si>
    <t>800924</t>
  </si>
  <si>
    <t>800925</t>
  </si>
  <si>
    <t>805326</t>
  </si>
  <si>
    <t>804810</t>
  </si>
  <si>
    <t>799026</t>
  </si>
  <si>
    <t>799027</t>
  </si>
  <si>
    <t>800787</t>
  </si>
  <si>
    <t>801064</t>
  </si>
  <si>
    <t>801066</t>
  </si>
  <si>
    <t>801069</t>
  </si>
  <si>
    <t>801088</t>
  </si>
  <si>
    <t>801090</t>
  </si>
  <si>
    <t>801094</t>
  </si>
  <si>
    <t>805323</t>
  </si>
  <si>
    <t>807292</t>
  </si>
  <si>
    <t>811340</t>
  </si>
  <si>
    <t>469278</t>
  </si>
  <si>
    <t>546693</t>
  </si>
  <si>
    <t>546694</t>
  </si>
  <si>
    <t>546695</t>
  </si>
  <si>
    <t>546714</t>
  </si>
  <si>
    <t>546715</t>
  </si>
  <si>
    <t>546972</t>
  </si>
  <si>
    <t>546975</t>
  </si>
  <si>
    <t>546978</t>
  </si>
  <si>
    <t>773189</t>
  </si>
  <si>
    <t>825103</t>
  </si>
  <si>
    <t>825106</t>
  </si>
  <si>
    <t>862670</t>
  </si>
  <si>
    <t>757774</t>
  </si>
  <si>
    <t>814104</t>
  </si>
  <si>
    <t>876366</t>
  </si>
  <si>
    <t>540721</t>
  </si>
  <si>
    <t>540722</t>
  </si>
  <si>
    <t>540725</t>
  </si>
  <si>
    <t>540729</t>
  </si>
  <si>
    <t>683511</t>
  </si>
  <si>
    <t>783678</t>
  </si>
  <si>
    <t>786166</t>
  </si>
  <si>
    <t>787523</t>
  </si>
  <si>
    <t>787537</t>
  </si>
  <si>
    <t>785668</t>
  </si>
  <si>
    <t>542054</t>
  </si>
  <si>
    <t>542136</t>
  </si>
  <si>
    <t>542147</t>
  </si>
  <si>
    <t>542202</t>
  </si>
  <si>
    <t>542212</t>
  </si>
  <si>
    <t>542224</t>
  </si>
  <si>
    <t>542228</t>
  </si>
  <si>
    <t>542239</t>
  </si>
  <si>
    <t>550754</t>
  </si>
  <si>
    <t>551895</t>
  </si>
  <si>
    <t>551915</t>
  </si>
  <si>
    <t>551917</t>
  </si>
  <si>
    <t>551918</t>
  </si>
  <si>
    <t>552014</t>
  </si>
  <si>
    <t>552017</t>
  </si>
  <si>
    <t>552405</t>
  </si>
  <si>
    <t>845934</t>
  </si>
  <si>
    <t>769984</t>
  </si>
  <si>
    <t>880265</t>
  </si>
  <si>
    <t>542256</t>
  </si>
  <si>
    <t>542257</t>
  </si>
  <si>
    <t>542264</t>
  </si>
  <si>
    <t>542270</t>
  </si>
  <si>
    <t>542273</t>
  </si>
  <si>
    <t>542286</t>
  </si>
  <si>
    <t>542290</t>
  </si>
  <si>
    <t>560033</t>
  </si>
  <si>
    <t>673308</t>
  </si>
  <si>
    <t>673553</t>
  </si>
  <si>
    <t>674387</t>
  </si>
  <si>
    <t>674389</t>
  </si>
  <si>
    <t>675462</t>
  </si>
  <si>
    <t>677643</t>
  </si>
  <si>
    <t>677645</t>
  </si>
  <si>
    <t>677648</t>
  </si>
  <si>
    <t>677792</t>
  </si>
  <si>
    <t>677838</t>
  </si>
  <si>
    <t>678044</t>
  </si>
  <si>
    <t>678047</t>
  </si>
  <si>
    <t>678048</t>
  </si>
  <si>
    <t>678050</t>
  </si>
  <si>
    <t>678053</t>
  </si>
  <si>
    <t>681637</t>
  </si>
  <si>
    <t>682344</t>
  </si>
  <si>
    <t>467932</t>
  </si>
  <si>
    <t>473056</t>
  </si>
  <si>
    <t>484554</t>
  </si>
  <si>
    <t>484556</t>
  </si>
  <si>
    <t>484557</t>
  </si>
  <si>
    <t>484621</t>
  </si>
  <si>
    <t>484624</t>
  </si>
  <si>
    <t>484626</t>
  </si>
  <si>
    <t>484627</t>
  </si>
  <si>
    <t>484630</t>
  </si>
  <si>
    <t>484633</t>
  </si>
  <si>
    <t>484634</t>
  </si>
  <si>
    <t>484636</t>
  </si>
  <si>
    <t>485156</t>
  </si>
  <si>
    <t>485162</t>
  </si>
  <si>
    <t>485168</t>
  </si>
  <si>
    <t>485169</t>
  </si>
  <si>
    <t>485177</t>
  </si>
  <si>
    <t>485193</t>
  </si>
  <si>
    <t>485194</t>
  </si>
  <si>
    <t>485196</t>
  </si>
  <si>
    <t>485198</t>
  </si>
  <si>
    <t>485202</t>
  </si>
  <si>
    <t>485203</t>
  </si>
  <si>
    <t>485204</t>
  </si>
  <si>
    <t>485205</t>
  </si>
  <si>
    <t>485207</t>
  </si>
  <si>
    <t>485208</t>
  </si>
  <si>
    <t>485210</t>
  </si>
  <si>
    <t>485211</t>
  </si>
  <si>
    <t>485212</t>
  </si>
  <si>
    <t>485213</t>
  </si>
  <si>
    <t>485214</t>
  </si>
  <si>
    <t>485216</t>
  </si>
  <si>
    <t>485218</t>
  </si>
  <si>
    <t>485220</t>
  </si>
  <si>
    <t>485224</t>
  </si>
  <si>
    <t>485225</t>
  </si>
  <si>
    <t>485227</t>
  </si>
  <si>
    <t>485234</t>
  </si>
  <si>
    <t>485235</t>
  </si>
  <si>
    <t>485237</t>
  </si>
  <si>
    <t>485238</t>
  </si>
  <si>
    <t>614315</t>
  </si>
  <si>
    <t>621436</t>
  </si>
  <si>
    <t>622533</t>
  </si>
  <si>
    <t>635458</t>
  </si>
  <si>
    <t>635461</t>
  </si>
  <si>
    <t>635462</t>
  </si>
  <si>
    <t>465516</t>
  </si>
  <si>
    <t>485240</t>
  </si>
  <si>
    <t>485241</t>
  </si>
  <si>
    <t>485255</t>
  </si>
  <si>
    <t>485256</t>
  </si>
  <si>
    <t>485258</t>
  </si>
  <si>
    <t>485259</t>
  </si>
  <si>
    <t>485262</t>
  </si>
  <si>
    <t>485265</t>
  </si>
  <si>
    <t>485269</t>
  </si>
  <si>
    <t>485270</t>
  </si>
  <si>
    <t>485272</t>
  </si>
  <si>
    <t>485274</t>
  </si>
  <si>
    <t>485276</t>
  </si>
  <si>
    <t>485279</t>
  </si>
  <si>
    <t>485280</t>
  </si>
  <si>
    <t>485282</t>
  </si>
  <si>
    <t>485285</t>
  </si>
  <si>
    <t>485287</t>
  </si>
  <si>
    <t>485290</t>
  </si>
  <si>
    <t>485292</t>
  </si>
  <si>
    <t>485295</t>
  </si>
  <si>
    <t>485298</t>
  </si>
  <si>
    <t>485299</t>
  </si>
  <si>
    <t>636015</t>
  </si>
  <si>
    <t>636017</t>
  </si>
  <si>
    <t>636019</t>
  </si>
  <si>
    <t>638555</t>
  </si>
  <si>
    <t>638677</t>
  </si>
  <si>
    <t>646343</t>
  </si>
  <si>
    <t>646344</t>
  </si>
  <si>
    <t>650152</t>
  </si>
  <si>
    <t>651039</t>
  </si>
  <si>
    <t>652644</t>
  </si>
  <si>
    <t>656534</t>
  </si>
  <si>
    <t>656540</t>
  </si>
  <si>
    <t>656630</t>
  </si>
  <si>
    <t>659470</t>
  </si>
  <si>
    <t>660418</t>
  </si>
  <si>
    <t>660448</t>
  </si>
  <si>
    <t>660673</t>
  </si>
  <si>
    <t>661320</t>
  </si>
  <si>
    <t>661321</t>
  </si>
  <si>
    <t>664835</t>
  </si>
  <si>
    <t>470509</t>
  </si>
  <si>
    <t>741847</t>
  </si>
  <si>
    <t>468569</t>
  </si>
  <si>
    <t>761369</t>
  </si>
  <si>
    <t>871779</t>
  </si>
  <si>
    <t>678734</t>
  </si>
  <si>
    <t>678817</t>
  </si>
  <si>
    <t>465609</t>
  </si>
  <si>
    <t>2000003740291</t>
  </si>
  <si>
    <t>2000003740406</t>
  </si>
  <si>
    <t>2000003740420</t>
  </si>
  <si>
    <t>2000003740581</t>
  </si>
  <si>
    <t>2000003740635</t>
  </si>
  <si>
    <t>2000003740680</t>
  </si>
  <si>
    <t>2000003740734</t>
  </si>
  <si>
    <t>2000003740802</t>
  </si>
  <si>
    <t>2000003740826</t>
  </si>
  <si>
    <t>2000003740857</t>
  </si>
  <si>
    <t>2000003740932</t>
  </si>
  <si>
    <t>2000003740956</t>
  </si>
  <si>
    <t>2000003740963</t>
  </si>
  <si>
    <t>2000003741014</t>
  </si>
  <si>
    <t>2000003741021</t>
  </si>
  <si>
    <t>2000003741052</t>
  </si>
  <si>
    <t>2000003741076</t>
  </si>
  <si>
    <t>2000003741090</t>
  </si>
  <si>
    <t>2000003741106</t>
  </si>
  <si>
    <t>2000003741137</t>
  </si>
  <si>
    <t>2000003741151</t>
  </si>
  <si>
    <t>2000003741342</t>
  </si>
  <si>
    <t>2000003741403</t>
  </si>
  <si>
    <t>2000003741427</t>
  </si>
  <si>
    <t>2000003741465</t>
  </si>
  <si>
    <t>2000003741489</t>
  </si>
  <si>
    <t>2000003741526</t>
  </si>
  <si>
    <t>2000003741557</t>
  </si>
  <si>
    <t>2000003741625</t>
  </si>
  <si>
    <t>2000003741656</t>
  </si>
  <si>
    <t>2000003741649</t>
  </si>
  <si>
    <t>2000003741670</t>
  </si>
  <si>
    <t>2000003741724</t>
  </si>
  <si>
    <t>2000003741694</t>
  </si>
  <si>
    <t>2000003741779</t>
  </si>
  <si>
    <t>2000003741809</t>
  </si>
  <si>
    <t>2000003741847</t>
  </si>
  <si>
    <t>2000003741878</t>
  </si>
  <si>
    <t>2000003741939</t>
  </si>
  <si>
    <t>2000003741946</t>
  </si>
  <si>
    <t>2000003742028</t>
  </si>
  <si>
    <t>2000003742035</t>
  </si>
  <si>
    <t>2000003742097</t>
  </si>
  <si>
    <t>2000003742134</t>
  </si>
  <si>
    <t>2000003742264</t>
  </si>
  <si>
    <t>2000003742301</t>
  </si>
  <si>
    <t>2000003742318</t>
  </si>
  <si>
    <t>2000003742394</t>
  </si>
  <si>
    <t>2000003742431</t>
  </si>
  <si>
    <t>2000003742523</t>
  </si>
  <si>
    <t>2000003742608</t>
  </si>
  <si>
    <t>2000006075666</t>
  </si>
  <si>
    <t>2000006075673</t>
  </si>
  <si>
    <t>7723</t>
  </si>
  <si>
    <t>7724</t>
  </si>
  <si>
    <t>7725</t>
  </si>
  <si>
    <t>7726</t>
  </si>
  <si>
    <t>7727</t>
  </si>
  <si>
    <t>9050</t>
  </si>
  <si>
    <t>9051</t>
  </si>
  <si>
    <t>7730</t>
  </si>
  <si>
    <t>7733</t>
  </si>
  <si>
    <t>7738</t>
  </si>
  <si>
    <t>7741</t>
  </si>
  <si>
    <t>7749</t>
  </si>
  <si>
    <t>7748</t>
  </si>
  <si>
    <t>7751</t>
  </si>
  <si>
    <t>2000006085719</t>
  </si>
  <si>
    <t>2000006085726</t>
  </si>
  <si>
    <t>2000006093134</t>
  </si>
  <si>
    <t>7791</t>
  </si>
  <si>
    <t>7792</t>
  </si>
  <si>
    <t>7793</t>
  </si>
  <si>
    <t>3177</t>
  </si>
  <si>
    <t>2000003742691</t>
  </si>
  <si>
    <t>2000003745678</t>
  </si>
  <si>
    <t>2000003752065</t>
  </si>
  <si>
    <t>2000003752270</t>
  </si>
  <si>
    <t>2000003754663</t>
  </si>
  <si>
    <t>2000003757268</t>
  </si>
  <si>
    <t>2000003757329</t>
  </si>
  <si>
    <t>2000003807895</t>
  </si>
  <si>
    <t>2000003808243</t>
  </si>
  <si>
    <t>2000003810437</t>
  </si>
  <si>
    <t>2000003834020</t>
  </si>
  <si>
    <t>2000003884995</t>
  </si>
  <si>
    <t>2000003905782</t>
  </si>
  <si>
    <t>2000003985166</t>
  </si>
  <si>
    <t>2000004018894</t>
  </si>
  <si>
    <t>2000004092672</t>
  </si>
  <si>
    <t>2000003740833</t>
  </si>
  <si>
    <t>2000003741991</t>
  </si>
  <si>
    <t>2000003742073</t>
  </si>
  <si>
    <t>2000003742127</t>
  </si>
  <si>
    <t>2000003742233</t>
  </si>
  <si>
    <t>2000003743667</t>
  </si>
  <si>
    <t>2000003746064</t>
  </si>
  <si>
    <t>2000003752508</t>
  </si>
  <si>
    <t>2000003753888</t>
  </si>
  <si>
    <t>2000003766260</t>
  </si>
  <si>
    <t>2000003808021</t>
  </si>
  <si>
    <t>2000003810260</t>
  </si>
  <si>
    <t>2000003905768</t>
  </si>
  <si>
    <t>2000004018887</t>
  </si>
  <si>
    <t>2000004093662</t>
  </si>
  <si>
    <t>2000004282134</t>
  </si>
  <si>
    <t>2000004329747</t>
  </si>
  <si>
    <t>2000004446345</t>
  </si>
  <si>
    <t>2000004459512</t>
  </si>
  <si>
    <t>2000004459918</t>
  </si>
  <si>
    <t>2000004459963</t>
  </si>
  <si>
    <t>2000004749774</t>
  </si>
  <si>
    <t>8967</t>
  </si>
  <si>
    <t>8960</t>
  </si>
  <si>
    <t>8970</t>
  </si>
  <si>
    <t>8963</t>
  </si>
  <si>
    <t>8947</t>
  </si>
  <si>
    <t>8938</t>
  </si>
  <si>
    <t>8933</t>
  </si>
  <si>
    <t>8927</t>
  </si>
  <si>
    <t>2000006122483</t>
  </si>
  <si>
    <t>2000006436566</t>
  </si>
  <si>
    <t>2000004330156</t>
  </si>
  <si>
    <t>8527</t>
  </si>
  <si>
    <t>2000004446239</t>
  </si>
  <si>
    <t>2000004446291</t>
  </si>
  <si>
    <t>2000004459505</t>
  </si>
  <si>
    <t>2000004459574</t>
  </si>
  <si>
    <t>2000004459604</t>
  </si>
  <si>
    <t>2000004459666</t>
  </si>
  <si>
    <t>2000004459888</t>
  </si>
  <si>
    <t>2000004459901</t>
  </si>
  <si>
    <t>2000004459987</t>
  </si>
  <si>
    <t>8747</t>
  </si>
  <si>
    <t>8749</t>
  </si>
  <si>
    <t>2000004747763</t>
  </si>
  <si>
    <t>2000004747787</t>
  </si>
  <si>
    <t>2000006694355</t>
  </si>
  <si>
    <t>2000006696533</t>
  </si>
  <si>
    <t>8884</t>
  </si>
  <si>
    <t>8985</t>
  </si>
  <si>
    <t>8824</t>
  </si>
  <si>
    <t>8924</t>
  </si>
  <si>
    <t>2000004676667</t>
  </si>
  <si>
    <t>2000006180698</t>
  </si>
  <si>
    <t>2000004747800</t>
  </si>
  <si>
    <t>2000004747893</t>
  </si>
  <si>
    <t>2000004747909</t>
  </si>
  <si>
    <t>2000004747916</t>
  </si>
  <si>
    <t>2000004747923</t>
  </si>
  <si>
    <t>2000004747992</t>
  </si>
  <si>
    <t>2000004748029</t>
  </si>
  <si>
    <t>2000004749668</t>
  </si>
  <si>
    <t>2000004749675</t>
  </si>
  <si>
    <t>2000004749750</t>
  </si>
  <si>
    <t>2000004749767</t>
  </si>
  <si>
    <t>2000004749866</t>
  </si>
  <si>
    <t>8993</t>
  </si>
  <si>
    <t>8992</t>
  </si>
  <si>
    <t>8974</t>
  </si>
  <si>
    <t>8973</t>
  </si>
  <si>
    <t>2000004750664</t>
  </si>
  <si>
    <t>8966</t>
  </si>
  <si>
    <t>8998</t>
  </si>
  <si>
    <t>8999</t>
  </si>
  <si>
    <t>8997</t>
  </si>
  <si>
    <t>8994</t>
  </si>
  <si>
    <t>8971</t>
  </si>
  <si>
    <t>8995</t>
  </si>
  <si>
    <t>8991</t>
  </si>
  <si>
    <t>8972</t>
  </si>
  <si>
    <t>8989</t>
  </si>
  <si>
    <t>8969</t>
  </si>
  <si>
    <t>8964</t>
  </si>
  <si>
    <t>8968</t>
  </si>
  <si>
    <t>8957</t>
  </si>
  <si>
    <t>8956</t>
  </si>
  <si>
    <t>8954</t>
  </si>
  <si>
    <t>8952</t>
  </si>
  <si>
    <t>8953</t>
  </si>
  <si>
    <t>8949</t>
  </si>
  <si>
    <t>8950</t>
  </si>
  <si>
    <t>8948</t>
  </si>
  <si>
    <t>8943</t>
  </si>
  <si>
    <t>8939</t>
  </si>
  <si>
    <t>8942</t>
  </si>
  <si>
    <t>8941</t>
  </si>
  <si>
    <t>8940</t>
  </si>
  <si>
    <t>8937</t>
  </si>
  <si>
    <t>8935</t>
  </si>
  <si>
    <t>8936</t>
  </si>
  <si>
    <t>8934</t>
  </si>
  <si>
    <t>8928</t>
  </si>
  <si>
    <t>8931</t>
  </si>
  <si>
    <t>8930</t>
  </si>
  <si>
    <t>8929</t>
  </si>
  <si>
    <t>2000006180728</t>
  </si>
  <si>
    <t>3386</t>
  </si>
  <si>
    <t>2000005648953</t>
  </si>
  <si>
    <t>2000005648984</t>
  </si>
  <si>
    <t>2000006401007</t>
  </si>
  <si>
    <t>2000006401021</t>
  </si>
  <si>
    <t>3845</t>
  </si>
  <si>
    <t>2000006411044</t>
  </si>
  <si>
    <t>2000006442901</t>
  </si>
  <si>
    <t>2000004476861</t>
  </si>
  <si>
    <t>2000004478292</t>
  </si>
  <si>
    <t>2000004478315</t>
  </si>
  <si>
    <t>2000004478339</t>
  </si>
  <si>
    <t>2000004478483</t>
  </si>
  <si>
    <t>8920</t>
  </si>
  <si>
    <t>8919</t>
  </si>
  <si>
    <t>8918</t>
  </si>
  <si>
    <t>8898</t>
  </si>
  <si>
    <t>8896</t>
  </si>
  <si>
    <t>8895</t>
  </si>
  <si>
    <t>8881</t>
  </si>
  <si>
    <t>8882</t>
  </si>
  <si>
    <t>8878</t>
  </si>
  <si>
    <t>2000005075469</t>
  </si>
  <si>
    <t>2000004478667</t>
  </si>
  <si>
    <t>2000004478681</t>
  </si>
  <si>
    <t>2000004478889</t>
  </si>
  <si>
    <t>2000004478964</t>
  </si>
  <si>
    <t>2000004479091</t>
  </si>
  <si>
    <t>2000003723676</t>
  </si>
  <si>
    <t>2000003732937</t>
  </si>
  <si>
    <t>2000003733057</t>
  </si>
  <si>
    <t>2000003733088</t>
  </si>
  <si>
    <t>2000003733156</t>
  </si>
  <si>
    <t>2000003733187</t>
  </si>
  <si>
    <t>2000003733262</t>
  </si>
  <si>
    <t>2000003733293</t>
  </si>
  <si>
    <t>2000003733354</t>
  </si>
  <si>
    <t>2000003733378</t>
  </si>
  <si>
    <t>2000003733408</t>
  </si>
  <si>
    <t>2000003733514</t>
  </si>
  <si>
    <t>2000003740444</t>
  </si>
  <si>
    <t>2000003740505</t>
  </si>
  <si>
    <t>2000003740598</t>
  </si>
  <si>
    <t>2000003740666</t>
  </si>
  <si>
    <t>2000003740758</t>
  </si>
  <si>
    <t>2000003740796</t>
  </si>
  <si>
    <t>8880</t>
  </si>
  <si>
    <t>2000004803674</t>
  </si>
  <si>
    <t>2000006950550</t>
  </si>
  <si>
    <t>2000006957696</t>
  </si>
  <si>
    <t>2000006976154</t>
  </si>
  <si>
    <t>2000007910386</t>
  </si>
  <si>
    <t>2000007910409</t>
  </si>
  <si>
    <t>9432</t>
  </si>
  <si>
    <t>8556</t>
  </si>
  <si>
    <t>8532</t>
  </si>
  <si>
    <t>2000004846770</t>
  </si>
  <si>
    <t>8876</t>
  </si>
  <si>
    <t>8859</t>
  </si>
  <si>
    <t>8860</t>
  </si>
  <si>
    <t>8790</t>
  </si>
  <si>
    <t>2000007565982</t>
  </si>
  <si>
    <t>2000007879195</t>
  </si>
  <si>
    <t>2000006046703</t>
  </si>
  <si>
    <t>2000004604493</t>
  </si>
  <si>
    <t>2000007040809</t>
  </si>
  <si>
    <t>3369</t>
  </si>
  <si>
    <t>8232</t>
  </si>
  <si>
    <t>8738</t>
  </si>
  <si>
    <t>8786</t>
  </si>
  <si>
    <t>8766</t>
  </si>
  <si>
    <t>8435</t>
  </si>
  <si>
    <t>8988</t>
  </si>
  <si>
    <t>8987</t>
  </si>
  <si>
    <t>8784</t>
  </si>
  <si>
    <t>8774</t>
  </si>
  <si>
    <t>8775</t>
  </si>
  <si>
    <t>8776</t>
  </si>
  <si>
    <t>8777</t>
  </si>
  <si>
    <t>8778</t>
  </si>
  <si>
    <t>8780</t>
  </si>
  <si>
    <t>8783</t>
  </si>
  <si>
    <t>8847</t>
  </si>
  <si>
    <t>8800</t>
  </si>
  <si>
    <t>8848</t>
  </si>
  <si>
    <t>8849</t>
  </si>
  <si>
    <t>8850</t>
  </si>
  <si>
    <t>8853</t>
  </si>
  <si>
    <t>8854</t>
  </si>
  <si>
    <t>8856</t>
  </si>
  <si>
    <t>8857</t>
  </si>
  <si>
    <t>8858</t>
  </si>
  <si>
    <t>8801</t>
  </si>
  <si>
    <t>8802</t>
  </si>
  <si>
    <t>8799</t>
  </si>
  <si>
    <t>8804</t>
  </si>
  <si>
    <t>8805</t>
  </si>
  <si>
    <t>8806</t>
  </si>
  <si>
    <t>8807</t>
  </si>
  <si>
    <t>8823</t>
  </si>
  <si>
    <t>2000007203327</t>
  </si>
  <si>
    <t>2000006977243</t>
  </si>
  <si>
    <t>2000007267442</t>
  </si>
  <si>
    <t>7882</t>
  </si>
  <si>
    <t>7885</t>
  </si>
  <si>
    <t>7879</t>
  </si>
  <si>
    <t>7884</t>
  </si>
  <si>
    <t>7880</t>
  </si>
  <si>
    <t>2000007270664</t>
  </si>
  <si>
    <t>2000007270671</t>
  </si>
  <si>
    <t>2000007270688</t>
  </si>
  <si>
    <t>2000007316676</t>
  </si>
  <si>
    <t>2000007311688</t>
  </si>
  <si>
    <t>2000007244283</t>
  </si>
  <si>
    <t>2000007244290</t>
  </si>
  <si>
    <t>7883</t>
  </si>
  <si>
    <t>2000007272897</t>
  </si>
  <si>
    <t>7890</t>
  </si>
  <si>
    <t>7888</t>
  </si>
  <si>
    <t>7891</t>
  </si>
  <si>
    <t>7892</t>
  </si>
  <si>
    <t>7889</t>
  </si>
  <si>
    <t>7933</t>
  </si>
  <si>
    <t>7947</t>
  </si>
  <si>
    <t>7983</t>
  </si>
  <si>
    <t>8352</t>
  </si>
  <si>
    <t>8797</t>
  </si>
  <si>
    <t>8798</t>
  </si>
  <si>
    <t>8832</t>
  </si>
  <si>
    <t>8825</t>
  </si>
  <si>
    <t>8926</t>
  </si>
  <si>
    <t>8922</t>
  </si>
  <si>
    <t>8923</t>
  </si>
  <si>
    <t>8925</t>
  </si>
  <si>
    <t>2000006946089</t>
  </si>
  <si>
    <t>2000007540408</t>
  </si>
  <si>
    <t>9159</t>
  </si>
  <si>
    <t>2000007991309</t>
  </si>
  <si>
    <t>2000006828064</t>
  </si>
  <si>
    <t>2000007415300</t>
  </si>
  <si>
    <t>9378</t>
  </si>
  <si>
    <t>8769</t>
  </si>
  <si>
    <t>8770</t>
  </si>
  <si>
    <t>8771</t>
  </si>
  <si>
    <t>8773</t>
  </si>
  <si>
    <t>4962</t>
  </si>
  <si>
    <t>4910</t>
  </si>
  <si>
    <t>4954</t>
  </si>
  <si>
    <t>7565</t>
  </si>
  <si>
    <t>7566</t>
  </si>
  <si>
    <t>2000007091405</t>
  </si>
  <si>
    <t>2000004476885</t>
  </si>
  <si>
    <t>2000004477646</t>
  </si>
  <si>
    <t>2000004477738</t>
  </si>
  <si>
    <t>2000004478254</t>
  </si>
  <si>
    <t>2000004478353</t>
  </si>
  <si>
    <t>2000004478469</t>
  </si>
  <si>
    <t>2000004478513</t>
  </si>
  <si>
    <t>2000004478629</t>
  </si>
  <si>
    <t>2000004584061</t>
  </si>
  <si>
    <t>2000004604479</t>
  </si>
  <si>
    <t>2000004604684</t>
  </si>
  <si>
    <t>2000004604691</t>
  </si>
  <si>
    <t>2000004604707</t>
  </si>
  <si>
    <t>8909</t>
  </si>
  <si>
    <t>2000004606077</t>
  </si>
  <si>
    <t>2000004612122</t>
  </si>
  <si>
    <t>2000007822450</t>
  </si>
  <si>
    <t>2000006918123</t>
  </si>
  <si>
    <t>9431</t>
  </si>
  <si>
    <t>2000004478780</t>
  </si>
  <si>
    <t>2000004478803</t>
  </si>
  <si>
    <t>2000004478865</t>
  </si>
  <si>
    <t>2000004478919</t>
  </si>
  <si>
    <t>2000004478940</t>
  </si>
  <si>
    <t>2000004479077</t>
  </si>
  <si>
    <t>2000004479121</t>
  </si>
  <si>
    <t>2000004708405</t>
  </si>
  <si>
    <t>8803</t>
  </si>
  <si>
    <t>4380</t>
  </si>
  <si>
    <t>2000006142931</t>
  </si>
  <si>
    <t>3288</t>
  </si>
  <si>
    <t>2000006154316</t>
  </si>
  <si>
    <t>2000006180667</t>
  </si>
  <si>
    <t>2000006180681</t>
  </si>
  <si>
    <t>2000006180711</t>
  </si>
  <si>
    <t>3367</t>
  </si>
  <si>
    <t>3375</t>
  </si>
  <si>
    <t>3379</t>
  </si>
  <si>
    <t>3382</t>
  </si>
  <si>
    <t>3383</t>
  </si>
  <si>
    <t>3385</t>
  </si>
  <si>
    <t>3384</t>
  </si>
  <si>
    <t>2000006225207</t>
  </si>
  <si>
    <t>3680</t>
  </si>
  <si>
    <t>8257</t>
  </si>
  <si>
    <t>8084</t>
  </si>
  <si>
    <t>2000003723669</t>
  </si>
  <si>
    <t>2000003723683</t>
  </si>
  <si>
    <t>2000003723690</t>
  </si>
  <si>
    <t>2000003724468</t>
  </si>
  <si>
    <t>2000003724482</t>
  </si>
  <si>
    <t>2000003724505</t>
  </si>
  <si>
    <t>2000003724512</t>
  </si>
  <si>
    <t>2000003724529</t>
  </si>
  <si>
    <t>2000003724543</t>
  </si>
  <si>
    <t>2000003724550</t>
  </si>
  <si>
    <t>2000003724574</t>
  </si>
  <si>
    <t>2000003732081</t>
  </si>
  <si>
    <t>2000003732128</t>
  </si>
  <si>
    <t>2000003732159</t>
  </si>
  <si>
    <t>2000003732166</t>
  </si>
  <si>
    <t>2000003732241</t>
  </si>
  <si>
    <t>2000003732470</t>
  </si>
  <si>
    <t>2000003732487</t>
  </si>
  <si>
    <t>2000003732500</t>
  </si>
  <si>
    <t>2000003732524</t>
  </si>
  <si>
    <t>2000003732562</t>
  </si>
  <si>
    <t>2000003732579</t>
  </si>
  <si>
    <t>2000003732593</t>
  </si>
  <si>
    <t>2000003732586</t>
  </si>
  <si>
    <t>2000003732616</t>
  </si>
  <si>
    <t>2000003732623</t>
  </si>
  <si>
    <t>2000003732647</t>
  </si>
  <si>
    <t>2000003732654</t>
  </si>
  <si>
    <t>2000003732661</t>
  </si>
  <si>
    <t>2000003732678</t>
  </si>
  <si>
    <t>2000003732685</t>
  </si>
  <si>
    <t>2000003732708</t>
  </si>
  <si>
    <t>2000003732722</t>
  </si>
  <si>
    <t>2000003732746</t>
  </si>
  <si>
    <t>2000003732777</t>
  </si>
  <si>
    <t>2000003732784</t>
  </si>
  <si>
    <t>2000003732807</t>
  </si>
  <si>
    <t>2000003732876</t>
  </si>
  <si>
    <t>2000003732883</t>
  </si>
  <si>
    <t>2000003732906</t>
  </si>
  <si>
    <t>2000003732913</t>
  </si>
  <si>
    <t>2000005396069</t>
  </si>
  <si>
    <t>2000005462375</t>
  </si>
  <si>
    <t>2000005479632</t>
  </si>
  <si>
    <t>2000005648977</t>
  </si>
  <si>
    <t>2000005648991</t>
  </si>
  <si>
    <t>2000005649004</t>
  </si>
  <si>
    <t>8393</t>
  </si>
  <si>
    <t>2000003732920</t>
  </si>
  <si>
    <t>2000003732944</t>
  </si>
  <si>
    <t>2000003733064</t>
  </si>
  <si>
    <t>2000003733071</t>
  </si>
  <si>
    <t>2000003733095</t>
  </si>
  <si>
    <t>2000003733101</t>
  </si>
  <si>
    <t>2000003733132</t>
  </si>
  <si>
    <t>2000003733163</t>
  </si>
  <si>
    <t>2000003733200</t>
  </si>
  <si>
    <t>2000003733217</t>
  </si>
  <si>
    <t>2000003733231</t>
  </si>
  <si>
    <t>2000003733255</t>
  </si>
  <si>
    <t>2000003733279</t>
  </si>
  <si>
    <t>2000003733309</t>
  </si>
  <si>
    <t>2000003733316</t>
  </si>
  <si>
    <t>2000003733330</t>
  </si>
  <si>
    <t>2000003733361</t>
  </si>
  <si>
    <t>2000003733385</t>
  </si>
  <si>
    <t>2000003733415</t>
  </si>
  <si>
    <t>2000003733439</t>
  </si>
  <si>
    <t>2000003733460</t>
  </si>
  <si>
    <t>2000003733507</t>
  </si>
  <si>
    <t>2000003733491</t>
  </si>
  <si>
    <t>2000005654114</t>
  </si>
  <si>
    <t>2000005654121</t>
  </si>
  <si>
    <t>2000005654138</t>
  </si>
  <si>
    <t>2000005689819</t>
  </si>
  <si>
    <t>2000005690938</t>
  </si>
  <si>
    <t>2000005791871</t>
  </si>
  <si>
    <t>2000005791888</t>
  </si>
  <si>
    <t>2000005838132</t>
  </si>
  <si>
    <t>8763</t>
  </si>
  <si>
    <t>8765</t>
  </si>
  <si>
    <t>8795</t>
  </si>
  <si>
    <t>8810</t>
  </si>
  <si>
    <t>8814</t>
  </si>
  <si>
    <t>2000005953583</t>
  </si>
  <si>
    <t>8902</t>
  </si>
  <si>
    <t>8913</t>
  </si>
  <si>
    <t>7825</t>
  </si>
  <si>
    <t>2000005979576</t>
  </si>
  <si>
    <t>2000005979538</t>
  </si>
  <si>
    <t>2000006026040</t>
  </si>
  <si>
    <t>8130</t>
  </si>
  <si>
    <t>4256</t>
  </si>
  <si>
    <t>8147</t>
  </si>
  <si>
    <t>4560</t>
  </si>
  <si>
    <t>6425751899804</t>
  </si>
  <si>
    <t>3559</t>
  </si>
  <si>
    <t>3562</t>
  </si>
  <si>
    <t>8132</t>
  </si>
  <si>
    <t>HOT FOOD INHOUSE</t>
  </si>
  <si>
    <t>HOT FOOD INDUSTRIAL</t>
  </si>
  <si>
    <t>HF-IN MUSTARD SEED /KG</t>
  </si>
  <si>
    <t>HF-IN MUTTON LIVER /KG</t>
  </si>
  <si>
    <t>HF-IN GARLIC POWDER /KG</t>
  </si>
  <si>
    <t>HF-IN GREEN PEAS /KG</t>
  </si>
  <si>
    <t>HF-IN HONEY /KG</t>
  </si>
  <si>
    <t>HF-IN ASAFOETIDA /KG</t>
  </si>
  <si>
    <t>HF-IN BAKING POWDER /KG</t>
  </si>
  <si>
    <t>HF-IN BANANA LEAVES /PC</t>
  </si>
  <si>
    <t>HF-IN CHILLI BAJI /KG</t>
  </si>
  <si>
    <t>HF-IN KADHU /KG</t>
  </si>
  <si>
    <t>HF-IN SODIUM CARBONATE /KG</t>
  </si>
  <si>
    <t>HF-IN BEETROOT /KG</t>
  </si>
  <si>
    <t>HF-IN CHILLY PASTE /KG</t>
  </si>
  <si>
    <t>HF-IN BINDI /KG</t>
  </si>
  <si>
    <t>HF-IN BITTERGUARD /KG</t>
  </si>
  <si>
    <t>HF-IN BLACK CHICK PEAS /KG</t>
  </si>
  <si>
    <t>HF-IN BLACK PEPPER WHOLE /KG</t>
  </si>
  <si>
    <t>HF-IN LEMON SALT /KG</t>
  </si>
  <si>
    <t>HF-IN BLACK SALT POWDER /KG</t>
  </si>
  <si>
    <t>HF-IN LETTUCE /KG</t>
  </si>
  <si>
    <t>HF-IN COCONUT OIL /KG</t>
  </si>
  <si>
    <t>HF-IN OYSTER SAUCE /KG</t>
  </si>
  <si>
    <t>HF-IN TANDOORI MASALA /KG</t>
  </si>
  <si>
    <t>HF-IN COOKING CREAM /KG</t>
  </si>
  <si>
    <t>HF-IN COOKING OIL /KG</t>
  </si>
  <si>
    <t>HF-IN MASOOR DAL /KG</t>
  </si>
  <si>
    <t>HF-IN MAYONAISE /KG</t>
  </si>
  <si>
    <t>HF-IN TOMATO KETCHUP /KG</t>
  </si>
  <si>
    <t>HF-IN CUCUMBER /KG</t>
  </si>
  <si>
    <t>HF-IN PASTA /KG</t>
  </si>
  <si>
    <t>HF-IN TOOR DAL /KG</t>
  </si>
  <si>
    <t>HF-IN MIX VEGETABLE /KG</t>
  </si>
  <si>
    <t>HF-IN PEANUT /KG</t>
  </si>
  <si>
    <t>HF-IN LABNEH /KG</t>
  </si>
  <si>
    <t>HF-IN MOONG DAL /KG</t>
  </si>
  <si>
    <t>HF-IN DOSA IDLY BATTER /KG</t>
  </si>
  <si>
    <t>HF-IN COCONUT POWDER /KG</t>
  </si>
  <si>
    <t>HF-IN VERMICELLI /KG</t>
  </si>
  <si>
    <t>HF-IN EGG PLANT /KG</t>
  </si>
  <si>
    <t>HF-IN CHAT MASALA /KG</t>
  </si>
  <si>
    <t>HF-IN PUMPKIN RED /KG</t>
  </si>
  <si>
    <t>HF-IN WHITE CHICK PEAS /KG</t>
  </si>
  <si>
    <t>HF-IN FISH FILLET /KG</t>
  </si>
  <si>
    <t>HF-IN FISH MASALA /KG</t>
  </si>
  <si>
    <t>HF-IN RAW MANGO /KG</t>
  </si>
  <si>
    <t>HF-IN FLOUR STICK /KG</t>
  </si>
  <si>
    <t>HF-IN RED PUMKIN /KG</t>
  </si>
  <si>
    <t>HF-IN CHILLY SAUCE /KG</t>
  </si>
  <si>
    <t>HF-IN COCONUT WHOLE /KG</t>
  </si>
  <si>
    <t>HF-IN WHITE EGG /KG</t>
  </si>
  <si>
    <t>HF-IN SEMOLINA /KG</t>
  </si>
  <si>
    <t>HF-IN MUTTON PAYA /KG</t>
  </si>
  <si>
    <t>HF-IN PALM OIL /KG</t>
  </si>
  <si>
    <t>QT-HF CHICKEN WINGS FRY KG</t>
  </si>
  <si>
    <t>QT HF SPECIAL BURFI KG</t>
  </si>
  <si>
    <t>QT-HF ELANCHI PCS</t>
  </si>
  <si>
    <t>QT-HF GHEE PAK KG</t>
  </si>
  <si>
    <t>QT-HF MUTTON PAYA KG</t>
  </si>
  <si>
    <t>QT -HF RAVA CAKE PCS</t>
  </si>
  <si>
    <t>QT HF-DAHI VADA PCS</t>
  </si>
  <si>
    <t>QT-HF PEANUT BURFI KG</t>
  </si>
  <si>
    <t>QT-HF VEGETABLE CURRY KG</t>
  </si>
  <si>
    <t>QT HF LADDU PACK PCS</t>
  </si>
  <si>
    <t>QT-HF BESON BURFI KG</t>
  </si>
  <si>
    <t>QT-BK COCONUT LADDU KG</t>
  </si>
  <si>
    <t>QT-HF DRY FRUIT CHIKKI KG</t>
  </si>
  <si>
    <t>QT-HF ROASTED PEANUT KG</t>
  </si>
  <si>
    <t>HF-IN SINGLE SPOON GHEE /KG</t>
  </si>
  <si>
    <t>HF-IN CHICKEN WINGS /KG</t>
  </si>
  <si>
    <t>HF-IN CLARIPAC CONTAINER W/HING LID 12OZ PET 600PC</t>
  </si>
  <si>
    <t>QT-HF SPECIAL DATES KG</t>
  </si>
  <si>
    <t>QT-HF EGG NOODLES KG</t>
  </si>
  <si>
    <t>QT HF CHICKEN FRY HALF PCS</t>
  </si>
  <si>
    <t>QT HF GOBI 65 KG</t>
  </si>
  <si>
    <t>HF-IN EGG /PC</t>
  </si>
  <si>
    <t>HF-IN LEMON JUICE /KG</t>
  </si>
  <si>
    <t>HF-IN WHITE VINEAGER /KG</t>
  </si>
  <si>
    <t>HF-IN STAR ANIS /KG</t>
  </si>
  <si>
    <t>HF-IN BESAN /KG</t>
  </si>
  <si>
    <t>HF-IN CASHEW NUT /KG</t>
  </si>
  <si>
    <t>HF-IN GRAM FLOUR /KG</t>
  </si>
  <si>
    <t>HF-IN HOT CHILLI SAUCE /KG</t>
  </si>
  <si>
    <t>HF-IN SPRING ONION /KG</t>
  </si>
  <si>
    <t>HF-IN CORIANDER LEAF /KG</t>
  </si>
  <si>
    <t>HF-IN CHICKEN CUBE /KG</t>
  </si>
  <si>
    <t>HF-IN TAMARIND /KG</t>
  </si>
  <si>
    <t>HF-IN CHICKEN SAUSAGE /KG</t>
  </si>
  <si>
    <t>HF-IN PORATHA /PC</t>
  </si>
  <si>
    <t>HF-IN CHILLI FLAKES /KG</t>
  </si>
  <si>
    <t>HF-IN PLAIN WATER /KG</t>
  </si>
  <si>
    <t>HF-IN BASEN FLOUR /KG</t>
  </si>
  <si>
    <t>HF-IN CHICKEN FRANKS /KG</t>
  </si>
  <si>
    <t>HF-IN PUTTU PODI /KG</t>
  </si>
  <si>
    <t>HF-IN WHITE RICE /KG</t>
  </si>
  <si>
    <t>HF-IN BANANA /KG</t>
  </si>
  <si>
    <t>HF-IN GOBI /KG</t>
  </si>
  <si>
    <t>HF-IN ORANGE /KG</t>
  </si>
  <si>
    <t>HF-IN CINNAMON POWDER /KG</t>
  </si>
  <si>
    <t>HF-IN CARDAMOM POWDER /KG</t>
  </si>
  <si>
    <t>HF-IN PAV BUN /PC</t>
  </si>
  <si>
    <t>HF-IN SOYA SAUCE /KG</t>
  </si>
  <si>
    <t>HF-IN BUSH COLOR /KG</t>
  </si>
  <si>
    <t>HF-IN SAMBAR POWDER /KG</t>
  </si>
  <si>
    <t>HF-IN COCONUT SCRAPPED /KG</t>
  </si>
  <si>
    <t>HF-IN MILK /KG</t>
  </si>
  <si>
    <t>HF-IN URUD DAL /KG</t>
  </si>
  <si>
    <t>HF-IN FISH /KG</t>
  </si>
  <si>
    <t>HF-IN GINGER GARLIC PASTE /KG</t>
  </si>
  <si>
    <t>HF-IN CHANA POWDER /KG</t>
  </si>
  <si>
    <t>HF-IN ANNI SEED /KG</t>
  </si>
  <si>
    <t>HF-IN BROAST MASALA /KG</t>
  </si>
  <si>
    <t>HF-IN VANILA POWDER /KG</t>
  </si>
  <si>
    <t>QT-HF CHICKEN FRY</t>
  </si>
  <si>
    <t>QT-HF GRILLED HALF CHICKEN</t>
  </si>
  <si>
    <t>QT-HF MUTTON KADAI</t>
  </si>
  <si>
    <t>QT-HF CARROT HALWA</t>
  </si>
  <si>
    <t>QT-HF BANANA STUFF PCS</t>
  </si>
  <si>
    <t>QT-HF CHICKEN CHUKKA</t>
  </si>
  <si>
    <t>QT-HF EGG ROAST KG</t>
  </si>
  <si>
    <t>QT-HF MUTTON PEPPER MASALA</t>
  </si>
  <si>
    <t>HF-IN GARLIC CUP 4OZ 100 /PC</t>
  </si>
  <si>
    <t>HF-IN CHILLY WHOLE ROUND /KG</t>
  </si>
  <si>
    <t>HF-IN GINGER POWDER /KG</t>
  </si>
  <si>
    <t>HF SPECIAL COMBO</t>
  </si>
  <si>
    <t>HF-IN MIX MASALA POWDER /KG</t>
  </si>
  <si>
    <t>HF-IN ARABIC BREAD SMALL /PC</t>
  </si>
  <si>
    <t>HF-IN MILK POWDER /KG</t>
  </si>
  <si>
    <t>HF-IN CHUTNEY POWDER /KG</t>
  </si>
  <si>
    <t>HF-IN POTATO MASALA /KG</t>
  </si>
  <si>
    <t>HF-IN SLICE BREAD /PC</t>
  </si>
  <si>
    <t>HF-IN HOT SAUCE /KG</t>
  </si>
  <si>
    <t>HF-IN NOODLES /KG</t>
  </si>
  <si>
    <t>HF-IN ALMOND /KG</t>
  </si>
  <si>
    <t>QT-HF TANDOORI ALOO PARATHA</t>
  </si>
  <si>
    <t>QT-HF PUTTU</t>
  </si>
  <si>
    <t>HF-IN FOAM TRAY S1 500S /PC</t>
  </si>
  <si>
    <t>HF-IN MAXI ROLL EMBOSSED 2PLY /PC</t>
  </si>
  <si>
    <t>HF-IN CHICKEN FRANK KG</t>
  </si>
  <si>
    <t>HF-IN SANDWICH PAPER 1*10PC /PC</t>
  </si>
  <si>
    <t>QT-HF CRAB MASALA</t>
  </si>
  <si>
    <t>QT HF-CHICKEN SAUSAGE KG</t>
  </si>
  <si>
    <t>QT-HF BREAD PACODA</t>
  </si>
  <si>
    <t>QT-HF BEEF FRY KG</t>
  </si>
  <si>
    <t>HF-IN RICE FLAKES /KG</t>
  </si>
  <si>
    <t>HF-IN ONION PASTE /KG</t>
  </si>
  <si>
    <t>HF-IN MICRO CONTAINER SQUARE 1000PP 500S /PC</t>
  </si>
  <si>
    <t>HF-IN SALAD CUP 2000S /PC</t>
  </si>
  <si>
    <t>HF-IN WHITE FOAM TRAY 167*129*25MM /PC</t>
  </si>
  <si>
    <t>HF-IN WHITE FOAM TRAY 216*152*20MM /PC</t>
  </si>
  <si>
    <t>HF-IN WHITE FOAM TRAY 265*189*20MM /PC</t>
  </si>
  <si>
    <t>HF-IN CHIPS FROZEN /KG</t>
  </si>
  <si>
    <t>HF-IN FLOUR /KG</t>
  </si>
  <si>
    <t>HF-IN ESSENCE /KG</t>
  </si>
  <si>
    <t>HF-IN DRINKING CHOCLATE /KG</t>
  </si>
  <si>
    <t>HF-IN GLUCOSE SYRUP /KG</t>
  </si>
  <si>
    <t>HF-IN PISTACHIOS /KG</t>
  </si>
  <si>
    <t>HF-IN MAVA /KG</t>
  </si>
  <si>
    <t>QT-HF GOBI MANCHURIAN KG</t>
  </si>
  <si>
    <t>QT-HF TANDOORI CHICKEN QTR</t>
  </si>
  <si>
    <t>QT-HF CHICKEN CURRY KG</t>
  </si>
  <si>
    <t>QT-HF BOMBAY HALWA KG</t>
  </si>
  <si>
    <t>HF-IN FRESH CAMEL MEAT /KG</t>
  </si>
  <si>
    <t>QT-HF CAMEL ROAST</t>
  </si>
  <si>
    <t>QT-HF LADDU RED KG</t>
  </si>
  <si>
    <t>QT-HF CHICKEN KOLAHAPURI</t>
  </si>
  <si>
    <t>QT-HF GRILLED  CHICKEN</t>
  </si>
  <si>
    <t>QT-HF CHICKEN DHANIYA CURRY</t>
  </si>
  <si>
    <t>QT-HF JILEBI KG</t>
  </si>
  <si>
    <t>QT-HF CHICKEN SHAWARMA ROLL SMALL</t>
  </si>
  <si>
    <t>QT-HF PARATHA</t>
  </si>
  <si>
    <t>QT-HF CHICKEN TIKKA KGS</t>
  </si>
  <si>
    <t>QT-HF DAL MONTH KG</t>
  </si>
  <si>
    <t>QT-HF TANDOORI CHICKEN HALF</t>
  </si>
  <si>
    <t>QT-HF MILK PEDA KG</t>
  </si>
  <si>
    <t>QT-HF MUTTON MASALA</t>
  </si>
  <si>
    <t>QT-HF GULAB JAMUN KG</t>
  </si>
  <si>
    <t>QT-HF KADAI CHICKEN</t>
  </si>
  <si>
    <t>QT-HF AFLATOON KG</t>
  </si>
  <si>
    <t>QT-HF KAJU KATLI KG</t>
  </si>
  <si>
    <t>QT-HF SHEW PAK KG</t>
  </si>
  <si>
    <t>QT-HF CHOCOLATE BURFI KG</t>
  </si>
  <si>
    <t>QT-HF CHICKEN SHAWARMA ROLL BIG</t>
  </si>
  <si>
    <t>QT-HF CHICKEN SHAWARMA ROLL PLATE</t>
  </si>
  <si>
    <t>QT-HF ANJEER PAK KG</t>
  </si>
  <si>
    <t>QT-HF KALA JAMUN KG</t>
  </si>
  <si>
    <t>QT-HF  ONION VADA</t>
  </si>
  <si>
    <t>QT-HF KAJU PAK KG</t>
  </si>
  <si>
    <t>QT-HF CHICKEN FRY CHILLY KG</t>
  </si>
  <si>
    <t>QT-HF PEPPER CHICKEN MASALA KG</t>
  </si>
  <si>
    <t>QT-HF MYSORE PAK YELLOW KG</t>
  </si>
  <si>
    <t>QT-HF FRENCH FRIES</t>
  </si>
  <si>
    <t>QT-HF BEEF CHILLY KG</t>
  </si>
  <si>
    <t>QT-HF SUGHEEN PCS</t>
  </si>
  <si>
    <t>QT-HF KAPPA THORAN</t>
  </si>
  <si>
    <t>QT-HF FISH MANCHURIAN KG</t>
  </si>
  <si>
    <t>QT-HF PISTA PAK KG</t>
  </si>
  <si>
    <t>HF-IN BHUNA MASALA /KG</t>
  </si>
  <si>
    <t>QT HF NEY VADA PCS</t>
  </si>
  <si>
    <t>HF-IN PAPER BAGS NO 4 BROWN /KG</t>
  </si>
  <si>
    <t>HF-IN ALUMINIUM FOIL 45CMX2.5KG 1*6PC /PC</t>
  </si>
  <si>
    <t>HF-IN FOAM TRAY 167*129*25MM-WHITE (500PCS) /PC</t>
  </si>
  <si>
    <t>HF-IN 16 OZ RECT.CONTAINER WITH LID (500PCS) /PC</t>
  </si>
  <si>
    <t>QT HF KOTHU PAROTTA KG</t>
  </si>
  <si>
    <t>HF-IN BRWN MANN BAG 12*5.5*30CM 4KG</t>
  </si>
  <si>
    <t>HF-IN MANN BAG 20*10*41CM 4 /PC</t>
  </si>
  <si>
    <t>HF-IN 1000CC M/WAVE CONT RECT 500+LID /PC</t>
  </si>
  <si>
    <t>HF-SP HOTPACK PAPER BAG SMALL KG</t>
  </si>
  <si>
    <t>HF-IN LABEL THERMAL WEIGH SCALE 58X39 /PC</t>
  </si>
  <si>
    <t>HF-IN M/W RND BOWL 450OC+LID-500 P16 /PC</t>
  </si>
  <si>
    <t>HF-IN NURSE (BOUFFANT-HAIRNET) CAP WHITE 1000P /PC</t>
  </si>
  <si>
    <t>QT-HF ALMOND PAK KG</t>
  </si>
  <si>
    <t>QT-HF PLAIN BURFI KG</t>
  </si>
  <si>
    <t>QT-HF KALA PEDA KG</t>
  </si>
  <si>
    <t>QT-HF LEMON BURFI KG</t>
  </si>
  <si>
    <t>QT-HF BOILED EGGS</t>
  </si>
  <si>
    <t>QT-HF CHOCOLATE PEDA KG</t>
  </si>
  <si>
    <t>QT-HF CHICKEN KONDATTAM</t>
  </si>
  <si>
    <t>QT-HF RASAGULA KG</t>
  </si>
  <si>
    <t>QT-HF LADDU YELLOW KG</t>
  </si>
  <si>
    <t>HF-IN SHERI /PC</t>
  </si>
  <si>
    <t>HF-SP DISH WASH LIQUID KG</t>
  </si>
  <si>
    <t>HF-IN RND BOWL450OC+LID500 P16 /PC</t>
  </si>
  <si>
    <t>HF-IN CHICKEN SHAWARMA /KG</t>
  </si>
  <si>
    <t>HF-IN KASOORI METHI /KG</t>
  </si>
  <si>
    <t>HF-IN MUSHROOMS WHOLE /KG</t>
  </si>
  <si>
    <t>HF-IN ONION /KG</t>
  </si>
  <si>
    <t>HF-IN GREEN CAPSICUM /KG</t>
  </si>
  <si>
    <t>HF-IN CASHEW NUT BRKN /KG</t>
  </si>
  <si>
    <t>HF-IN BLACK PEPPER POWDER /KG</t>
  </si>
  <si>
    <t>HF-IN BASMATHI RICE /KG</t>
  </si>
  <si>
    <t>HF-IN BUTTER /KG</t>
  </si>
  <si>
    <t>HF-IN CHICKEN GIZZARD /KG</t>
  </si>
  <si>
    <t>HF-IN GOLDEN RAISINS /KG</t>
  </si>
  <si>
    <t>HF-IN CORIANDER WHOLE /KG</t>
  </si>
  <si>
    <t>HF-IN CORIANDER SEED KG</t>
  </si>
  <si>
    <t>HF-IN KASHMIRI CHILLI POWDER /KG</t>
  </si>
  <si>
    <t>HF-IN CHILLY WHOLE LONG /KG</t>
  </si>
  <si>
    <t>HF-IN CHICKEN MASALA /KG</t>
  </si>
  <si>
    <t>HF-IN AJWAN SEED /KG</t>
  </si>
  <si>
    <t>HF-IN ANCHOVY HEADLESS /KG</t>
  </si>
  <si>
    <t>HF-IN TAHINA /KG</t>
  </si>
  <si>
    <t>HF-IN ROUND CHILLI /KG</t>
  </si>
  <si>
    <t>HF-IN JAGGERY /KG</t>
  </si>
  <si>
    <t>QT-HF BALUSHAHI KG</t>
  </si>
  <si>
    <t>HF-IN SAFFRON /KG</t>
  </si>
  <si>
    <t>HF-IN RASAM POWDER /KG</t>
  </si>
  <si>
    <t>HF-IN PAPAYA /KG</t>
  </si>
  <si>
    <t>HF-IN HAMBURGER ROLL 1*6 /PC</t>
  </si>
  <si>
    <t>HF IN CHICKEN FEET KG</t>
  </si>
  <si>
    <t>HF IN ZIPLOCK GRILL CHICKEN BAG SMALL 100*10PK</t>
  </si>
  <si>
    <t>QTR HF BISCUIT BURFI KG</t>
  </si>
  <si>
    <t>ALEESA</t>
  </si>
  <si>
    <t>POTHICHORU</t>
  </si>
  <si>
    <t>HF-IN FOAM TRAY M-3 WHITE 500S /PC</t>
  </si>
  <si>
    <t>QT HF- DAL VADA</t>
  </si>
  <si>
    <t>QT HF-SPECIAL FISH CURRY KG</t>
  </si>
  <si>
    <t>QT HF-EGG BONDA</t>
  </si>
  <si>
    <t>QT HF-GARLIC CHICKEN FULL</t>
  </si>
  <si>
    <t>HF-IN ROUND CONTAINER FLAT 500CC 100 PCS</t>
  </si>
  <si>
    <t>HF IN BOTTLEGOURD KG</t>
  </si>
  <si>
    <t>HF-IN OREGANO /KG</t>
  </si>
  <si>
    <t>HF-IN ASH GUARD /KG</t>
  </si>
  <si>
    <t>HF-IN WHEAT PUTTU PODI /KG</t>
  </si>
  <si>
    <t>QT-HF SPECIAL MIXTURE KG</t>
  </si>
  <si>
    <t>BROASTED CHICKEN COMBO</t>
  </si>
  <si>
    <t>BAIGAN FRY</t>
  </si>
  <si>
    <t>QT HF-MAWA ROLL KG</t>
  </si>
  <si>
    <t>QT HF-GUJIYA</t>
  </si>
  <si>
    <t>QT HF-COCONU BURFI KG</t>
  </si>
  <si>
    <t>QT HF-BROASTED CHICKEN LEG</t>
  </si>
  <si>
    <t>QT HF-DUCK ROAST KG</t>
  </si>
  <si>
    <t>QT-HF CHILLY BAJI</t>
  </si>
  <si>
    <t>QT-HF SET DOSA</t>
  </si>
  <si>
    <t>QT-HF POTATO BONDA</t>
  </si>
  <si>
    <t>QT-HF CABBAGE VADA</t>
  </si>
  <si>
    <t>QT-HF FRIED BANANA</t>
  </si>
  <si>
    <t>QT-HF PLAIN DOSA</t>
  </si>
  <si>
    <t>QT-HF PAPER DOSA</t>
  </si>
  <si>
    <t>QT-HF IDLI</t>
  </si>
  <si>
    <t>QT-HF BEEF PEPPER FRY KG</t>
  </si>
  <si>
    <t>QT-HF CHICKEN MASALA KG</t>
  </si>
  <si>
    <t>QT-HF CHICKEN MASHAVI HALF</t>
  </si>
  <si>
    <t>QT-HF CHICKEN GIZZARD MASALA KG</t>
  </si>
  <si>
    <t>QT-HF MUTTON LIVER CURRY KG</t>
  </si>
  <si>
    <t>QT-HF BEEF ROAST KERALA STYLE KG</t>
  </si>
  <si>
    <t>QT-HF MUTTON ROAST KG</t>
  </si>
  <si>
    <t>QT-HF PUNJABI SAMOOSA</t>
  </si>
  <si>
    <t>QT-HF CHICKEN MANCHURIAN BONE/ IN KG</t>
  </si>
  <si>
    <t>QT-HF FISH FRY SARDINES</t>
  </si>
  <si>
    <t>QT-HF PLAIN RICE KG</t>
  </si>
  <si>
    <t>QT-HF CHILLY CHICKEN KG</t>
  </si>
  <si>
    <t>QT-HF GARLIC CHICKEN DRY BONE IN KG</t>
  </si>
  <si>
    <t>QT-HF CHICKEN DUM BIRIYANI KG</t>
  </si>
  <si>
    <t>QT-HF MUTTON BIRIYANI KG</t>
  </si>
  <si>
    <t>QT-HF CHICKEN FRIED RICE KG</t>
  </si>
  <si>
    <t>QT-HF BROASTED CHICKEN FULL</t>
  </si>
  <si>
    <t>QT-HF BROASTED CHICKEN PCS</t>
  </si>
  <si>
    <t>HF-IN CAKE BOX 35CM*35CM*12CM-100 /PC</t>
  </si>
  <si>
    <t>HF-IN PUFFED RICE /KG</t>
  </si>
  <si>
    <t>HF-IN PICKLE /KG</t>
  </si>
  <si>
    <t>MUTTON BIRYANI SMALL</t>
  </si>
  <si>
    <t>BEEF BIRYANI SMALL</t>
  </si>
  <si>
    <t>CHICKEN BIRYANI SMALL</t>
  </si>
  <si>
    <t>MUTTON BIRYANI LARGE</t>
  </si>
  <si>
    <t>CHICKEN BIRYANI MEDIUM</t>
  </si>
  <si>
    <t>HF-IN FIJI PACK PLASTIC BUCKET 1000ML /PC</t>
  </si>
  <si>
    <t>HF-IN FIJI PACK PLASTIC BUCKET 2000ML /PC</t>
  </si>
  <si>
    <t>HF-IN FIJI PACK PLASTIC BUCKET 4000ML /PC</t>
  </si>
  <si>
    <t>HF-IN CHICKEN BUCKETS MED 130 OZ 100 /PC</t>
  </si>
  <si>
    <t>HF-IN WHIT BREAD LARGE /PC</t>
  </si>
  <si>
    <t>HF-IN GFC CHICKEN BOX 4 PCS 178X108X70 MM /PC</t>
  </si>
  <si>
    <t>HF-IN GFC CHICKEN BOX 6 PCS 220X120X75 MM /PC</t>
  </si>
  <si>
    <t>MUTTON BIRYANI MEDIUM</t>
  </si>
  <si>
    <t>HF-IN BROWN ONION /KG</t>
  </si>
  <si>
    <t>QT HF GFC 6 PCS COMBO PC</t>
  </si>
  <si>
    <t>QT-HF GFC 2 PCS COMBO</t>
  </si>
  <si>
    <t>QT GFC 8 PCS COMBO</t>
  </si>
  <si>
    <t>QT GFC 12 PCS COMBO</t>
  </si>
  <si>
    <t>QT-HF GFC 4 PCS COMBO</t>
  </si>
  <si>
    <t>QT-HF CHANA MASALA KG</t>
  </si>
  <si>
    <t>QT HF FISH BBQ MARINATE KG</t>
  </si>
  <si>
    <t>QT-HF SWEETS COMBO PCS</t>
  </si>
  <si>
    <t>HF DAL MOTH</t>
  </si>
  <si>
    <t>QT-HF SONA PAPDI KG</t>
  </si>
  <si>
    <t>QT-HF MILK CAKE KG</t>
  </si>
  <si>
    <t>QT-HF CHICKEN LIVER KG</t>
  </si>
  <si>
    <t>QT-HF VADA</t>
  </si>
  <si>
    <t>QT-HF CHICKEN 65 KG</t>
  </si>
  <si>
    <t>QT-HF TANDOORI CHICKEN</t>
  </si>
  <si>
    <t>QT-HF CHICKEN NOODLES KG</t>
  </si>
  <si>
    <t>QT-HF GHEE RICE KG</t>
  </si>
  <si>
    <t>HF-IN COCONUT MILK /KG</t>
  </si>
  <si>
    <t>HF BAIGAN KG</t>
  </si>
  <si>
    <t>QT HF BAIGAN FRY PC</t>
  </si>
  <si>
    <t>HF IN BRWN MANN BAG 14X7.5X33CM 4 KG</t>
  </si>
  <si>
    <t>HF-IN SHERI FISH /KG</t>
  </si>
  <si>
    <t>HF-IN 24OZ HINGED LID PET CLEAR CONTAINER 200P</t>
  </si>
  <si>
    <t>QT HF CHICKEN MACARONI KG</t>
  </si>
  <si>
    <t>QT-HF OOTHAPPAM</t>
  </si>
  <si>
    <t>QT-HF GHEE ROAST SET</t>
  </si>
  <si>
    <t>QT-HF MASALA DOSA</t>
  </si>
  <si>
    <t>QT-HF ONION PAKORA KG</t>
  </si>
  <si>
    <t>HF EGG OMELETTE</t>
  </si>
  <si>
    <t>QT HF BEEF BIRYANI KG</t>
  </si>
  <si>
    <t>QT HF SPECIAL SWEETS KG</t>
  </si>
  <si>
    <t>QT HF KACHORI PCS</t>
  </si>
  <si>
    <t>QT HF BROASTED CHICKEN 3PCS</t>
  </si>
  <si>
    <t>HF-IN JATHIKA /KG</t>
  </si>
  <si>
    <t>HF-IN MICROWAVE RECT 500CC+LID (16OZ) 500 /PC</t>
  </si>
  <si>
    <t>HF-IN ALUMINIUM FOIL 45CM /PC</t>
  </si>
  <si>
    <t>HF-IN CLING FILM 45X1500 MTR /PC</t>
  </si>
  <si>
    <t>HF-IN HOTPACK PAPER BAG MEDIUM /PC</t>
  </si>
  <si>
    <t>HF-IN M/W RND BOWL250CC+LID-500 P10 /PC</t>
  </si>
  <si>
    <t>HF-IN MICRO WAVE CONTAINER 750ML W/LID 500'S /PC</t>
  </si>
  <si>
    <t>HF-IN PLASTIC APRON 1000'S /PC</t>
  </si>
  <si>
    <t>HF-IN QBAKE ARABIC BREAD SMALL /PC</t>
  </si>
  <si>
    <t>HF-IN CONDENCED MILK /KG</t>
  </si>
  <si>
    <t>HF-IN BLACK CHANA /KG</t>
  </si>
  <si>
    <t>HF-IN COCONUT SLICE /KG</t>
  </si>
  <si>
    <t>HF-IN PALAKKADAN MATTA RICE /KG</t>
  </si>
  <si>
    <t>HF-IN PAPPADAM /PC</t>
  </si>
  <si>
    <t>QT-HF MUSHROOM CURRY KG</t>
  </si>
  <si>
    <t>HF-IN MUSHROOM SLICE /KG</t>
  </si>
  <si>
    <t>HF-IN DATES /KG</t>
  </si>
  <si>
    <t>HF-IN WHITE PAPER BAG NO4</t>
  </si>
  <si>
    <t>HF-IN MATTA RICE /KG</t>
  </si>
  <si>
    <t>QT HF DATES BURFI KG</t>
  </si>
  <si>
    <t>HF-IN AUSTRALIAN LAMB WHOLE /KG</t>
  </si>
  <si>
    <t>HF-IN TOMATO SAUCE /KG</t>
  </si>
  <si>
    <t>HF-IN VINYLE GLOVES LRG PWDR FREE 10*100PC /PC</t>
  </si>
  <si>
    <t>HF-IN TOMATO KETCHUP SAMPLE 9GM /PC</t>
  </si>
  <si>
    <t>HF-IN GARLIC CHILLY SAUCE /KG</t>
  </si>
  <si>
    <t>HF-IN MOONG WHOLE /KG</t>
  </si>
  <si>
    <t>HF-IN NOODLES FLOUR STICK /KG</t>
  </si>
  <si>
    <t>HF-IN BURGER BUN /PC</t>
  </si>
  <si>
    <t>QT-HF FISH FRY KG</t>
  </si>
  <si>
    <t>QT HF IMARTI KG</t>
  </si>
  <si>
    <t>HF-IN PARATHA /PC</t>
  </si>
  <si>
    <t>QT HF SWEET PAROTTA PCS</t>
  </si>
  <si>
    <t>HF-IN CLARIPAC CONTAINER HINGE LID 16 OZ 600 /PC</t>
  </si>
  <si>
    <t>HF-IN GARAM MASALA DRIED /KG</t>
  </si>
  <si>
    <t>HF-IN FROZEN MUTTON /KG</t>
  </si>
  <si>
    <t>HF-IN CASHEW PASTE /KG</t>
  </si>
  <si>
    <t>QT HF MUTTON BHUNA KG</t>
  </si>
  <si>
    <t>QT HF MUTTON MAKHNI KG</t>
  </si>
  <si>
    <t>QT-HF CHICKEN ROAST KG</t>
  </si>
  <si>
    <t>QT HF ELA ADA PCS</t>
  </si>
  <si>
    <t>QT HF PATHIRI PCS</t>
  </si>
  <si>
    <t>QT-HF KOZHUKATTA PCS</t>
  </si>
  <si>
    <t>QT HF UNNAKAYA PCS</t>
  </si>
  <si>
    <t>HF-IN CASHEW NUT BROKEN /KG</t>
  </si>
  <si>
    <t>QT HF HONEY CHILLI CHICKEN KG</t>
  </si>
  <si>
    <t>FRENCH FRIES KGS</t>
  </si>
  <si>
    <t>MUTTER KEEMA</t>
  </si>
  <si>
    <t>HF-IN CHICKEN LIVER /KG</t>
  </si>
  <si>
    <t>HF-IN TOMATO /KG</t>
  </si>
  <si>
    <t>HF-IN GINGER /KG</t>
  </si>
  <si>
    <t>HF-IN GREEN CHILLY /KG</t>
  </si>
  <si>
    <t>HF-IN GARLIC /KG</t>
  </si>
  <si>
    <t>HF-IN TURMERIC POWDER /KG</t>
  </si>
  <si>
    <t>HF-IN CHILLY POWDER /KG</t>
  </si>
  <si>
    <t>HF-IN BLACK PEPER WHOLE /KG</t>
  </si>
  <si>
    <t>HF-IN CINNAMON STICK /KG</t>
  </si>
  <si>
    <t>HF-IN SALT KG</t>
  </si>
  <si>
    <t>HF-IN CURRY LEAVES /KG</t>
  </si>
  <si>
    <t>HF-IN SHAWARMA KUBUS /PC</t>
  </si>
  <si>
    <t>HF-IN CABAGE /KG</t>
  </si>
  <si>
    <t>HF-IN POTATO /KG</t>
  </si>
  <si>
    <t>HF-IN COCONUT SCRAPPED /PC</t>
  </si>
  <si>
    <t>HF-IN WHITE VINEGAR /PC</t>
  </si>
  <si>
    <t>HF-IN CAPSICUM COLOR /KG</t>
  </si>
  <si>
    <t>HF-IN BAY LEAVES /KG</t>
  </si>
  <si>
    <t>HF-IN CRUSHED CHILLI /KG</t>
  </si>
  <si>
    <t>HF-IN FROZEN DUCK /KG</t>
  </si>
  <si>
    <t>HF-IN SESAME SEED /KG</t>
  </si>
  <si>
    <t>HF-IN CUMIN SEED /KG</t>
  </si>
  <si>
    <t>HF-IN FLOUR MIX /KG</t>
  </si>
  <si>
    <t>HF-IN CUMIN POWDER /KG</t>
  </si>
  <si>
    <t>HF-IN SUGAR /KG</t>
  </si>
  <si>
    <t>HF-IN RICE POWDER /KG</t>
  </si>
  <si>
    <t>HF-IN CARROT /KG</t>
  </si>
  <si>
    <t>HF-IN AJINA MOTO /KG</t>
  </si>
  <si>
    <t>HF-IN BEEF /KG</t>
  </si>
  <si>
    <t>HF-IN CORN FLOUR /KG</t>
  </si>
  <si>
    <t>HF-IN GARLIC PASTE /KG</t>
  </si>
  <si>
    <t>HF-IN GINGER PASTE /KG</t>
  </si>
  <si>
    <t>HF-IN MAIDA /KG</t>
  </si>
  <si>
    <t>HF-IN CHANA DAL /KG</t>
  </si>
  <si>
    <t>HF-IN UHT MILK /KG</t>
  </si>
  <si>
    <t>HF-IN FRENCH FRIES /KG</t>
  </si>
  <si>
    <t>HF-IN TOMATO PASTE /KG</t>
  </si>
  <si>
    <t>HF-IN YOGHURT /KG</t>
  </si>
  <si>
    <t>HF-IN FROZEN TAPIOCA /KG</t>
  </si>
  <si>
    <t>HF-IN CHICKEN LEG QUARTER /KG</t>
  </si>
  <si>
    <t>HF-IN MUSTARD /KG</t>
  </si>
  <si>
    <t>HF-IN MACRONI /KG</t>
  </si>
  <si>
    <t>HF-IN TWO SPOON GHEE /KG</t>
  </si>
  <si>
    <t>HF-IN CHICKEN WHOLE /KG</t>
  </si>
  <si>
    <t>HF-IN CLING FILM 45CM JUMBO ROLL H/P 1*1RL /PC</t>
  </si>
  <si>
    <t>HF-IN WHITE PLASTIC SPOON (SQR CTN) 50*40 PKT /PC</t>
  </si>
  <si>
    <t>HF-IN PLASTIC APRON 27X42 10*100S /PC</t>
  </si>
  <si>
    <t>BIRIYANI EGG</t>
  </si>
  <si>
    <t>HF-IN CORIANDER POWDER /KG</t>
  </si>
  <si>
    <t>HF-IN WHITE PEPPER POWDER /KG</t>
  </si>
  <si>
    <t>HF-IN SUNFLOWER OIL /KG</t>
  </si>
  <si>
    <t>HF-IN CAULIFLOWER /KG</t>
  </si>
  <si>
    <t>HF-IN FENUGREEK SEED /KG</t>
  </si>
  <si>
    <t>HF-IN MUTTON WHOLE /KG</t>
  </si>
  <si>
    <t>HF-IN MUSTARD OIL /KG</t>
  </si>
  <si>
    <t>HF-IN LEMON /KG</t>
  </si>
  <si>
    <t>HF-IN DRUMSTICK /KG</t>
  </si>
  <si>
    <t>HF-IN MINT LEAVES /KG</t>
  </si>
  <si>
    <t>HF-IN ROASTED GRAM SPLIT /KG</t>
  </si>
  <si>
    <t>HF-IN WHOLE CHICKEN /KG</t>
  </si>
  <si>
    <t>HF-IN GARAM MASALA POWDER /KG</t>
  </si>
  <si>
    <t>HF-IN GHEE /KG</t>
  </si>
  <si>
    <t>HF-IN FOOD COLOUR /KG</t>
  </si>
  <si>
    <t>HF-IN FENNEL SEED /KG</t>
  </si>
  <si>
    <t>HF-IN SHAWARMA MASALA /KG</t>
  </si>
  <si>
    <t>HF-IN WHOLE GARAM MASALA /KG</t>
  </si>
  <si>
    <t>HF-IN CUMIN WHOLE /KG</t>
  </si>
  <si>
    <t>HF-IN CRAB WHOLE /KG</t>
  </si>
  <si>
    <t>HF-IN CLOVES /KG</t>
  </si>
  <si>
    <t>HF-IN CARDAMOM WHOLE /KG</t>
  </si>
  <si>
    <t>HF-IN CHICKEN BONELESS /KG</t>
  </si>
  <si>
    <t>HF-IN BAKING SHEETS (SILIDOR)40*60CM 41G 500 /PC</t>
  </si>
  <si>
    <t>HF-IN FOAM TRAYS RECT WHITE D18 250 /PC</t>
  </si>
  <si>
    <t>HF-IN WALNUT /KG</t>
  </si>
  <si>
    <t>HF-IN GLUCOSE LIQUID /KG</t>
  </si>
  <si>
    <t>HF-IN COCOA POWDER /KG</t>
  </si>
  <si>
    <t>HF-IN BISCUIT /KG</t>
  </si>
  <si>
    <t>HF-IN JATHIPATHRI /KG</t>
  </si>
  <si>
    <t>QT-HF ANCHOVY FRY KG</t>
  </si>
  <si>
    <t>QT-HF SALT AND PEPPER CHICKEN</t>
  </si>
  <si>
    <t>QT-HF MUTTON JUNGLEE MASS KG</t>
  </si>
  <si>
    <t>QT-HF MALAI BURFI KG</t>
  </si>
  <si>
    <t>QT-HF BESAN LADU KG</t>
  </si>
  <si>
    <t>HF-IN 12OZ HINGED LID PET CLEAR CONTAINER 200P /PC</t>
  </si>
  <si>
    <t>QT-HF CHICKEN ALFAHAM</t>
  </si>
  <si>
    <t>QT-HF FISH BBQ SHERI</t>
  </si>
  <si>
    <t>HF-VADA PAV PCS</t>
  </si>
  <si>
    <t>HF-IN PAPER BAGS NO2 BROWN /PC</t>
  </si>
  <si>
    <t>HF-IN S/W PAPER BROWN NO.1`345`` /PC</t>
  </si>
  <si>
    <t>HF-IN - MICRO CONTAINER SQUARE 1000PP- 300 /PC</t>
  </si>
  <si>
    <t>SPRING ROLL VEGETABLE</t>
  </si>
  <si>
    <t>MIXTURE KG</t>
  </si>
  <si>
    <t>VEGETABLE SAMOSA</t>
  </si>
  <si>
    <t>BLOSSOM ROAST PEANUT KG</t>
  </si>
  <si>
    <t>THANIMA WHEAT POROTA 2PCS</t>
  </si>
  <si>
    <t>VEGETABLE SAMOSA MINI</t>
  </si>
  <si>
    <t>CHICKEN SAMOSA MINI</t>
  </si>
  <si>
    <t>SAMOSA CHICKEN</t>
  </si>
  <si>
    <t>667519</t>
  </si>
  <si>
    <t>667520</t>
  </si>
  <si>
    <t>667526</t>
  </si>
  <si>
    <t>667532</t>
  </si>
  <si>
    <t>667533</t>
  </si>
  <si>
    <t>667535</t>
  </si>
  <si>
    <t>669352</t>
  </si>
  <si>
    <t>669355</t>
  </si>
  <si>
    <t>669523</t>
  </si>
  <si>
    <t>669580</t>
  </si>
  <si>
    <t>670085</t>
  </si>
  <si>
    <t>670093</t>
  </si>
  <si>
    <t>670866</t>
  </si>
  <si>
    <t>670870</t>
  </si>
  <si>
    <t>670884</t>
  </si>
  <si>
    <t>672526</t>
  </si>
  <si>
    <t>672895</t>
  </si>
  <si>
    <t>672989</t>
  </si>
  <si>
    <t>512105</t>
  </si>
  <si>
    <t>512114</t>
  </si>
  <si>
    <t>513134</t>
  </si>
  <si>
    <t>513135</t>
  </si>
  <si>
    <t>513137</t>
  </si>
  <si>
    <t>513160</t>
  </si>
  <si>
    <t>513256</t>
  </si>
  <si>
    <t>513257</t>
  </si>
  <si>
    <t>513259</t>
  </si>
  <si>
    <t>513269</t>
  </si>
  <si>
    <t>513270</t>
  </si>
  <si>
    <t>513272</t>
  </si>
  <si>
    <t>513282</t>
  </si>
  <si>
    <t>513285</t>
  </si>
  <si>
    <t>513292</t>
  </si>
  <si>
    <t>513314</t>
  </si>
  <si>
    <t>513315</t>
  </si>
  <si>
    <t>513316</t>
  </si>
  <si>
    <t>513322</t>
  </si>
  <si>
    <t>517589</t>
  </si>
  <si>
    <t>672991</t>
  </si>
  <si>
    <t>673175</t>
  </si>
  <si>
    <t>673181</t>
  </si>
  <si>
    <t>512102</t>
  </si>
  <si>
    <t>519753</t>
  </si>
  <si>
    <t>672898</t>
  </si>
  <si>
    <t>697021</t>
  </si>
  <si>
    <t>517593</t>
  </si>
  <si>
    <t>517601</t>
  </si>
  <si>
    <t>517650</t>
  </si>
  <si>
    <t>517656</t>
  </si>
  <si>
    <t>517687</t>
  </si>
  <si>
    <t>539059</t>
  </si>
  <si>
    <t>539081</t>
  </si>
  <si>
    <t>539085</t>
  </si>
  <si>
    <t>539097</t>
  </si>
  <si>
    <t>561293</t>
  </si>
  <si>
    <t>561296</t>
  </si>
  <si>
    <t>561305</t>
  </si>
  <si>
    <t>561319</t>
  </si>
  <si>
    <t>561417</t>
  </si>
  <si>
    <t>561424</t>
  </si>
  <si>
    <t>561433</t>
  </si>
  <si>
    <t>561553</t>
  </si>
  <si>
    <t>561554</t>
  </si>
  <si>
    <t>561873</t>
  </si>
  <si>
    <t>562073</t>
  </si>
  <si>
    <t>562075</t>
  </si>
  <si>
    <t>562176</t>
  </si>
  <si>
    <t>562484</t>
  </si>
  <si>
    <t>562486</t>
  </si>
  <si>
    <t>562488</t>
  </si>
  <si>
    <t>562490</t>
  </si>
  <si>
    <t>562491</t>
  </si>
  <si>
    <t>562494</t>
  </si>
  <si>
    <t>562495</t>
  </si>
  <si>
    <t>562497</t>
  </si>
  <si>
    <t>562498</t>
  </si>
  <si>
    <t>697250</t>
  </si>
  <si>
    <t>733338</t>
  </si>
  <si>
    <t>739113</t>
  </si>
  <si>
    <t>740618</t>
  </si>
  <si>
    <t>843043</t>
  </si>
  <si>
    <t>563433</t>
  </si>
  <si>
    <t>563441</t>
  </si>
  <si>
    <t>563447</t>
  </si>
  <si>
    <t>563493</t>
  </si>
  <si>
    <t>563953</t>
  </si>
  <si>
    <t>564015</t>
  </si>
  <si>
    <t>600942</t>
  </si>
  <si>
    <t>567638</t>
  </si>
  <si>
    <t>567646</t>
  </si>
  <si>
    <t>567837</t>
  </si>
  <si>
    <t>579974</t>
  </si>
  <si>
    <t>581248</t>
  </si>
  <si>
    <t>548242</t>
  </si>
  <si>
    <t>549463</t>
  </si>
  <si>
    <t>549470</t>
  </si>
  <si>
    <t>550276</t>
  </si>
  <si>
    <t>550300</t>
  </si>
  <si>
    <t>550322</t>
  </si>
  <si>
    <t>550333</t>
  </si>
  <si>
    <t>550355</t>
  </si>
  <si>
    <t>550377</t>
  </si>
  <si>
    <t>550384</t>
  </si>
  <si>
    <t>550448</t>
  </si>
  <si>
    <t>550479</t>
  </si>
  <si>
    <t>676768</t>
  </si>
  <si>
    <t>562527</t>
  </si>
  <si>
    <t>684502</t>
  </si>
  <si>
    <t>635469</t>
  </si>
  <si>
    <t>645764</t>
  </si>
  <si>
    <t>650179</t>
  </si>
  <si>
    <t>689360</t>
  </si>
  <si>
    <t>690204</t>
  </si>
  <si>
    <t>690207</t>
  </si>
  <si>
    <t>693027</t>
  </si>
  <si>
    <t>693028</t>
  </si>
  <si>
    <t>694366</t>
  </si>
  <si>
    <t>694368</t>
  </si>
  <si>
    <t>695410</t>
  </si>
  <si>
    <t>696411</t>
  </si>
  <si>
    <t>696412</t>
  </si>
  <si>
    <t>697806</t>
  </si>
  <si>
    <t>697807</t>
  </si>
  <si>
    <t>470020</t>
  </si>
  <si>
    <t>542035</t>
  </si>
  <si>
    <t>542063</t>
  </si>
  <si>
    <t>542066</t>
  </si>
  <si>
    <t>542094</t>
  </si>
  <si>
    <t>542105</t>
  </si>
  <si>
    <t>542112</t>
  </si>
  <si>
    <t>542232</t>
  </si>
  <si>
    <t>466536</t>
  </si>
  <si>
    <t>563273</t>
  </si>
  <si>
    <t>563426</t>
  </si>
  <si>
    <t>563435</t>
  </si>
  <si>
    <t>563443</t>
  </si>
  <si>
    <t>563450</t>
  </si>
  <si>
    <t>563454</t>
  </si>
  <si>
    <t>563473</t>
  </si>
  <si>
    <t>563495</t>
  </si>
  <si>
    <t>563505</t>
  </si>
  <si>
    <t>563513</t>
  </si>
  <si>
    <t>563539</t>
  </si>
  <si>
    <t>563547</t>
  </si>
  <si>
    <t>563550</t>
  </si>
  <si>
    <t>563655</t>
  </si>
  <si>
    <t>563954</t>
  </si>
  <si>
    <t>563993</t>
  </si>
  <si>
    <t>564013</t>
  </si>
  <si>
    <t>564016</t>
  </si>
  <si>
    <t>564033</t>
  </si>
  <si>
    <t>564034</t>
  </si>
  <si>
    <t>564035</t>
  </si>
  <si>
    <t>584343</t>
  </si>
  <si>
    <t>584344</t>
  </si>
  <si>
    <t>584355</t>
  </si>
  <si>
    <t>584357</t>
  </si>
  <si>
    <t>587266</t>
  </si>
  <si>
    <t>587267</t>
  </si>
  <si>
    <t>542238</t>
  </si>
  <si>
    <t>542240</t>
  </si>
  <si>
    <t>542305</t>
  </si>
  <si>
    <t>542312</t>
  </si>
  <si>
    <t>542321</t>
  </si>
  <si>
    <t>542328</t>
  </si>
  <si>
    <t>542336</t>
  </si>
  <si>
    <t>542342</t>
  </si>
  <si>
    <t>542347</t>
  </si>
  <si>
    <t>485398</t>
  </si>
  <si>
    <t>485487</t>
  </si>
  <si>
    <t>485494</t>
  </si>
  <si>
    <t>485501</t>
  </si>
  <si>
    <t>485508</t>
  </si>
  <si>
    <t>485518</t>
  </si>
  <si>
    <t>485522</t>
  </si>
  <si>
    <t>485531</t>
  </si>
  <si>
    <t>485542</t>
  </si>
  <si>
    <t>485554</t>
  </si>
  <si>
    <t>485577</t>
  </si>
  <si>
    <t>485586</t>
  </si>
  <si>
    <t>485613</t>
  </si>
  <si>
    <t>485619</t>
  </si>
  <si>
    <t>485623</t>
  </si>
  <si>
    <t>485743</t>
  </si>
  <si>
    <t>485769</t>
  </si>
  <si>
    <t>485774</t>
  </si>
  <si>
    <t>485797</t>
  </si>
  <si>
    <t>485810</t>
  </si>
  <si>
    <t>485813</t>
  </si>
  <si>
    <t>485834</t>
  </si>
  <si>
    <t>485845</t>
  </si>
  <si>
    <t>600943</t>
  </si>
  <si>
    <t>600944</t>
  </si>
  <si>
    <t>600947</t>
  </si>
  <si>
    <t>600948</t>
  </si>
  <si>
    <t>600949</t>
  </si>
  <si>
    <t>600953</t>
  </si>
  <si>
    <t>600958</t>
  </si>
  <si>
    <t>600959</t>
  </si>
  <si>
    <t>600960</t>
  </si>
  <si>
    <t>600967</t>
  </si>
  <si>
    <t>600973</t>
  </si>
  <si>
    <t>600993</t>
  </si>
  <si>
    <t>485851</t>
  </si>
  <si>
    <t>485875</t>
  </si>
  <si>
    <t>485912</t>
  </si>
  <si>
    <t>485929</t>
  </si>
  <si>
    <t>485934</t>
  </si>
  <si>
    <t>746323</t>
  </si>
  <si>
    <t>660149</t>
  </si>
  <si>
    <t>756922</t>
  </si>
  <si>
    <t>513313</t>
  </si>
  <si>
    <t>761672</t>
  </si>
  <si>
    <t>470367</t>
  </si>
  <si>
    <t>470413</t>
  </si>
  <si>
    <t>564254</t>
  </si>
  <si>
    <t>564260</t>
  </si>
  <si>
    <t>564264</t>
  </si>
  <si>
    <t>564293</t>
  </si>
  <si>
    <t>564297</t>
  </si>
  <si>
    <t>564353</t>
  </si>
  <si>
    <t>564375</t>
  </si>
  <si>
    <t>564376</t>
  </si>
  <si>
    <t>564378</t>
  </si>
  <si>
    <t>564393</t>
  </si>
  <si>
    <t>564453</t>
  </si>
  <si>
    <t>564475</t>
  </si>
  <si>
    <t>564476</t>
  </si>
  <si>
    <t>564493</t>
  </si>
  <si>
    <t>564502</t>
  </si>
  <si>
    <t>564584</t>
  </si>
  <si>
    <t>564594</t>
  </si>
  <si>
    <t>564635</t>
  </si>
  <si>
    <t>564636</t>
  </si>
  <si>
    <t>564638</t>
  </si>
  <si>
    <t>564678</t>
  </si>
  <si>
    <t>564681</t>
  </si>
  <si>
    <t>564693</t>
  </si>
  <si>
    <t>564695</t>
  </si>
  <si>
    <t>564714</t>
  </si>
  <si>
    <t>565635</t>
  </si>
  <si>
    <t>565638</t>
  </si>
  <si>
    <t>565641</t>
  </si>
  <si>
    <t>567514</t>
  </si>
  <si>
    <t>567517</t>
  </si>
  <si>
    <t>567518</t>
  </si>
  <si>
    <t>567533</t>
  </si>
  <si>
    <t>567536</t>
  </si>
  <si>
    <t>567645</t>
  </si>
  <si>
    <t>567854</t>
  </si>
  <si>
    <t>568213</t>
  </si>
  <si>
    <t>568233</t>
  </si>
  <si>
    <t>767517</t>
  </si>
  <si>
    <t>764906</t>
  </si>
  <si>
    <t>690205</t>
  </si>
  <si>
    <t>854479</t>
  </si>
  <si>
    <t>770182</t>
  </si>
  <si>
    <t>910170</t>
  </si>
  <si>
    <t>472011</t>
  </si>
  <si>
    <t>470522</t>
  </si>
  <si>
    <t>470548</t>
  </si>
  <si>
    <t>569473</t>
  </si>
  <si>
    <t>569479</t>
  </si>
  <si>
    <t>569481</t>
  </si>
  <si>
    <t>569484</t>
  </si>
  <si>
    <t>569486</t>
  </si>
  <si>
    <t>569488</t>
  </si>
  <si>
    <t>570693</t>
  </si>
  <si>
    <t>570699</t>
  </si>
  <si>
    <t>570701</t>
  </si>
  <si>
    <t>570705</t>
  </si>
  <si>
    <t>570706</t>
  </si>
  <si>
    <t>570711</t>
  </si>
  <si>
    <t>570713</t>
  </si>
  <si>
    <t>570714</t>
  </si>
  <si>
    <t>570715</t>
  </si>
  <si>
    <t>570717</t>
  </si>
  <si>
    <t>570718</t>
  </si>
  <si>
    <t>570721</t>
  </si>
  <si>
    <t>570726</t>
  </si>
  <si>
    <t>570773</t>
  </si>
  <si>
    <t>570774</t>
  </si>
  <si>
    <t>570775</t>
  </si>
  <si>
    <t>570776</t>
  </si>
  <si>
    <t>570777</t>
  </si>
  <si>
    <t>570779</t>
  </si>
  <si>
    <t>570780</t>
  </si>
  <si>
    <t>570781</t>
  </si>
  <si>
    <t>570782</t>
  </si>
  <si>
    <t>570784</t>
  </si>
  <si>
    <t>572017</t>
  </si>
  <si>
    <t>573117</t>
  </si>
  <si>
    <t>574693</t>
  </si>
  <si>
    <t>574694</t>
  </si>
  <si>
    <t>574695</t>
  </si>
  <si>
    <t>574696</t>
  </si>
  <si>
    <t>485832</t>
  </si>
  <si>
    <t>545349</t>
  </si>
  <si>
    <t>792560</t>
  </si>
  <si>
    <t>870281</t>
  </si>
  <si>
    <t>742292</t>
  </si>
  <si>
    <t>905986</t>
  </si>
  <si>
    <t>905987</t>
  </si>
  <si>
    <t>905989</t>
  </si>
  <si>
    <t>741535</t>
  </si>
  <si>
    <t>669578</t>
  </si>
  <si>
    <t>741842</t>
  </si>
  <si>
    <t>545358</t>
  </si>
  <si>
    <t>770051</t>
  </si>
  <si>
    <t>471097</t>
  </si>
  <si>
    <t>576099</t>
  </si>
  <si>
    <t>581245</t>
  </si>
  <si>
    <t>542388</t>
  </si>
  <si>
    <t>542390</t>
  </si>
  <si>
    <t>542391</t>
  </si>
  <si>
    <t>542396</t>
  </si>
  <si>
    <t>545327</t>
  </si>
  <si>
    <t>545361</t>
  </si>
  <si>
    <t>545612</t>
  </si>
  <si>
    <t>754748</t>
  </si>
  <si>
    <t>685303</t>
  </si>
  <si>
    <t>739584</t>
  </si>
  <si>
    <t>798322</t>
  </si>
  <si>
    <t>806754</t>
  </si>
  <si>
    <t>807181</t>
  </si>
  <si>
    <t>523091</t>
  </si>
  <si>
    <t>468898</t>
  </si>
  <si>
    <t>468933</t>
  </si>
  <si>
    <t>469047</t>
  </si>
  <si>
    <t>469159</t>
  </si>
  <si>
    <t>469353</t>
  </si>
  <si>
    <t>547790</t>
  </si>
  <si>
    <t>547944</t>
  </si>
  <si>
    <t>549468</t>
  </si>
  <si>
    <t>549473</t>
  </si>
  <si>
    <t>549475</t>
  </si>
  <si>
    <t>549476</t>
  </si>
  <si>
    <t>549477</t>
  </si>
  <si>
    <t>549478</t>
  </si>
  <si>
    <t>549479</t>
  </si>
  <si>
    <t>549482</t>
  </si>
  <si>
    <t>549483</t>
  </si>
  <si>
    <t>549487</t>
  </si>
  <si>
    <t>549488</t>
  </si>
  <si>
    <t>549489</t>
  </si>
  <si>
    <t>549490</t>
  </si>
  <si>
    <t>549492</t>
  </si>
  <si>
    <t>549733</t>
  </si>
  <si>
    <t>549735</t>
  </si>
  <si>
    <t>549737</t>
  </si>
  <si>
    <t>549739</t>
  </si>
  <si>
    <t>549742</t>
  </si>
  <si>
    <t>549744</t>
  </si>
  <si>
    <t>549747</t>
  </si>
  <si>
    <t>549748</t>
  </si>
  <si>
    <t>549750</t>
  </si>
  <si>
    <t>549753</t>
  </si>
  <si>
    <t>549754</t>
  </si>
  <si>
    <t>549773</t>
  </si>
  <si>
    <t>549774</t>
  </si>
  <si>
    <t>549775</t>
  </si>
  <si>
    <t>549776</t>
  </si>
  <si>
    <t>549777</t>
  </si>
  <si>
    <t>549795</t>
  </si>
  <si>
    <t>549797</t>
  </si>
  <si>
    <t>549801</t>
  </si>
  <si>
    <t>549813</t>
  </si>
  <si>
    <t>549853</t>
  </si>
  <si>
    <t>549983</t>
  </si>
  <si>
    <t>549993</t>
  </si>
  <si>
    <t>549994</t>
  </si>
  <si>
    <t>549995</t>
  </si>
  <si>
    <t>814113</t>
  </si>
  <si>
    <t>835167</t>
  </si>
  <si>
    <t>848203</t>
  </si>
  <si>
    <t>849948</t>
  </si>
  <si>
    <t>862669</t>
  </si>
  <si>
    <t>865186</t>
  </si>
  <si>
    <t>756543</t>
  </si>
  <si>
    <t>469549</t>
  </si>
  <si>
    <t>540901</t>
  </si>
  <si>
    <t>540911</t>
  </si>
  <si>
    <t>540918</t>
  </si>
  <si>
    <t>540959</t>
  </si>
  <si>
    <t>540960</t>
  </si>
  <si>
    <t>542015</t>
  </si>
  <si>
    <t>542021</t>
  </si>
  <si>
    <t>542023</t>
  </si>
  <si>
    <t>542024</t>
  </si>
  <si>
    <t>542027</t>
  </si>
  <si>
    <t>542028</t>
  </si>
  <si>
    <t>549997</t>
  </si>
  <si>
    <t>549998</t>
  </si>
  <si>
    <t>550014</t>
  </si>
  <si>
    <t>550015</t>
  </si>
  <si>
    <t>550016</t>
  </si>
  <si>
    <t>550017</t>
  </si>
  <si>
    <t>550019</t>
  </si>
  <si>
    <t>550059</t>
  </si>
  <si>
    <t>550061</t>
  </si>
  <si>
    <t>550062</t>
  </si>
  <si>
    <t>550063</t>
  </si>
  <si>
    <t>550064</t>
  </si>
  <si>
    <t>550068</t>
  </si>
  <si>
    <t>550070</t>
  </si>
  <si>
    <t>550071</t>
  </si>
  <si>
    <t>550074</t>
  </si>
  <si>
    <t>550075</t>
  </si>
  <si>
    <t>550076</t>
  </si>
  <si>
    <t>550077</t>
  </si>
  <si>
    <t>550078</t>
  </si>
  <si>
    <t>550093</t>
  </si>
  <si>
    <t>550094</t>
  </si>
  <si>
    <t>550095</t>
  </si>
  <si>
    <t>550097</t>
  </si>
  <si>
    <t>550115</t>
  </si>
  <si>
    <t>550116</t>
  </si>
  <si>
    <t>550117</t>
  </si>
  <si>
    <t>550118</t>
  </si>
  <si>
    <t>550119</t>
  </si>
  <si>
    <t>550120</t>
  </si>
  <si>
    <t>550121</t>
  </si>
  <si>
    <t>550127</t>
  </si>
  <si>
    <t>550134</t>
  </si>
  <si>
    <t>550154</t>
  </si>
  <si>
    <t>550155</t>
  </si>
  <si>
    <t>550274</t>
  </si>
  <si>
    <t>550293</t>
  </si>
  <si>
    <t>550294</t>
  </si>
  <si>
    <t>550296</t>
  </si>
  <si>
    <t>550297</t>
  </si>
  <si>
    <t>550298</t>
  </si>
  <si>
    <t>550301</t>
  </si>
  <si>
    <t>550302</t>
  </si>
  <si>
    <t>550303</t>
  </si>
  <si>
    <t>550304</t>
  </si>
  <si>
    <t>550305</t>
  </si>
  <si>
    <t>550307</t>
  </si>
  <si>
    <t>550308</t>
  </si>
  <si>
    <t>550310</t>
  </si>
  <si>
    <t>550311</t>
  </si>
  <si>
    <t>550315</t>
  </si>
  <si>
    <t>786428</t>
  </si>
  <si>
    <t>792590</t>
  </si>
  <si>
    <t>828933</t>
  </si>
  <si>
    <t>860293</t>
  </si>
  <si>
    <t>542030</t>
  </si>
  <si>
    <t>542051</t>
  </si>
  <si>
    <t>542057</t>
  </si>
  <si>
    <t>542062</t>
  </si>
  <si>
    <t>542067</t>
  </si>
  <si>
    <t>542068</t>
  </si>
  <si>
    <t>542077</t>
  </si>
  <si>
    <t>542081</t>
  </si>
  <si>
    <t>542090</t>
  </si>
  <si>
    <t>542095</t>
  </si>
  <si>
    <t>542104</t>
  </si>
  <si>
    <t>542107</t>
  </si>
  <si>
    <t>542110</t>
  </si>
  <si>
    <t>542113</t>
  </si>
  <si>
    <t>542119</t>
  </si>
  <si>
    <t>542129</t>
  </si>
  <si>
    <t>542131</t>
  </si>
  <si>
    <t>542134</t>
  </si>
  <si>
    <t>542137</t>
  </si>
  <si>
    <t>542138</t>
  </si>
  <si>
    <t>542139</t>
  </si>
  <si>
    <t>542144</t>
  </si>
  <si>
    <t>542148</t>
  </si>
  <si>
    <t>542153</t>
  </si>
  <si>
    <t>542166</t>
  </si>
  <si>
    <t>542180</t>
  </si>
  <si>
    <t>542181</t>
  </si>
  <si>
    <t>542182</t>
  </si>
  <si>
    <t>542187</t>
  </si>
  <si>
    <t>542193</t>
  </si>
  <si>
    <t>542195</t>
  </si>
  <si>
    <t>542197</t>
  </si>
  <si>
    <t>542199</t>
  </si>
  <si>
    <t>542200</t>
  </si>
  <si>
    <t>542203</t>
  </si>
  <si>
    <t>542220</t>
  </si>
  <si>
    <t>542230</t>
  </si>
  <si>
    <t>542231</t>
  </si>
  <si>
    <t>542237</t>
  </si>
  <si>
    <t>550317</t>
  </si>
  <si>
    <t>550318</t>
  </si>
  <si>
    <t>550321</t>
  </si>
  <si>
    <t>550323</t>
  </si>
  <si>
    <t>550324</t>
  </si>
  <si>
    <t>550325</t>
  </si>
  <si>
    <t>550326</t>
  </si>
  <si>
    <t>550328</t>
  </si>
  <si>
    <t>550334</t>
  </si>
  <si>
    <t>550336</t>
  </si>
  <si>
    <t>550353</t>
  </si>
  <si>
    <t>550354</t>
  </si>
  <si>
    <t>550356</t>
  </si>
  <si>
    <t>550373</t>
  </si>
  <si>
    <t>550374</t>
  </si>
  <si>
    <t>550375</t>
  </si>
  <si>
    <t>550378</t>
  </si>
  <si>
    <t>550379</t>
  </si>
  <si>
    <t>550380</t>
  </si>
  <si>
    <t>550382</t>
  </si>
  <si>
    <t>550383</t>
  </si>
  <si>
    <t>550385</t>
  </si>
  <si>
    <t>550413</t>
  </si>
  <si>
    <t>550414</t>
  </si>
  <si>
    <t>550439</t>
  </si>
  <si>
    <t>550453</t>
  </si>
  <si>
    <t>550454</t>
  </si>
  <si>
    <t>550456</t>
  </si>
  <si>
    <t>550457</t>
  </si>
  <si>
    <t>550461</t>
  </si>
  <si>
    <t>550462</t>
  </si>
  <si>
    <t>550465</t>
  </si>
  <si>
    <t>550466</t>
  </si>
  <si>
    <t>550467</t>
  </si>
  <si>
    <t>550469</t>
  </si>
  <si>
    <t>550470</t>
  </si>
  <si>
    <t>550471</t>
  </si>
  <si>
    <t>550473</t>
  </si>
  <si>
    <t>550476</t>
  </si>
  <si>
    <t>552933</t>
  </si>
  <si>
    <t>552940</t>
  </si>
  <si>
    <t>552942</t>
  </si>
  <si>
    <t>552943</t>
  </si>
  <si>
    <t>849051</t>
  </si>
  <si>
    <t>871803</t>
  </si>
  <si>
    <t>542241</t>
  </si>
  <si>
    <t>542245</t>
  </si>
  <si>
    <t>542259</t>
  </si>
  <si>
    <t>542274</t>
  </si>
  <si>
    <t>542277</t>
  </si>
  <si>
    <t>542282</t>
  </si>
  <si>
    <t>542283</t>
  </si>
  <si>
    <t>542289</t>
  </si>
  <si>
    <t>542294</t>
  </si>
  <si>
    <t>542301</t>
  </si>
  <si>
    <t>542303</t>
  </si>
  <si>
    <t>542310</t>
  </si>
  <si>
    <t>542315</t>
  </si>
  <si>
    <t>542319</t>
  </si>
  <si>
    <t>542334</t>
  </si>
  <si>
    <t>542346</t>
  </si>
  <si>
    <t>542383</t>
  </si>
  <si>
    <t>472883</t>
  </si>
  <si>
    <t>552948</t>
  </si>
  <si>
    <t>552949</t>
  </si>
  <si>
    <t>558936</t>
  </si>
  <si>
    <t>673404</t>
  </si>
  <si>
    <t>674384</t>
  </si>
  <si>
    <t>675208</t>
  </si>
  <si>
    <t>675211</t>
  </si>
  <si>
    <t>675212</t>
  </si>
  <si>
    <t>675666</t>
  </si>
  <si>
    <t>679006</t>
  </si>
  <si>
    <t>679007</t>
  </si>
  <si>
    <t>680775</t>
  </si>
  <si>
    <t>681998</t>
  </si>
  <si>
    <t>467638</t>
  </si>
  <si>
    <t>473079</t>
  </si>
  <si>
    <t>473160</t>
  </si>
  <si>
    <t>684286</t>
  </si>
  <si>
    <t>687310</t>
  </si>
  <si>
    <t>616521</t>
  </si>
  <si>
    <t>621437</t>
  </si>
  <si>
    <t>621438</t>
  </si>
  <si>
    <t>622544</t>
  </si>
  <si>
    <t>623534</t>
  </si>
  <si>
    <t>635465</t>
  </si>
  <si>
    <t>635468</t>
  </si>
  <si>
    <t>465181</t>
  </si>
  <si>
    <t>465943</t>
  </si>
  <si>
    <t>485397</t>
  </si>
  <si>
    <t>485399</t>
  </si>
  <si>
    <t>485404</t>
  </si>
  <si>
    <t>485409</t>
  </si>
  <si>
    <t>485420</t>
  </si>
  <si>
    <t>485457</t>
  </si>
  <si>
    <t>485459</t>
  </si>
  <si>
    <t>485468</t>
  </si>
  <si>
    <t>485473</t>
  </si>
  <si>
    <t>485481</t>
  </si>
  <si>
    <t>485488</t>
  </si>
  <si>
    <t>485496</t>
  </si>
  <si>
    <t>485498</t>
  </si>
  <si>
    <t>485509</t>
  </si>
  <si>
    <t>485523</t>
  </si>
  <si>
    <t>485540</t>
  </si>
  <si>
    <t>485552</t>
  </si>
  <si>
    <t>485562</t>
  </si>
  <si>
    <t>485565</t>
  </si>
  <si>
    <t>485566</t>
  </si>
  <si>
    <t>485568</t>
  </si>
  <si>
    <t>485570</t>
  </si>
  <si>
    <t>485575</t>
  </si>
  <si>
    <t>485578</t>
  </si>
  <si>
    <t>485585</t>
  </si>
  <si>
    <t>485593</t>
  </si>
  <si>
    <t>485614</t>
  </si>
  <si>
    <t>485615</t>
  </si>
  <si>
    <t>635470</t>
  </si>
  <si>
    <t>637819</t>
  </si>
  <si>
    <t>637857</t>
  </si>
  <si>
    <t>638164</t>
  </si>
  <si>
    <t>642865</t>
  </si>
  <si>
    <t>642866</t>
  </si>
  <si>
    <t>656665</t>
  </si>
  <si>
    <t>659458</t>
  </si>
  <si>
    <t>659550</t>
  </si>
  <si>
    <t>659551</t>
  </si>
  <si>
    <t>660851</t>
  </si>
  <si>
    <t>661473</t>
  </si>
  <si>
    <t>662302</t>
  </si>
  <si>
    <t>662985</t>
  </si>
  <si>
    <t>666322</t>
  </si>
  <si>
    <t>667488</t>
  </si>
  <si>
    <t>667490</t>
  </si>
  <si>
    <t>667492</t>
  </si>
  <si>
    <t>667508</t>
  </si>
  <si>
    <t>667517</t>
  </si>
  <si>
    <t>667518</t>
  </si>
  <si>
    <t>485617</t>
  </si>
  <si>
    <t>485618</t>
  </si>
  <si>
    <t>485625</t>
  </si>
  <si>
    <t>485637</t>
  </si>
  <si>
    <t>485638</t>
  </si>
  <si>
    <t>485649</t>
  </si>
  <si>
    <t>485650</t>
  </si>
  <si>
    <t>485653</t>
  </si>
  <si>
    <t>485664</t>
  </si>
  <si>
    <t>485672</t>
  </si>
  <si>
    <t>485674</t>
  </si>
  <si>
    <t>485679</t>
  </si>
  <si>
    <t>485690</t>
  </si>
  <si>
    <t>485692</t>
  </si>
  <si>
    <t>485697</t>
  </si>
  <si>
    <t>485699</t>
  </si>
  <si>
    <t>485701</t>
  </si>
  <si>
    <t>485711</t>
  </si>
  <si>
    <t>485712</t>
  </si>
  <si>
    <t>485714</t>
  </si>
  <si>
    <t>485717</t>
  </si>
  <si>
    <t>485722</t>
  </si>
  <si>
    <t>485723</t>
  </si>
  <si>
    <t>485725</t>
  </si>
  <si>
    <t>485734</t>
  </si>
  <si>
    <t>485756</t>
  </si>
  <si>
    <t>485766</t>
  </si>
  <si>
    <t>485771</t>
  </si>
  <si>
    <t>485784</t>
  </si>
  <si>
    <t>485785</t>
  </si>
  <si>
    <t>485811</t>
  </si>
  <si>
    <t>485812</t>
  </si>
  <si>
    <t>485836</t>
  </si>
  <si>
    <t>485841</t>
  </si>
  <si>
    <t>485844</t>
  </si>
  <si>
    <t>485858</t>
  </si>
  <si>
    <t>485873</t>
  </si>
  <si>
    <t>485881</t>
  </si>
  <si>
    <t>485885</t>
  </si>
  <si>
    <t>485892</t>
  </si>
  <si>
    <t>485903</t>
  </si>
  <si>
    <t>485915</t>
  </si>
  <si>
    <t>485918</t>
  </si>
  <si>
    <t>485930</t>
  </si>
  <si>
    <t>485939</t>
  </si>
  <si>
    <t>7697</t>
  </si>
  <si>
    <t>7698</t>
  </si>
  <si>
    <t>7703</t>
  </si>
  <si>
    <t>7705</t>
  </si>
  <si>
    <t>7706</t>
  </si>
  <si>
    <t>7709</t>
  </si>
  <si>
    <t>7743</t>
  </si>
  <si>
    <t>2000006082596</t>
  </si>
  <si>
    <t>2000006085054</t>
  </si>
  <si>
    <t>2000006091352</t>
  </si>
  <si>
    <t>2000006091444</t>
  </si>
  <si>
    <t>2000006100061</t>
  </si>
  <si>
    <t>7822</t>
  </si>
  <si>
    <t>2000006100436</t>
  </si>
  <si>
    <t>2000006115331</t>
  </si>
  <si>
    <t>2000006121240</t>
  </si>
  <si>
    <t>3189</t>
  </si>
  <si>
    <t>2000004152024</t>
  </si>
  <si>
    <t>2000004152062</t>
  </si>
  <si>
    <t>2000004168278</t>
  </si>
  <si>
    <t>2000004168285</t>
  </si>
  <si>
    <t>2000004168292</t>
  </si>
  <si>
    <t>2000004168469</t>
  </si>
  <si>
    <t>2000004169688</t>
  </si>
  <si>
    <t>2000004169695</t>
  </si>
  <si>
    <t>2000004169763</t>
  </si>
  <si>
    <t>2000004169909</t>
  </si>
  <si>
    <t>2000004169923</t>
  </si>
  <si>
    <t>2000004169985</t>
  </si>
  <si>
    <t>2000004170271</t>
  </si>
  <si>
    <t>2000004170301</t>
  </si>
  <si>
    <t>2000004170479</t>
  </si>
  <si>
    <t>2000004170660</t>
  </si>
  <si>
    <t>2000004170677</t>
  </si>
  <si>
    <t>2000004170684</t>
  </si>
  <si>
    <t>2000004170721</t>
  </si>
  <si>
    <t>2000004228262</t>
  </si>
  <si>
    <t>3249</t>
  </si>
  <si>
    <t>4208</t>
  </si>
  <si>
    <t>7436</t>
  </si>
  <si>
    <t>2000004152017</t>
  </si>
  <si>
    <t>2000004255275</t>
  </si>
  <si>
    <t>2000006121257</t>
  </si>
  <si>
    <t>2000006425652</t>
  </si>
  <si>
    <t>2000004228347</t>
  </si>
  <si>
    <t>2000004228736</t>
  </si>
  <si>
    <t>2000004229337</t>
  </si>
  <si>
    <t>2000004229375</t>
  </si>
  <si>
    <t>2000004229863</t>
  </si>
  <si>
    <t>6804</t>
  </si>
  <si>
    <t>6047</t>
  </si>
  <si>
    <t>6336</t>
  </si>
  <si>
    <t>6442</t>
  </si>
  <si>
    <t>2000004728489</t>
  </si>
  <si>
    <t>2000004728519</t>
  </si>
  <si>
    <t>2000004728649</t>
  </si>
  <si>
    <t>2000004728861</t>
  </si>
  <si>
    <t>2000004730062</t>
  </si>
  <si>
    <t>2000004730321</t>
  </si>
  <si>
    <t>2000004730468</t>
  </si>
  <si>
    <t>2000004731663</t>
  </si>
  <si>
    <t>2000004731861</t>
  </si>
  <si>
    <t>2000004738266</t>
  </si>
  <si>
    <t>2000004742065</t>
  </si>
  <si>
    <t>2000004742263</t>
  </si>
  <si>
    <t>2000004743420</t>
  </si>
  <si>
    <t>2000004747565</t>
  </si>
  <si>
    <t>2000004747589</t>
  </si>
  <si>
    <t>2000004747596</t>
  </si>
  <si>
    <t>2000004747602</t>
  </si>
  <si>
    <t>2000004747626</t>
  </si>
  <si>
    <t>2000004747657</t>
  </si>
  <si>
    <t>2000004747664</t>
  </si>
  <si>
    <t>2000004747688</t>
  </si>
  <si>
    <t>2000004747695</t>
  </si>
  <si>
    <t>2000006428684</t>
  </si>
  <si>
    <t>2000006631695</t>
  </si>
  <si>
    <t>2000006694324</t>
  </si>
  <si>
    <t>2000006714930</t>
  </si>
  <si>
    <t>2000007782549</t>
  </si>
  <si>
    <t>2000004760328</t>
  </si>
  <si>
    <t>2000004760410</t>
  </si>
  <si>
    <t>2000004760472</t>
  </si>
  <si>
    <t>6576</t>
  </si>
  <si>
    <t>6857</t>
  </si>
  <si>
    <t>6741</t>
  </si>
  <si>
    <t>7358</t>
  </si>
  <si>
    <t>6954</t>
  </si>
  <si>
    <t>6962</t>
  </si>
  <si>
    <t>2000004814687</t>
  </si>
  <si>
    <t>2000004955076</t>
  </si>
  <si>
    <t>2000004976170</t>
  </si>
  <si>
    <t>2000004556136</t>
  </si>
  <si>
    <t>2000004571917</t>
  </si>
  <si>
    <t>2000004571986</t>
  </si>
  <si>
    <t>6667</t>
  </si>
  <si>
    <t>6687</t>
  </si>
  <si>
    <t>6900</t>
  </si>
  <si>
    <t>6916</t>
  </si>
  <si>
    <t>6814</t>
  </si>
  <si>
    <t>6925</t>
  </si>
  <si>
    <t>6938</t>
  </si>
  <si>
    <t>6944</t>
  </si>
  <si>
    <t>6397</t>
  </si>
  <si>
    <t>2000006166265</t>
  </si>
  <si>
    <t>2000004747985</t>
  </si>
  <si>
    <t>2000006259110</t>
  </si>
  <si>
    <t>2000005649073</t>
  </si>
  <si>
    <t>2000005784378</t>
  </si>
  <si>
    <t>2000005838286</t>
  </si>
  <si>
    <t>2000006329332</t>
  </si>
  <si>
    <t>2000006339751</t>
  </si>
  <si>
    <t>2000006339812</t>
  </si>
  <si>
    <t>2000006376305</t>
  </si>
  <si>
    <t>2000006376312</t>
  </si>
  <si>
    <t>2000006396365</t>
  </si>
  <si>
    <t>2000006396372</t>
  </si>
  <si>
    <t>3842</t>
  </si>
  <si>
    <t>2000006418586</t>
  </si>
  <si>
    <t>2000006418609</t>
  </si>
  <si>
    <t>2000006436528</t>
  </si>
  <si>
    <t>2000006436535</t>
  </si>
  <si>
    <t>6253</t>
  </si>
  <si>
    <t>2000004476700</t>
  </si>
  <si>
    <t>2000004476960</t>
  </si>
  <si>
    <t>2000004477004</t>
  </si>
  <si>
    <t>2000004477219</t>
  </si>
  <si>
    <t>2000004477349</t>
  </si>
  <si>
    <t>2000004477424</t>
  </si>
  <si>
    <t>2000004478544</t>
  </si>
  <si>
    <t>6816</t>
  </si>
  <si>
    <t>2000004757663</t>
  </si>
  <si>
    <t>2000004760069</t>
  </si>
  <si>
    <t>2000004760380</t>
  </si>
  <si>
    <t>2000004760434</t>
  </si>
  <si>
    <t>2000004760496</t>
  </si>
  <si>
    <t>2000004760540</t>
  </si>
  <si>
    <t>2000004760663</t>
  </si>
  <si>
    <t>6559</t>
  </si>
  <si>
    <t>6081</t>
  </si>
  <si>
    <t>6046</t>
  </si>
  <si>
    <t>7475</t>
  </si>
  <si>
    <t>7998</t>
  </si>
  <si>
    <t>7997</t>
  </si>
  <si>
    <t>6912</t>
  </si>
  <si>
    <t>6780</t>
  </si>
  <si>
    <t>6527</t>
  </si>
  <si>
    <t>6628</t>
  </si>
  <si>
    <t>6579</t>
  </si>
  <si>
    <t>6799</t>
  </si>
  <si>
    <t>6425</t>
  </si>
  <si>
    <t>6684</t>
  </si>
  <si>
    <t>2000005028359</t>
  </si>
  <si>
    <t>2000005028366</t>
  </si>
  <si>
    <t>2000005028489</t>
  </si>
  <si>
    <t>2000005028496</t>
  </si>
  <si>
    <t>2000005069451</t>
  </si>
  <si>
    <t>2000005069468</t>
  </si>
  <si>
    <t>2000004478582</t>
  </si>
  <si>
    <t>2000004478612</t>
  </si>
  <si>
    <t>2000004479275</t>
  </si>
  <si>
    <t>2000004479350</t>
  </si>
  <si>
    <t>2000004479442</t>
  </si>
  <si>
    <t>2000004479503</t>
  </si>
  <si>
    <t>2000004479589</t>
  </si>
  <si>
    <t>2000004479640</t>
  </si>
  <si>
    <t>2000004479695</t>
  </si>
  <si>
    <t>2000003734702</t>
  </si>
  <si>
    <t>2000003735396</t>
  </si>
  <si>
    <t>2000003735471</t>
  </si>
  <si>
    <t>2000003735549</t>
  </si>
  <si>
    <t>2000003735648</t>
  </si>
  <si>
    <t>2000003735730</t>
  </si>
  <si>
    <t>2000003735785</t>
  </si>
  <si>
    <t>2000003735945</t>
  </si>
  <si>
    <t>2000003736126</t>
  </si>
  <si>
    <t>2000003736379</t>
  </si>
  <si>
    <t>2000003736546</t>
  </si>
  <si>
    <t>2000003736621</t>
  </si>
  <si>
    <t>2000003736874</t>
  </si>
  <si>
    <t>2000003736935</t>
  </si>
  <si>
    <t>2000003736973</t>
  </si>
  <si>
    <t>2000003738144</t>
  </si>
  <si>
    <t>2000003738397</t>
  </si>
  <si>
    <t>2000003738441</t>
  </si>
  <si>
    <t>2000003738663</t>
  </si>
  <si>
    <t>2000003738816</t>
  </si>
  <si>
    <t>2000003738854</t>
  </si>
  <si>
    <t>2000003739035</t>
  </si>
  <si>
    <t>2000003739141</t>
  </si>
  <si>
    <t>7228</t>
  </si>
  <si>
    <t>7234</t>
  </si>
  <si>
    <t>7275</t>
  </si>
  <si>
    <t>7229</t>
  </si>
  <si>
    <t>7274</t>
  </si>
  <si>
    <t>7231</t>
  </si>
  <si>
    <t>7287</t>
  </si>
  <si>
    <t>7293</t>
  </si>
  <si>
    <t>7295</t>
  </si>
  <si>
    <t>7366</t>
  </si>
  <si>
    <t>2000008276184</t>
  </si>
  <si>
    <t>7402</t>
  </si>
  <si>
    <t>2000003739202</t>
  </si>
  <si>
    <t>2000003739431</t>
  </si>
  <si>
    <t>2000003739813</t>
  </si>
  <si>
    <t>2000003739967</t>
  </si>
  <si>
    <t>2000003740024</t>
  </si>
  <si>
    <t>2000006777263</t>
  </si>
  <si>
    <t>2000005963490</t>
  </si>
  <si>
    <t>2000006823724</t>
  </si>
  <si>
    <t>2000004170493</t>
  </si>
  <si>
    <t>4561</t>
  </si>
  <si>
    <t>6123</t>
  </si>
  <si>
    <t>6326</t>
  </si>
  <si>
    <t>6807</t>
  </si>
  <si>
    <t>6810</t>
  </si>
  <si>
    <t>6822</t>
  </si>
  <si>
    <t>6525</t>
  </si>
  <si>
    <t>6711</t>
  </si>
  <si>
    <t>6893</t>
  </si>
  <si>
    <t>6922</t>
  </si>
  <si>
    <t>6666</t>
  </si>
  <si>
    <t>6845</t>
  </si>
  <si>
    <t>6834</t>
  </si>
  <si>
    <t>6419</t>
  </si>
  <si>
    <t>6661</t>
  </si>
  <si>
    <t>6004</t>
  </si>
  <si>
    <t>6607</t>
  </si>
  <si>
    <t>6658</t>
  </si>
  <si>
    <t>6321</t>
  </si>
  <si>
    <t>6919</t>
  </si>
  <si>
    <t>6400</t>
  </si>
  <si>
    <t>6619</t>
  </si>
  <si>
    <t>6740</t>
  </si>
  <si>
    <t>6550</t>
  </si>
  <si>
    <t>6274</t>
  </si>
  <si>
    <t>6165</t>
  </si>
  <si>
    <t>6082</t>
  </si>
  <si>
    <t>6304</t>
  </si>
  <si>
    <t>2000004787622</t>
  </si>
  <si>
    <t>2000004787653</t>
  </si>
  <si>
    <t>2000004787868</t>
  </si>
  <si>
    <t>6404</t>
  </si>
  <si>
    <t>6426</t>
  </si>
  <si>
    <t>6427</t>
  </si>
  <si>
    <t>6437</t>
  </si>
  <si>
    <t>6953</t>
  </si>
  <si>
    <t>6961</t>
  </si>
  <si>
    <t>6999</t>
  </si>
  <si>
    <t>6968</t>
  </si>
  <si>
    <t>6761</t>
  </si>
  <si>
    <t>2000006901606</t>
  </si>
  <si>
    <t>4597</t>
  </si>
  <si>
    <t>2000006339874</t>
  </si>
  <si>
    <t>2000007906945</t>
  </si>
  <si>
    <t>2000006919663</t>
  </si>
  <si>
    <t>2000008577991</t>
  </si>
  <si>
    <t>6528</t>
  </si>
  <si>
    <t>6005</t>
  </si>
  <si>
    <t>6832</t>
  </si>
  <si>
    <t>6858</t>
  </si>
  <si>
    <t>6787</t>
  </si>
  <si>
    <t>6589</t>
  </si>
  <si>
    <t>6699</t>
  </si>
  <si>
    <t>6017</t>
  </si>
  <si>
    <t>6120</t>
  </si>
  <si>
    <t>4953</t>
  </si>
  <si>
    <t>4948</t>
  </si>
  <si>
    <t>4937</t>
  </si>
  <si>
    <t>4959</t>
  </si>
  <si>
    <t>4938</t>
  </si>
  <si>
    <t>4941</t>
  </si>
  <si>
    <t>4942</t>
  </si>
  <si>
    <t>4955</t>
  </si>
  <si>
    <t>4956</t>
  </si>
  <si>
    <t>4935</t>
  </si>
  <si>
    <t>4945</t>
  </si>
  <si>
    <t>4951</t>
  </si>
  <si>
    <t>4958</t>
  </si>
  <si>
    <t>4924</t>
  </si>
  <si>
    <t>4936</t>
  </si>
  <si>
    <t>4933</t>
  </si>
  <si>
    <t>4932</t>
  </si>
  <si>
    <t>4931</t>
  </si>
  <si>
    <t>4929</t>
  </si>
  <si>
    <t>4928</t>
  </si>
  <si>
    <t>4927</t>
  </si>
  <si>
    <t>4926</t>
  </si>
  <si>
    <t>4925</t>
  </si>
  <si>
    <t>2000004862480</t>
  </si>
  <si>
    <t>2000004875299</t>
  </si>
  <si>
    <t>6138</t>
  </si>
  <si>
    <t>6754</t>
  </si>
  <si>
    <t>6380</t>
  </si>
  <si>
    <t>6389</t>
  </si>
  <si>
    <t>2000003739028</t>
  </si>
  <si>
    <t>6247</t>
  </si>
  <si>
    <t>2000007176645</t>
  </si>
  <si>
    <t>2000008091855</t>
  </si>
  <si>
    <t>2000006738868</t>
  </si>
  <si>
    <t>9641</t>
  </si>
  <si>
    <t>9642</t>
  </si>
  <si>
    <t>9643</t>
  </si>
  <si>
    <t>2000006729491</t>
  </si>
  <si>
    <t>2000006085757</t>
  </si>
  <si>
    <t>2000006733610</t>
  </si>
  <si>
    <t>6282</t>
  </si>
  <si>
    <t>2000006918482</t>
  </si>
  <si>
    <t>6645</t>
  </si>
  <si>
    <t>2000004906924</t>
  </si>
  <si>
    <t>2000004976163</t>
  </si>
  <si>
    <t>2000004480226</t>
  </si>
  <si>
    <t>2000004480240</t>
  </si>
  <si>
    <t>2000004480257</t>
  </si>
  <si>
    <t>2000004480301</t>
  </si>
  <si>
    <t>6067</t>
  </si>
  <si>
    <t>6289</t>
  </si>
  <si>
    <t>6580</t>
  </si>
  <si>
    <t>2000006808653</t>
  </si>
  <si>
    <t>2000006268068</t>
  </si>
  <si>
    <t>2000006701084</t>
  </si>
  <si>
    <t>2000007234055</t>
  </si>
  <si>
    <t>2000007336629</t>
  </si>
  <si>
    <t>2000007340152</t>
  </si>
  <si>
    <t>2000004293857</t>
  </si>
  <si>
    <t>6045</t>
  </si>
  <si>
    <t>6051</t>
  </si>
  <si>
    <t>5576</t>
  </si>
  <si>
    <t>6585</t>
  </si>
  <si>
    <t>6802</t>
  </si>
  <si>
    <t>2000004550448</t>
  </si>
  <si>
    <t>2000004552565</t>
  </si>
  <si>
    <t>2000004571962</t>
  </si>
  <si>
    <t>2000004572075</t>
  </si>
  <si>
    <t>2000004572099</t>
  </si>
  <si>
    <t>2000004572105</t>
  </si>
  <si>
    <t>2000004572112</t>
  </si>
  <si>
    <t>2000004572129</t>
  </si>
  <si>
    <t>2000004572143</t>
  </si>
  <si>
    <t>2000004572150</t>
  </si>
  <si>
    <t>2000004572167</t>
  </si>
  <si>
    <t>2000004572181</t>
  </si>
  <si>
    <t>2000004572198</t>
  </si>
  <si>
    <t>2000004572204</t>
  </si>
  <si>
    <t>2000004572211</t>
  </si>
  <si>
    <t>2000004572266</t>
  </si>
  <si>
    <t>2000004574666</t>
  </si>
  <si>
    <t>2000004574697</t>
  </si>
  <si>
    <t>2000004574710</t>
  </si>
  <si>
    <t>2000004574741</t>
  </si>
  <si>
    <t>2000004574772</t>
  </si>
  <si>
    <t>2000004574789</t>
  </si>
  <si>
    <t>2000004574802</t>
  </si>
  <si>
    <t>2000004574819</t>
  </si>
  <si>
    <t>2000004574895</t>
  </si>
  <si>
    <t>2000004574925</t>
  </si>
  <si>
    <t>2000004574932</t>
  </si>
  <si>
    <t>2000004574949</t>
  </si>
  <si>
    <t>2000004575069</t>
  </si>
  <si>
    <t>2000004575076</t>
  </si>
  <si>
    <t>2000004575083</t>
  </si>
  <si>
    <t>2000004575090</t>
  </si>
  <si>
    <t>2000004575328</t>
  </si>
  <si>
    <t>2000004575502</t>
  </si>
  <si>
    <t>2000004575526</t>
  </si>
  <si>
    <t>2000004575663</t>
  </si>
  <si>
    <t>6188</t>
  </si>
  <si>
    <t>6100</t>
  </si>
  <si>
    <t>6102</t>
  </si>
  <si>
    <t>6117</t>
  </si>
  <si>
    <t>6121</t>
  </si>
  <si>
    <t>2000007415362</t>
  </si>
  <si>
    <t>2000007664111</t>
  </si>
  <si>
    <t>2000007848696</t>
  </si>
  <si>
    <t>2000007871731</t>
  </si>
  <si>
    <t>2000007991293</t>
  </si>
  <si>
    <t>2000008017879</t>
  </si>
  <si>
    <t>2000006819260</t>
  </si>
  <si>
    <t>6803</t>
  </si>
  <si>
    <t>6495</t>
  </si>
  <si>
    <t>5601</t>
  </si>
  <si>
    <t>6189</t>
  </si>
  <si>
    <t>6924</t>
  </si>
  <si>
    <t>6130</t>
  </si>
  <si>
    <t>2000004476502</t>
  </si>
  <si>
    <t>2000004476564</t>
  </si>
  <si>
    <t>2000004476595</t>
  </si>
  <si>
    <t>2000004476588</t>
  </si>
  <si>
    <t>2000004476625</t>
  </si>
  <si>
    <t>2000004476632</t>
  </si>
  <si>
    <t>6126</t>
  </si>
  <si>
    <t>6147</t>
  </si>
  <si>
    <t>6159</t>
  </si>
  <si>
    <t>6161</t>
  </si>
  <si>
    <t>6162</t>
  </si>
  <si>
    <t>6167</t>
  </si>
  <si>
    <t>6169</t>
  </si>
  <si>
    <t>6191</t>
  </si>
  <si>
    <t>6194</t>
  </si>
  <si>
    <t>6221</t>
  </si>
  <si>
    <t>6225</t>
  </si>
  <si>
    <t>6229</t>
  </si>
  <si>
    <t>6236</t>
  </si>
  <si>
    <t>6258</t>
  </si>
  <si>
    <t>6264</t>
  </si>
  <si>
    <t>6277</t>
  </si>
  <si>
    <t>6278</t>
  </si>
  <si>
    <t>6279</t>
  </si>
  <si>
    <t>6284</t>
  </si>
  <si>
    <t>6287</t>
  </si>
  <si>
    <t>6300</t>
  </si>
  <si>
    <t>6603</t>
  </si>
  <si>
    <t>6704</t>
  </si>
  <si>
    <t>6604</t>
  </si>
  <si>
    <t>6605</t>
  </si>
  <si>
    <t>6606</t>
  </si>
  <si>
    <t>6622</t>
  </si>
  <si>
    <t>6627</t>
  </si>
  <si>
    <t>6637</t>
  </si>
  <si>
    <t>6639</t>
  </si>
  <si>
    <t>6644</t>
  </si>
  <si>
    <t>6651</t>
  </si>
  <si>
    <t>6662</t>
  </si>
  <si>
    <t>6308</t>
  </si>
  <si>
    <t>6310</t>
  </si>
  <si>
    <t>6664</t>
  </si>
  <si>
    <t>6669</t>
  </si>
  <si>
    <t>6680</t>
  </si>
  <si>
    <t>6705</t>
  </si>
  <si>
    <t>6681</t>
  </si>
  <si>
    <t>6685</t>
  </si>
  <si>
    <t>6719</t>
  </si>
  <si>
    <t>6688</t>
  </si>
  <si>
    <t>6692</t>
  </si>
  <si>
    <t>6720</t>
  </si>
  <si>
    <t>6695</t>
  </si>
  <si>
    <t>6700</t>
  </si>
  <si>
    <t>6852</t>
  </si>
  <si>
    <t>6854</t>
  </si>
  <si>
    <t>6805</t>
  </si>
  <si>
    <t>6865</t>
  </si>
  <si>
    <t>2000007103641</t>
  </si>
  <si>
    <t>2000007176898</t>
  </si>
  <si>
    <t>2000007577961</t>
  </si>
  <si>
    <t>2000007965423</t>
  </si>
  <si>
    <t>2000004476656</t>
  </si>
  <si>
    <t>2000004476854</t>
  </si>
  <si>
    <t>2000004476915</t>
  </si>
  <si>
    <t>2000004476946</t>
  </si>
  <si>
    <t>2000004476991</t>
  </si>
  <si>
    <t>2000004477028</t>
  </si>
  <si>
    <t>2000004477097</t>
  </si>
  <si>
    <t>2000004477141</t>
  </si>
  <si>
    <t>2000004477172</t>
  </si>
  <si>
    <t>2000004477226</t>
  </si>
  <si>
    <t>2000004477325</t>
  </si>
  <si>
    <t>2000004477363</t>
  </si>
  <si>
    <t>2000004477387</t>
  </si>
  <si>
    <t>2000004477400</t>
  </si>
  <si>
    <t>2000004477479</t>
  </si>
  <si>
    <t>2000004477561</t>
  </si>
  <si>
    <t>2000004477578</t>
  </si>
  <si>
    <t>2000004477615</t>
  </si>
  <si>
    <t>2000004477622</t>
  </si>
  <si>
    <t>2000004477653</t>
  </si>
  <si>
    <t>2000004477660</t>
  </si>
  <si>
    <t>2000004477714</t>
  </si>
  <si>
    <t>2000004477745</t>
  </si>
  <si>
    <t>2000004477776</t>
  </si>
  <si>
    <t>2000004477912</t>
  </si>
  <si>
    <t>2000004478056</t>
  </si>
  <si>
    <t>2000004478063</t>
  </si>
  <si>
    <t>2000004478070</t>
  </si>
  <si>
    <t>2000004478117</t>
  </si>
  <si>
    <t>2000004478155</t>
  </si>
  <si>
    <t>2000004478193</t>
  </si>
  <si>
    <t>2000004478223</t>
  </si>
  <si>
    <t>2000004478216</t>
  </si>
  <si>
    <t>2000004478247</t>
  </si>
  <si>
    <t>2000004478261</t>
  </si>
  <si>
    <t>2000004478438</t>
  </si>
  <si>
    <t>2000004478520</t>
  </si>
  <si>
    <t>2000004478537</t>
  </si>
  <si>
    <t>2000004478605</t>
  </si>
  <si>
    <t>6882</t>
  </si>
  <si>
    <t>6739</t>
  </si>
  <si>
    <t>6748</t>
  </si>
  <si>
    <t>6902</t>
  </si>
  <si>
    <t>6903</t>
  </si>
  <si>
    <t>6906</t>
  </si>
  <si>
    <t>6910</t>
  </si>
  <si>
    <t>6751</t>
  </si>
  <si>
    <t>6917</t>
  </si>
  <si>
    <t>6921</t>
  </si>
  <si>
    <t>6808</t>
  </si>
  <si>
    <t>6813</t>
  </si>
  <si>
    <t>6815</t>
  </si>
  <si>
    <t>6818</t>
  </si>
  <si>
    <t>6819</t>
  </si>
  <si>
    <t>6824</t>
  </si>
  <si>
    <t>6932</t>
  </si>
  <si>
    <t>6933</t>
  </si>
  <si>
    <t>6934</t>
  </si>
  <si>
    <t>6936</t>
  </si>
  <si>
    <t>6937</t>
  </si>
  <si>
    <t>6939</t>
  </si>
  <si>
    <t>6940</t>
  </si>
  <si>
    <t>6941</t>
  </si>
  <si>
    <t>6943</t>
  </si>
  <si>
    <t>6945</t>
  </si>
  <si>
    <t>6946</t>
  </si>
  <si>
    <t>6947</t>
  </si>
  <si>
    <t>6948</t>
  </si>
  <si>
    <t>6328</t>
  </si>
  <si>
    <t>6329</t>
  </si>
  <si>
    <t>6347</t>
  </si>
  <si>
    <t>6371</t>
  </si>
  <si>
    <t>6376</t>
  </si>
  <si>
    <t>6386</t>
  </si>
  <si>
    <t>6387</t>
  </si>
  <si>
    <t>6391</t>
  </si>
  <si>
    <t>6392</t>
  </si>
  <si>
    <t>6395</t>
  </si>
  <si>
    <t>6994</t>
  </si>
  <si>
    <t>6984</t>
  </si>
  <si>
    <t>6987</t>
  </si>
  <si>
    <t>2000007861916</t>
  </si>
  <si>
    <t>9353</t>
  </si>
  <si>
    <t>2000004478636</t>
  </si>
  <si>
    <t>2000004479114</t>
  </si>
  <si>
    <t>2000004478827</t>
  </si>
  <si>
    <t>2000004478957</t>
  </si>
  <si>
    <t>2000004478995</t>
  </si>
  <si>
    <t>2000004479053</t>
  </si>
  <si>
    <t>2000004479084</t>
  </si>
  <si>
    <t>2000004479138</t>
  </si>
  <si>
    <t>2000004479169</t>
  </si>
  <si>
    <t>2000004479237</t>
  </si>
  <si>
    <t>2000004479251</t>
  </si>
  <si>
    <t>2000004479329</t>
  </si>
  <si>
    <t>2000004711610</t>
  </si>
  <si>
    <t>2000004479404</t>
  </si>
  <si>
    <t>2000004479565</t>
  </si>
  <si>
    <t>2000004479688</t>
  </si>
  <si>
    <t>2000004480172</t>
  </si>
  <si>
    <t>6021</t>
  </si>
  <si>
    <t>6969</t>
  </si>
  <si>
    <t>6970</t>
  </si>
  <si>
    <t>2000004694364</t>
  </si>
  <si>
    <t>2000006126689</t>
  </si>
  <si>
    <t>3286</t>
  </si>
  <si>
    <t>2000006151889</t>
  </si>
  <si>
    <t>2000006151902</t>
  </si>
  <si>
    <t>2000006151919</t>
  </si>
  <si>
    <t>2000006156495</t>
  </si>
  <si>
    <t>2000006193834</t>
  </si>
  <si>
    <t>2000006193841</t>
  </si>
  <si>
    <t>2000006211873</t>
  </si>
  <si>
    <t>3664</t>
  </si>
  <si>
    <t>6064</t>
  </si>
  <si>
    <t>6226</t>
  </si>
  <si>
    <t>6561</t>
  </si>
  <si>
    <t>2000006254153</t>
  </si>
  <si>
    <t>2000006297556</t>
  </si>
  <si>
    <t>2000005419317</t>
  </si>
  <si>
    <t>2000005462382</t>
  </si>
  <si>
    <t>2000005462399</t>
  </si>
  <si>
    <t>2000005479700</t>
  </si>
  <si>
    <t>2000005491863</t>
  </si>
  <si>
    <t>2000005649035</t>
  </si>
  <si>
    <t>2000005649066</t>
  </si>
  <si>
    <t>6339</t>
  </si>
  <si>
    <t>6812</t>
  </si>
  <si>
    <t>2000003734689</t>
  </si>
  <si>
    <t>2000003734719</t>
  </si>
  <si>
    <t>2000003734740</t>
  </si>
  <si>
    <t>2000003734788</t>
  </si>
  <si>
    <t>2000003734894</t>
  </si>
  <si>
    <t>2000003735051</t>
  </si>
  <si>
    <t>2000003735082</t>
  </si>
  <si>
    <t>2000003735181</t>
  </si>
  <si>
    <t>2000003735228</t>
  </si>
  <si>
    <t>2000003735334</t>
  </si>
  <si>
    <t>2000003735402</t>
  </si>
  <si>
    <t>2000003735495</t>
  </si>
  <si>
    <t>2000003735501</t>
  </si>
  <si>
    <t>2000003735655</t>
  </si>
  <si>
    <t>2000003735792</t>
  </si>
  <si>
    <t>2000003736102</t>
  </si>
  <si>
    <t>2000003736355</t>
  </si>
  <si>
    <t>2000003736430</t>
  </si>
  <si>
    <t>2000003736454</t>
  </si>
  <si>
    <t>2000003736478</t>
  </si>
  <si>
    <t>2000003736485</t>
  </si>
  <si>
    <t>2000003736492</t>
  </si>
  <si>
    <t>2000003736539</t>
  </si>
  <si>
    <t>2000003736553</t>
  </si>
  <si>
    <t>2000003736614</t>
  </si>
  <si>
    <t>2000003736676</t>
  </si>
  <si>
    <t>2000003736898</t>
  </si>
  <si>
    <t>2000003736881</t>
  </si>
  <si>
    <t>2000005649080</t>
  </si>
  <si>
    <t>2000005680502</t>
  </si>
  <si>
    <t>2000005680953</t>
  </si>
  <si>
    <t>2000005685781</t>
  </si>
  <si>
    <t>2000005752377</t>
  </si>
  <si>
    <t>2000005752384</t>
  </si>
  <si>
    <t>2000005920844</t>
  </si>
  <si>
    <t>2000005953477</t>
  </si>
  <si>
    <t>2000005953316</t>
  </si>
  <si>
    <t>2000005953378</t>
  </si>
  <si>
    <t>2000005972973</t>
  </si>
  <si>
    <t>2000007089082</t>
  </si>
  <si>
    <t>2000005993367</t>
  </si>
  <si>
    <t>7546</t>
  </si>
  <si>
    <t>2000006046437</t>
  </si>
  <si>
    <t>7687</t>
  </si>
  <si>
    <t>7693</t>
  </si>
  <si>
    <t>7688</t>
  </si>
  <si>
    <t>7692</t>
  </si>
  <si>
    <t>7695</t>
  </si>
  <si>
    <t>7696</t>
  </si>
  <si>
    <t>2000003736911</t>
  </si>
  <si>
    <t>2000003736928</t>
  </si>
  <si>
    <t>2000003736997</t>
  </si>
  <si>
    <t>2000003737116</t>
  </si>
  <si>
    <t>2000003737123</t>
  </si>
  <si>
    <t>2000003737239</t>
  </si>
  <si>
    <t>2000003737246</t>
  </si>
  <si>
    <t>2000003737321</t>
  </si>
  <si>
    <t>503040300004</t>
  </si>
  <si>
    <t>2000003737444</t>
  </si>
  <si>
    <t>2000003737475</t>
  </si>
  <si>
    <t>2000003737512</t>
  </si>
  <si>
    <t>2000003737635</t>
  </si>
  <si>
    <t>2000003737659</t>
  </si>
  <si>
    <t>2000003737703</t>
  </si>
  <si>
    <t>2000003737727</t>
  </si>
  <si>
    <t>2000003737741</t>
  </si>
  <si>
    <t>2000003737819</t>
  </si>
  <si>
    <t>2000003737826</t>
  </si>
  <si>
    <t>2000003737840</t>
  </si>
  <si>
    <t>2000003737888</t>
  </si>
  <si>
    <t>2000003737918</t>
  </si>
  <si>
    <t>2000003737949</t>
  </si>
  <si>
    <t>2000003737970</t>
  </si>
  <si>
    <t>2000003738069</t>
  </si>
  <si>
    <t>2000003738281</t>
  </si>
  <si>
    <t>2000003738373</t>
  </si>
  <si>
    <t>2000003738427</t>
  </si>
  <si>
    <t>2000003738540</t>
  </si>
  <si>
    <t>2000003738564</t>
  </si>
  <si>
    <t>2000003738823</t>
  </si>
  <si>
    <t>2000003738830</t>
  </si>
  <si>
    <t>2000003739059</t>
  </si>
  <si>
    <t>2000003739103</t>
  </si>
  <si>
    <t>2000003739134</t>
  </si>
  <si>
    <t>2000003739264</t>
  </si>
  <si>
    <t>2000003739417</t>
  </si>
  <si>
    <t>2000003739486</t>
  </si>
  <si>
    <t>2000003739530</t>
  </si>
  <si>
    <t>2000003739608</t>
  </si>
  <si>
    <t>2000003739714</t>
  </si>
  <si>
    <t>2000003739837</t>
  </si>
  <si>
    <t>2000003739875</t>
  </si>
  <si>
    <t>2000003739974</t>
  </si>
  <si>
    <t>2000003740079</t>
  </si>
  <si>
    <t>BAKERY INHOUSE</t>
  </si>
  <si>
    <t>QT BK ALMOND CAKE PCS</t>
  </si>
  <si>
    <t>QT BK WHITE CHOCO FUDGE PCS</t>
  </si>
  <si>
    <t>QT BK MANAKISH SAUSAGE PCS</t>
  </si>
  <si>
    <t>QT-BK MANAKISH VEGETABLE PCS</t>
  </si>
  <si>
    <t>QT-BK MANAKISH CHEESE &amp; CHICKEN PCS</t>
  </si>
  <si>
    <t>QT-BK ALMOND TART BIG PCS</t>
  </si>
  <si>
    <t>QT-BK BLUEBERRY CAKE PC</t>
  </si>
  <si>
    <t>BK-IN BLUBERRY GLAZE KG</t>
  </si>
  <si>
    <t>BK-IN PAPER BREAD BAG WINDOW 30X23+5CM 1000 PCS</t>
  </si>
  <si>
    <t>BK-IN SAMOONA</t>
  </si>
  <si>
    <t>BK-IN DISPOSABLE APRON 28*46 WHITE 1000PCS</t>
  </si>
  <si>
    <t>BK-IN DATE SYRUP KG</t>
  </si>
  <si>
    <t>BK-IN BLACK SEED</t>
  </si>
  <si>
    <t>QT-BK SPICY COOKIES KG</t>
  </si>
  <si>
    <t>BK-IN ALMOND FLAKES KGS</t>
  </si>
  <si>
    <t>BK-IN FOAM TRAY LARGE S3 500 PCS</t>
  </si>
  <si>
    <t>BK-IN ALUMINIUM CONTAINER PCS</t>
  </si>
  <si>
    <t>QT- BK KHARI BISCUIT KG</t>
  </si>
  <si>
    <t>BK-IN NEUTRAL GLAZE KG</t>
  </si>
  <si>
    <t>BK-IN MARGARINE KG</t>
  </si>
  <si>
    <t>BK-IN CONDENCED MILK KG</t>
  </si>
  <si>
    <t>BK-IN FRESH MILK KG</t>
  </si>
  <si>
    <t>BK-IN VANILA ESCENCE KG</t>
  </si>
  <si>
    <t>BK-IN WHITE EGG PCS</t>
  </si>
  <si>
    <t>BK-IN CINNAMON POWDER KG</t>
  </si>
  <si>
    <t>BK-IN DARK COMPOUND KG</t>
  </si>
  <si>
    <t>BK-IN GARAM MASALA POWDER KG</t>
  </si>
  <si>
    <t>BK-IN CHICKEN MASALA POWDER KG</t>
  </si>
  <si>
    <t>BK-IN VINEGAR KG</t>
  </si>
  <si>
    <t>BK-IN CORIANDER LEAVES KG</t>
  </si>
  <si>
    <t>BK-IN STRAWBERRY KG</t>
  </si>
  <si>
    <t>BK-IN CALCIUM POWDER KG</t>
  </si>
  <si>
    <t>BK-IN PLAIN WATER KG</t>
  </si>
  <si>
    <t>BK-IN CRUSHED CHILLY KG</t>
  </si>
  <si>
    <t>BK-IN BLACK PEPPER POWDER KG</t>
  </si>
  <si>
    <t>BK-IN TIRAMISU FILLING KG</t>
  </si>
  <si>
    <t>BK-IN PEANUT KG</t>
  </si>
  <si>
    <t>BK-IN PIZZA SAUCE KG</t>
  </si>
  <si>
    <t>QT BK KHUNAFA NUTS KG</t>
  </si>
  <si>
    <t>QT BK SUGAR STRAW PCS</t>
  </si>
  <si>
    <t>QT BK DATES CAKE SLICE PCS</t>
  </si>
  <si>
    <t>BK-IN STRAWBERRY GLAZE KG</t>
  </si>
  <si>
    <t>BK-IN GELATIN KG</t>
  </si>
  <si>
    <t>BK-IN CARAMEL COLD GLAZE KG</t>
  </si>
  <si>
    <t>BK IN PARATHA PCS</t>
  </si>
  <si>
    <t>BK-IN WHOLE MEAL MIX KG</t>
  </si>
  <si>
    <t>BK-IN BURGER BUN KG</t>
  </si>
  <si>
    <t>BK-IN CORIANDER POWDER KG</t>
  </si>
  <si>
    <t>BK-IN WHITE COMPOUND KG</t>
  </si>
  <si>
    <t>BK-IN GARLIC KG</t>
  </si>
  <si>
    <t>BK BAKLAAV KG</t>
  </si>
  <si>
    <t>BK CHICKEN BURGER</t>
  </si>
  <si>
    <t>BK SLICE CAKE</t>
  </si>
  <si>
    <t>BK GARLIC BREAD BITES</t>
  </si>
  <si>
    <t>BK-IN CHOCO GANACHE KG</t>
  </si>
  <si>
    <t>BK-IN FERRERO ROCHER KG</t>
  </si>
  <si>
    <t>BK-IN PEACH HALVES KG</t>
  </si>
  <si>
    <t>BK-IN CUMIN WHOLE KG</t>
  </si>
  <si>
    <t>BK-IN NESCAFE RED KG</t>
  </si>
  <si>
    <t>BK-IN SUGAR PAPER PRINT A4</t>
  </si>
  <si>
    <t>BK-IN PISTACHIO FILLING KG</t>
  </si>
  <si>
    <t>BK-IN LOTUS SPREAD KG</t>
  </si>
  <si>
    <t>BK-IN RED VELVET CAKE MIX KG</t>
  </si>
  <si>
    <t>BK-IN AJWAN SEED KG</t>
  </si>
  <si>
    <t>BK-IN FROZEN YEAST RAISED DONUT KG</t>
  </si>
  <si>
    <t>BK-IN SCALDIS KG</t>
  </si>
  <si>
    <t>BK-IN BLUEBERRY FILLING KG</t>
  </si>
  <si>
    <t>BK-IN 044WB2 35*14.2*4.3CM WINDOW BAG 1000PCS</t>
  </si>
  <si>
    <t>BK-IN CAKE BOARD 30X30 100S</t>
  </si>
  <si>
    <t>BK-IN CLEAR PASTRY BOX  180X90X50</t>
  </si>
  <si>
    <t>BK-IN CLEAR PASTRY BOX  180X90X70</t>
  </si>
  <si>
    <t>BK-IN CLEAR PASTRY BOX  180X90X90</t>
  </si>
  <si>
    <t>BK-IN DOME LID FOR 12 OZ CUP 20X50PCS</t>
  </si>
  <si>
    <t>BK-IN MAXI ROLL EMBOSSED 2PLY-1*6PCS</t>
  </si>
  <si>
    <t>BK-IN PASTRIPAC CLEAR BOX 180X180X65</t>
  </si>
  <si>
    <t>BK-IN PET CLEAR CUP 10OZ 20X50PCS</t>
  </si>
  <si>
    <t>BK-IN SANDWICH PAPER 800S</t>
  </si>
  <si>
    <t>BK-IN CAKE BOX 30*30*12CM 100PCS</t>
  </si>
  <si>
    <t>BK-IN CLEAR PLASTIC CUPS 10OZ 50*20PCS</t>
  </si>
  <si>
    <t>BK-IN ZEESAN TIRAMISU MIX KG</t>
  </si>
  <si>
    <t>BK-IN CARTON CAKE BOX 35X35X12CM 100PCS</t>
  </si>
  <si>
    <t>BK-IN EDDE GREEN COLOUR KG</t>
  </si>
  <si>
    <t>BK-IN MADRASS CURRY KG</t>
  </si>
  <si>
    <t>BK-IN MIXED SEED KG</t>
  </si>
  <si>
    <t>QT-BK COUNTRY OVEN BREAD</t>
  </si>
  <si>
    <t>QT-BK SAMOONA 1X5</t>
  </si>
  <si>
    <t>OT-BK  EGGLESS CAKE PCS</t>
  </si>
  <si>
    <t>QT-BK CARAMEL CAKE</t>
  </si>
  <si>
    <t>QT-BK CINNAMON ROLL</t>
  </si>
  <si>
    <t>QT-BK MANGO CAKE MINI</t>
  </si>
  <si>
    <t>BK-IN MUSTARD KG</t>
  </si>
  <si>
    <t>BK-IN ASSORTED  PIPING BAG PCS</t>
  </si>
  <si>
    <t>BK-IN FOAM TRAY 265*189*20</t>
  </si>
  <si>
    <t>BK-IN YOGHURT KG</t>
  </si>
  <si>
    <t>BK-IN CARDAMOM POWDER KG</t>
  </si>
  <si>
    <t>BK-IN CREAM CHEESE KG</t>
  </si>
  <si>
    <t>QT-BK MULTIGRAIN BREAD</t>
  </si>
  <si>
    <t>QT-BK PETITE PAN ROLL</t>
  </si>
  <si>
    <t>QT-BK  ZAATAR ARABIC BREAD</t>
  </si>
  <si>
    <t>QT-BK WHOLEMEAL BAGUETTE</t>
  </si>
  <si>
    <t>QT-BK SPANISH ROLL</t>
  </si>
  <si>
    <t>QT-BK BROWN BREAD</t>
  </si>
  <si>
    <t>QT-BK HEALTHY BREAD</t>
  </si>
  <si>
    <t>QT-BK SPONGE CAKE</t>
  </si>
  <si>
    <t>QT-BK SAUSAGE ROLL</t>
  </si>
  <si>
    <t>BK-IN REDDY PURE GHEE KG</t>
  </si>
  <si>
    <t>BK-IN CHEESE SLICES KGS</t>
  </si>
  <si>
    <t>BK-IN CLEAR SANDWICH WEDGE 18*8*8 W/LID 500PCS</t>
  </si>
  <si>
    <t>BK IN PAPER BREAD BAG WINDOW 61*9+6.5CM 1000PCS</t>
  </si>
  <si>
    <t>BK-IN 27*35MM BAKING CASE 200PCS</t>
  </si>
  <si>
    <t>BK-IN WHIPPING CREAM POWDER KG</t>
  </si>
  <si>
    <t>BK-IN MODECOR EDIBLE CARTRIDGE</t>
  </si>
  <si>
    <t>BK-IN BROWN PLAIN PAPER BAGS 13X25CM KG</t>
  </si>
  <si>
    <t>BK-IN FOAM TRAY WHITE 500PCS 216X152X20MM</t>
  </si>
  <si>
    <t>BK-IN ROUND CAKE BOX 160 PCS</t>
  </si>
  <si>
    <t>BK-IN BAKING PAPER PLAIN 40*60-2*500PCS</t>
  </si>
  <si>
    <t>BK-IN WHT MANN BAG 12*5.5*30 NO.1 4KG</t>
  </si>
  <si>
    <t>BK-IN WHT MANN BAG 14*7.5*33 NO.2 4KG</t>
  </si>
  <si>
    <t>BK CHOCOLATE BREAD PKT</t>
  </si>
  <si>
    <t>BK-IN COLOR VIOLET KG</t>
  </si>
  <si>
    <t>BK-IN COLOR ORANGE KG</t>
  </si>
  <si>
    <t>BK-IN  POWDER FREE GLOVES (100PCS*10 PKTS)</t>
  </si>
  <si>
    <t>BK-IN NONWOVEN BOUFFANT CAP 21IN (100PCS*10BAG)</t>
  </si>
  <si>
    <t>MUFFIN</t>
  </si>
  <si>
    <t>BK-IN ROUND CAKE BOARD 8"</t>
  </si>
  <si>
    <t>BK-IN BAGUETTE FLOUR KG</t>
  </si>
  <si>
    <t>BK-IN CLEAR HOTDOG 7" 400PCS</t>
  </si>
  <si>
    <t>BK-IN BARBARA BLOOSSOMS MINI KG</t>
  </si>
  <si>
    <t>BK-IN BUTTER UNSALTED KG</t>
  </si>
  <si>
    <t>BK-IN ORANGE KG</t>
  </si>
  <si>
    <t>BK-IN GLAZE STRAWBERRY KG</t>
  </si>
  <si>
    <t>KATHAIF CREAM</t>
  </si>
  <si>
    <t>BK-IN BEETROOT KG</t>
  </si>
  <si>
    <t>BK-IN MORTADELLA CHICKEN KG</t>
  </si>
  <si>
    <t>BK-IN HOT SAUCE KG</t>
  </si>
  <si>
    <t>BK-IN MOZARELLA SLICES  KG</t>
  </si>
  <si>
    <t>BK-IN SHAVINGS KG</t>
  </si>
  <si>
    <t>BK-IN SUGAR PASTE KG</t>
  </si>
  <si>
    <t>BK-IN QROQUANTS KG</t>
  </si>
  <si>
    <t>QT-BK ZATAR STRAW</t>
  </si>
  <si>
    <t>QT-BK PEANUT BREAD ROLL</t>
  </si>
  <si>
    <t>QT-BK BREAD PUDDING</t>
  </si>
  <si>
    <t>QT-BK GF FERRERO CAKE</t>
  </si>
  <si>
    <t>QT-BK BUTTER BREAD</t>
  </si>
  <si>
    <t>QT-BK RUSK</t>
  </si>
  <si>
    <t>QT-BK GF DINNER ROLL WHITE</t>
  </si>
  <si>
    <t>QT-BK SOFT ROLL</t>
  </si>
  <si>
    <t>QT-BK RED VELVET SLICE PCS</t>
  </si>
  <si>
    <t>QT-BK PUDDING PCS</t>
  </si>
  <si>
    <t>QT-BK MANGO PASTRY PCS</t>
  </si>
  <si>
    <t>QT-BK WHITE FOREST PASTRY</t>
  </si>
  <si>
    <t>QT-BK MARBLE CAKE SLICE PCS</t>
  </si>
  <si>
    <t>QT-BK CHEESE CAKE PCS</t>
  </si>
  <si>
    <t>BK-IN WHITE RECT DOILIES 8X12 250S</t>
  </si>
  <si>
    <t>BK-IN WHITE RECT DOILIES 10X14.5 250S</t>
  </si>
  <si>
    <t>BK-IN LEATHER MITTEN GLOVE PCS</t>
  </si>
  <si>
    <t>BK-IN JAGGERY KG</t>
  </si>
  <si>
    <t>BK-IN CLING FILM 45CMX1500M</t>
  </si>
  <si>
    <t>BK-IN BURGER BOX HING LID 152X140X76</t>
  </si>
  <si>
    <t>BK-IN GOLDEN GLORY HONEY SQUEEZE</t>
  </si>
  <si>
    <t>BK-IN GRAND MALL PP ENG SANWICH BREAD (45+5)24X40</t>
  </si>
  <si>
    <t>BK-IN 18*18*6 5CM SQUARE BOX P 160'S 05P1H65</t>
  </si>
  <si>
    <t>BK-IN 18*9*7CM RECT BOX P 340'S 05P10H65F</t>
  </si>
  <si>
    <t>BK-IN 42*35CM CAKE BOARD 50'S 045CB42</t>
  </si>
  <si>
    <t>BK-IN 66*10*6 5CM WINDOW BAG P 044WB1 PCS</t>
  </si>
  <si>
    <t>BK-IN BAKING PAPER (400X600MM) 1000 SHEETS</t>
  </si>
  <si>
    <t>BK-IN BRAN BREAD MIX 1KG (READY MIX FLOUR)</t>
  </si>
  <si>
    <t>BK-IN CAKE CUPS 9.5 PCS</t>
  </si>
  <si>
    <t>BK-IN TUTTY FRUITY KG</t>
  </si>
  <si>
    <t>BK-IN MUSHROOM SLICE</t>
  </si>
  <si>
    <t>BK-IN UHT MILK KG</t>
  </si>
  <si>
    <t>BK-IN CORN FLOUR KG</t>
  </si>
  <si>
    <t>BK-IN WALNUT KG</t>
  </si>
  <si>
    <t>BK-IN SHREDDED MOZARELLA KG</t>
  </si>
  <si>
    <t>BK-IN ZATAR POWDER KG</t>
  </si>
  <si>
    <t>BK-IN STRAWBERRY FILLING KG</t>
  </si>
  <si>
    <t>BK-IN CARDAMOM KG</t>
  </si>
  <si>
    <t>BK-IN COCONUT POWDER</t>
  </si>
  <si>
    <t>BK-IN BREAD CRUMPS KG</t>
  </si>
  <si>
    <t>BK-IN MIX VEGETABLE KG</t>
  </si>
  <si>
    <t>BK ALMOND SLICE</t>
  </si>
  <si>
    <t>BK-IN MUFFINS MIX KG</t>
  </si>
  <si>
    <t>BK-IN VANILLA MUFFINS MIX KG</t>
  </si>
  <si>
    <t>BK-IN CAKE FLAVOUR KG</t>
  </si>
  <si>
    <t>BK-IN BLACK OLIVES KG</t>
  </si>
  <si>
    <t>BK-IN CURRY LEAVES KG</t>
  </si>
  <si>
    <t>BK-IN VEGETABLE SHORTENING KG</t>
  </si>
  <si>
    <t>BK-IN COCONUT SCRAPPED KG</t>
  </si>
  <si>
    <t>BK-IN GINGER KG</t>
  </si>
  <si>
    <t>BK-IN GOLDEN RAISINS KG</t>
  </si>
  <si>
    <t>BK-IN CUCUMBER KG</t>
  </si>
  <si>
    <t>QT-BK WHITE FOREST CAKE MINI PC</t>
  </si>
  <si>
    <t>QT-BK CORN FLAKES COOKIES KG</t>
  </si>
  <si>
    <t>QT-BK CHOCOLATE ROLL PC</t>
  </si>
  <si>
    <t>QT-BK ALMOND TART PC</t>
  </si>
  <si>
    <t>QT-BK DATES WITH NUT ROLL KG</t>
  </si>
  <si>
    <t>QT-BK MOROCCAN BREAD PC</t>
  </si>
  <si>
    <t>QT-BK CHEESE BREAD PC</t>
  </si>
  <si>
    <t>QT-BK CHEESE &amp; ZATAR FATAYAR</t>
  </si>
  <si>
    <t>QT-BK COOKIES ASSORTED KG</t>
  </si>
  <si>
    <t>QT-BK SPECIAL COMBO</t>
  </si>
  <si>
    <t>QT-BK CHEESE SANDWICH</t>
  </si>
  <si>
    <t>QT-BK FRENCH TOAST</t>
  </si>
  <si>
    <t>BK-IN MAYONNAISE KG</t>
  </si>
  <si>
    <t>BK-IN FLOUR NO1 KG</t>
  </si>
  <si>
    <t>BK-IN SALT KG</t>
  </si>
  <si>
    <t>BK-IN SUNFLOWER OIL KG</t>
  </si>
  <si>
    <t>BK-IN VANILLA POWDER KG</t>
  </si>
  <si>
    <t>BK-IN PIZZA BOX 33X33X4 CM 100 PCS</t>
  </si>
  <si>
    <t>BK-IN CAKE MARGARINE KG</t>
  </si>
  <si>
    <t>BK-IN CAN JUICE PCS</t>
  </si>
  <si>
    <t>BK-IN CHOCOLATE BARS KG</t>
  </si>
  <si>
    <t>QT BK DILKUSH PCS</t>
  </si>
  <si>
    <t>ROLL CRUSTY</t>
  </si>
  <si>
    <t>SANDWICH SAUSAGE</t>
  </si>
  <si>
    <t>QT-BK EGG LESS CAKE</t>
  </si>
  <si>
    <t>QT-BK AJWAN STRAW</t>
  </si>
  <si>
    <t>QT-BK MIXED FRUIT SLICE CAKE</t>
  </si>
  <si>
    <t>QT-BK CUSTARD BREAD</t>
  </si>
  <si>
    <t>QT-BK PISTACHIO CAKE</t>
  </si>
  <si>
    <t>QT-BK PETIT FOURS COOKIES</t>
  </si>
  <si>
    <t>QT-BK DONUTS CHOCOLATE</t>
  </si>
  <si>
    <t>QT-BK  DONUT</t>
  </si>
  <si>
    <t>QT-BK POTATO CUSTARD</t>
  </si>
  <si>
    <t>QT-BK PALMIER COOKIES</t>
  </si>
  <si>
    <t>QT-BK DANISH RAISIN PCS</t>
  </si>
  <si>
    <t>QT-BK FRENCH VIENNOISE</t>
  </si>
  <si>
    <t>QT-BK RED VELVET CAKE PCS</t>
  </si>
  <si>
    <t>QT-BK ASSTD CROISSANT</t>
  </si>
  <si>
    <t>QT-BK PLUM CAKE SLICE</t>
  </si>
  <si>
    <t>QT-BK PISTACHIO NUTELLA SLICE</t>
  </si>
  <si>
    <t>QT-BK CHICKEN PIZZA PCS</t>
  </si>
  <si>
    <t>QT-BK ITALIAN CAKE PCS</t>
  </si>
  <si>
    <t>QT-BK LOAF CAKE PROMO PCS</t>
  </si>
  <si>
    <t>QT-BK TIRAMISU PASTRY PCS</t>
  </si>
  <si>
    <t>QT-BK STRAWBERRY CHEESE CAKE</t>
  </si>
  <si>
    <t>QT-BK DANISH PASTRY</t>
  </si>
  <si>
    <t>QT-BK SAUSAGE PIE</t>
  </si>
  <si>
    <t>QT-BK CHOCO CHIP COOKIES KG</t>
  </si>
  <si>
    <t>QT-BK MINI FRUIT TART</t>
  </si>
  <si>
    <t>BK-IN PAPER PLATE 9IN 100PCS</t>
  </si>
  <si>
    <t>BK-IN MAGIC WIRE TWISTTIE 10*1000P</t>
  </si>
  <si>
    <t>BK-IN CARLO OIL KG</t>
  </si>
  <si>
    <t>QT-BK FRENCH VIENNOISE BROWN</t>
  </si>
  <si>
    <t>QT-BK BUTTER ROLL</t>
  </si>
  <si>
    <t>QT-BK CHICKEN DOPIAZA ROLL</t>
  </si>
  <si>
    <t>QT-BK LOW GI BAGUETTE</t>
  </si>
  <si>
    <t>QT-BK JAM ROLL 5 PCS</t>
  </si>
  <si>
    <t>QT-BK PLUM CAKE MEDIUM</t>
  </si>
  <si>
    <t>QT-BK ASSORTED PASTRY</t>
  </si>
  <si>
    <t>QT-BK PEANUT BREAD</t>
  </si>
  <si>
    <t>QT-BK CHOCOLATE LOAF CAKE</t>
  </si>
  <si>
    <t>BK-IN BRWN KRAFT CONTAINER 750ML 300PC</t>
  </si>
  <si>
    <t>QT BK BEANS COOKIES KG</t>
  </si>
  <si>
    <t>BK-IN DOLLY RECTANGULAR WHITE 250PCSX8PKTS PCS</t>
  </si>
  <si>
    <t>BK IN HAND SLEEVE 20*100 PCS</t>
  </si>
  <si>
    <t>BK-IN SUSHI BOX PLAIN BLACK SC02BHP PCS</t>
  </si>
  <si>
    <t>BK IN HD RECT CARDBOARD CAKE BASE 30*40CM GOLDEN</t>
  </si>
  <si>
    <t>COOKIES ASSORTED</t>
  </si>
  <si>
    <t>STRAW SPICY</t>
  </si>
  <si>
    <t>SUN DREID TOMATO</t>
  </si>
  <si>
    <t>QT-BK WHITE FOREST CAKE</t>
  </si>
  <si>
    <t>QT-BK LOTUS CAKE</t>
  </si>
  <si>
    <t>QT-BK PHOTO CAKE MEDIUM</t>
  </si>
  <si>
    <t>QT-BK ECLAIR</t>
  </si>
  <si>
    <t>QT-BK BANANA SLICE CAKE</t>
  </si>
  <si>
    <t>QT-BK PHOTO CAKE A4</t>
  </si>
  <si>
    <t>QT-BK LABNEH PLAIN PCS</t>
  </si>
  <si>
    <t>QT-BK VEGETABLE PIZZA MEDIUM PCS</t>
  </si>
  <si>
    <t>QT-BK LABNEH CHICKEN SPICY PCS</t>
  </si>
  <si>
    <t>QT-BK CHOCO FUDGE</t>
  </si>
  <si>
    <t>QT-BK SUGAR FREE TOAST</t>
  </si>
  <si>
    <t>QT-BK VEGETABLE SANDWICH PCS</t>
  </si>
  <si>
    <t>QT-BK CUP CAKE MIN. 1*15</t>
  </si>
  <si>
    <t>QT-BK ITALIAN CHICKEN PIZZA PCS</t>
  </si>
  <si>
    <t>QT-BK BAKE WELL PIE</t>
  </si>
  <si>
    <t>QT-BK PISTACHIO MEDLINES</t>
  </si>
  <si>
    <t>QT-BK CHOCOLATE MEDLINES</t>
  </si>
  <si>
    <t>QT-BK SCONE</t>
  </si>
  <si>
    <t>QT-BK CUP CAKE</t>
  </si>
  <si>
    <t>QT-BK GF STRAWBERRY CAKE</t>
  </si>
  <si>
    <t>QT-BK CAPPUCHINO CAKE</t>
  </si>
  <si>
    <t>QT-BK FRUIT CAKE</t>
  </si>
  <si>
    <t>QT-BK CARAMEL CAKE MINI</t>
  </si>
  <si>
    <t>QT-BK TIRAMISU CAKE</t>
  </si>
  <si>
    <t>QT-BK HONEY CAKE</t>
  </si>
  <si>
    <t>QT-BK BUTTER SCOTCH TOFFEE</t>
  </si>
  <si>
    <t>QT-BK FRUIT PASTRY PCS</t>
  </si>
  <si>
    <t>QT-BK GF SANDWICH BREAD LARGE</t>
  </si>
  <si>
    <t>QT-BK STAR BREAD PCS</t>
  </si>
  <si>
    <t>BK-IN BURGER BUN PCS</t>
  </si>
  <si>
    <t>BK-IN SQUARE CARD BOARD CAKE BASE 14*14 50PCS</t>
  </si>
  <si>
    <t>QT-BK GF CINNAMON BREAD</t>
  </si>
  <si>
    <t>QT-BK BRIOCHE BREAD PCS</t>
  </si>
  <si>
    <t>QT-BK FRENCH DEJEUNETTE PCS</t>
  </si>
  <si>
    <t>QT-BK GF MANGO CHEESE CUP</t>
  </si>
  <si>
    <t>BK-IN CRUSTOMIX MARINADE KG</t>
  </si>
  <si>
    <t>BK MULTY FIBER MUFFIN</t>
  </si>
  <si>
    <t>BK-IN BUSH COLOR (YELLOW) KG</t>
  </si>
  <si>
    <t>BK-IN DAIRY MILK PCS</t>
  </si>
  <si>
    <t>BK-IN PASTRIPAC VIENSE-CROISNTBX W/H 180*150*120MM</t>
  </si>
  <si>
    <t>QT BK-SUN DRIED TOMATO BITES</t>
  </si>
  <si>
    <t>QTR BK GARLIC BITES PCS</t>
  </si>
  <si>
    <t>QT BK SOURDOUGH BREAD PCS</t>
  </si>
  <si>
    <t>BK-IN PASTRY MARGARINE SHEETS KG</t>
  </si>
  <si>
    <t>BK-IN MAXI ROLL 2PLY PCS</t>
  </si>
  <si>
    <t>BK-IN THIN PASTRY SHEET KG</t>
  </si>
  <si>
    <t>BK PAN PIZZA SAUSAGE</t>
  </si>
  <si>
    <t>BK IN BROWN PAPER BAGS 16X33CM PCS</t>
  </si>
  <si>
    <t>BAGUETTE LOW GI</t>
  </si>
  <si>
    <t>BK-IN STICK COMPOUND CHOCOLATE KG</t>
  </si>
  <si>
    <t>BK IN FOAM TRAY 216*152*20</t>
  </si>
  <si>
    <t>BK-IN FRESH EGG</t>
  </si>
  <si>
    <t>BK-IN GRAND MALL PP MILK BREAD (45+5) 25X40 13CTNX</t>
  </si>
  <si>
    <t>BK-IN HINGED LID FOR 6" FOAM HAMBURGER BOX P 500'</t>
  </si>
  <si>
    <t>BK-IN HOTPACK PAPER PLATE 9" 100'S</t>
  </si>
  <si>
    <t>BK EGGLESS CAKE SLICE</t>
  </si>
  <si>
    <t>BK KATHAYIF DOUGH</t>
  </si>
  <si>
    <t>KATAIFI DOUGH KG</t>
  </si>
  <si>
    <t>BK-IN KIT KAT KG</t>
  </si>
  <si>
    <t>BK-IN SANDWICH 7 INCH HOT DOG CONTNR 170X75X75 MM</t>
  </si>
  <si>
    <t>BK-IN BUENO FILLING KG</t>
  </si>
  <si>
    <t>BK-IN CAKE BOX 62X41X12 CM PC</t>
  </si>
  <si>
    <t>BK-IN CLEAR CAKE BOX 6 COMP 300 PCS</t>
  </si>
  <si>
    <t>BK-IN PAPER BAG WINDOW 62CMX9CM 1000PCS</t>
  </si>
  <si>
    <t>BK-SP EGG LARGE KG</t>
  </si>
  <si>
    <t>BREAD BROWN</t>
  </si>
  <si>
    <t>BREAD STICK</t>
  </si>
  <si>
    <t>CAKE SHAPE</t>
  </si>
  <si>
    <t>CRUNCH COCONUT</t>
  </si>
  <si>
    <t>GEEMATH (AWAMA)</t>
  </si>
  <si>
    <t>AL BAYADER CLING FILM 45X700 MTR</t>
  </si>
  <si>
    <t>BK-IN GF PLASTIC APRON PCS</t>
  </si>
  <si>
    <t>BK-IN CHOCO SPONGE KG</t>
  </si>
  <si>
    <t>BK-IN FATAYER DOUGH KG</t>
  </si>
  <si>
    <t>BK-IN DECORFRUIT BLUEBERRY KG</t>
  </si>
  <si>
    <t>BK-IN DECORFRUIT STRAWBERRY KG</t>
  </si>
  <si>
    <t>BK-IN APRICOT HALVES KG</t>
  </si>
  <si>
    <t>BK-IN APRICOT JAM KG</t>
  </si>
  <si>
    <t>BK-IN BARBARA BLOOSSOMS KG</t>
  </si>
  <si>
    <t>BK-IN KIRI CHEESE KG</t>
  </si>
  <si>
    <t>BK-IN CHERRY BLACK KG</t>
  </si>
  <si>
    <t>BK-IN BUTTER SCOTCH KG</t>
  </si>
  <si>
    <t>BK-IN CABBAGE KG</t>
  </si>
  <si>
    <t>BK-IN CAPPUCCINO FILLING KG</t>
  </si>
  <si>
    <t>BK-IN DATES KG</t>
  </si>
  <si>
    <t>BK-IN DECORTA DARK CHOCOLATE KG</t>
  </si>
  <si>
    <t>BK-IN FRUIT COCKTAIL KG</t>
  </si>
  <si>
    <t>BK-IN LEMON KG</t>
  </si>
  <si>
    <t>BK-IN MANGO GLAZE KG</t>
  </si>
  <si>
    <t>BK-IN MANGO KG</t>
  </si>
  <si>
    <t>BK-IN MUSHROOM PIECES KG</t>
  </si>
  <si>
    <t>BK-IN COFEE KG</t>
  </si>
  <si>
    <t>BK-IN OATS KG</t>
  </si>
  <si>
    <t>BK-IN ONION WHITE KG</t>
  </si>
  <si>
    <t>BK-IN PINEAPPLE JAM KG</t>
  </si>
  <si>
    <t>BK-IN RUSSIAN MIX KG</t>
  </si>
  <si>
    <t>BK-IN SLICES BURGER CHEESE KG</t>
  </si>
  <si>
    <t>BK-IN TANDOORI MASALA KG</t>
  </si>
  <si>
    <t>BK-IN DRINKING MIX POWDER KG</t>
  </si>
  <si>
    <t>BK-IN TOMATO PASTE KG</t>
  </si>
  <si>
    <t>BK-IN VERMICELLI MIX KG</t>
  </si>
  <si>
    <t>BK-IN GLUTEN POWDER KG</t>
  </si>
  <si>
    <t>BK-IN ARABIC BREAD PCS</t>
  </si>
  <si>
    <t>BK-IN SUGAR SYRUP KG</t>
  </si>
  <si>
    <t>BK-IN MULTISEED MIX KG</t>
  </si>
  <si>
    <t>BK-IN BAVAROIS POWDER NEUTRAL KG</t>
  </si>
  <si>
    <t>QT-BK ENSAIMADA CHEESE</t>
  </si>
  <si>
    <t>QT-BK MERINGUE KG</t>
  </si>
  <si>
    <t>QT-BK PINEAPPLE ROLL</t>
  </si>
  <si>
    <t>QT-BK CHICKEN ROLL</t>
  </si>
  <si>
    <t>QT-BK PAAV BREAD</t>
  </si>
  <si>
    <t>BK-IN 18 CM ROUND CRYSTAL PLATE P 10KG</t>
  </si>
  <si>
    <t>BK-IN GOLDEN CAKE BOARD 12'' 100 PCS</t>
  </si>
  <si>
    <t>BK IN PLAIN WHITE CAKE BOX 25*25*12CM 100 PCS</t>
  </si>
  <si>
    <t>BK IN GOLDEN RECTANGLE CAKE BOARD 35*25 100PCS</t>
  </si>
  <si>
    <t>BK IN GOLDEN CAKE BOARD 8INC 100PCS</t>
  </si>
  <si>
    <t>BK IN -CASTELLA PISTACHIO KUNAFA CREAM KG</t>
  </si>
  <si>
    <t>BK-IN CHICKEN TIKKA MASALA MIX KG</t>
  </si>
  <si>
    <t>KATHAYIF NUTS</t>
  </si>
  <si>
    <t>GF VEGETABLE CUTTLATE</t>
  </si>
  <si>
    <t>GF SPECIAL CAKE</t>
  </si>
  <si>
    <t>GF PLUM CAKE 350GM</t>
  </si>
  <si>
    <t>GF DILKUSH</t>
  </si>
  <si>
    <t>GF CROISSANT ZATAR</t>
  </si>
  <si>
    <t>BK-IN LABEL THERMAL WEIGH SCALE 58X39</t>
  </si>
  <si>
    <t>BK-IN KUNAFA KG</t>
  </si>
  <si>
    <t>BK-IN LACTOFIL NON DAIRY CREAM WITH DAIRY FLAVOR K</t>
  </si>
  <si>
    <t>BK-IN PAPER CAKE BOX 20*20*10 W/LOGO</t>
  </si>
  <si>
    <t>BK-IN PASTRY SHEET PCS</t>
  </si>
  <si>
    <t>BK-IN QBAKE BURGER BUN</t>
  </si>
  <si>
    <t>QT-BK CHEESE STRAW</t>
  </si>
  <si>
    <t>QT-BK ENSAIMADA CREAM</t>
  </si>
  <si>
    <t>QT-BK CHICKEN SAUSAGE PIZZA</t>
  </si>
  <si>
    <t>QT-BK PAN PIZZA CHICKEN</t>
  </si>
  <si>
    <t>QT-BK GF FRUIT TOAST</t>
  </si>
  <si>
    <t>QT-BK HOT AND SPICY CHICKEN PIZZA</t>
  </si>
  <si>
    <t>QT-BK COCONUT COOKIE KG</t>
  </si>
  <si>
    <t>QT-BK GF BREAD STICK</t>
  </si>
  <si>
    <t>QT-BK VICTORIA SPONGE CAKE</t>
  </si>
  <si>
    <t>QT-BK CHICKEN TIKKA PLATE</t>
  </si>
  <si>
    <t>QT-BK VEGETABLE PLAIT</t>
  </si>
  <si>
    <t>QT-BK BASBOUSE KG</t>
  </si>
  <si>
    <t>QT-BK CHOCOLATE CROISSANT</t>
  </si>
  <si>
    <t>QT-BK CHOCOLATE CAKE</t>
  </si>
  <si>
    <t>QT-BK GF CROISSANT CHEESE</t>
  </si>
  <si>
    <t>QT-BK CHOCOLATE PASTRY</t>
  </si>
  <si>
    <t>QT-BK SANDWICH CHICKEN</t>
  </si>
  <si>
    <t>QT-BK MANGO CAKE</t>
  </si>
  <si>
    <t>QT-BK EGG SANDWICH</t>
  </si>
  <si>
    <t>QT-BK VANILLA CAKE SMALL</t>
  </si>
  <si>
    <t>QT-BK CHICKEN BURGER</t>
  </si>
  <si>
    <t>QT-BK STRAWBERRY LOAF CAKE</t>
  </si>
  <si>
    <t>QT-BK PAN DE COCO</t>
  </si>
  <si>
    <t>QT-BK  MINI CHEESE PIZZA</t>
  </si>
  <si>
    <t>QT-BK CHICKEN STRUDDLE</t>
  </si>
  <si>
    <t>QT-BK ALMOND LOAF CAKE</t>
  </si>
  <si>
    <t>QT-BK BLUEBERRY LOAF CAKE</t>
  </si>
  <si>
    <t>QT-BK ENGLISH CAKE CHOCOLATE</t>
  </si>
  <si>
    <t>QT-BK CHOCOLATE NUTELLA CAKE</t>
  </si>
  <si>
    <t>QT-BK BUTTER BREAD SMALL</t>
  </si>
  <si>
    <t>QT-BK BLACK FOREST MINI CAKE</t>
  </si>
  <si>
    <t>QT-BK SUGAR MADELEINES</t>
  </si>
  <si>
    <t>QT-BK VANILLA CAKE</t>
  </si>
  <si>
    <t>QT-BK CHICKEN TIKKA SANDWICH</t>
  </si>
  <si>
    <t>QT-BK SANDWICH SAUSAGE</t>
  </si>
  <si>
    <t>QT-BK STRAWBERRY CAKE MINI</t>
  </si>
  <si>
    <t>QT-BK MULTI CERIAL BREAD</t>
  </si>
  <si>
    <t>QT-BK CUTTLATE CHICKEN</t>
  </si>
  <si>
    <t>QT-BK VANILLA PASTRY</t>
  </si>
  <si>
    <t>QT-BK WHOLEMEAL BREAD</t>
  </si>
  <si>
    <t>QT-BK ARABIC CHEESE BUN</t>
  </si>
  <si>
    <t>QT-BK STRAWBERRY PASTRY</t>
  </si>
  <si>
    <t>QT-BK FRENCH BAGUETTE</t>
  </si>
  <si>
    <t>QT-BK BRIOCHE CUSTARD</t>
  </si>
  <si>
    <t>QT-BK CARROT LOAF CAKE</t>
  </si>
  <si>
    <t>QT-BK  BLACK FOREST</t>
  </si>
  <si>
    <t>QT-BK CHOCOLATE NUTELLA SLICE</t>
  </si>
  <si>
    <t>QT-BK BLUEBERRY PASTRY</t>
  </si>
  <si>
    <t>QT-BK ASSTD FATAYER</t>
  </si>
  <si>
    <t>QT-BK RAISINS BREAD</t>
  </si>
  <si>
    <t>QT-BK LEBNEH CHEESE</t>
  </si>
  <si>
    <t>BK IN MILK CHOCOLATE KG</t>
  </si>
  <si>
    <t>BK-IN BUSH COLOR (RED) KG</t>
  </si>
  <si>
    <t>BK-IN CHICKEN LIVER KG</t>
  </si>
  <si>
    <t>BK IN GOLDEN CAKE BOARD 10INCH 100 PCS</t>
  </si>
  <si>
    <t>BK-IN LIME KG</t>
  </si>
  <si>
    <t>BK-IN MINT KGS</t>
  </si>
  <si>
    <t>BK-IN MIXED FRUIT FILLING KG</t>
  </si>
  <si>
    <t>BK-IN TOOTH PICKS</t>
  </si>
  <si>
    <t>BK-IN BRAN BREAD KG</t>
  </si>
  <si>
    <t>BK-IN WHOLEMEAL BREAD KG</t>
  </si>
  <si>
    <t>BK-IN MULTI CEREAL KG</t>
  </si>
  <si>
    <t>BK-IN DISH WASH LIQUID KG</t>
  </si>
  <si>
    <t>BK-IN BREAD SHORTENING KG</t>
  </si>
  <si>
    <t>BK-IN BUTTER SCOTCH TOFFEE KG</t>
  </si>
  <si>
    <t>BK-IN CAKE DECOR BALLS KG</t>
  </si>
  <si>
    <t>BK-IN CAKE MIX EGG LESS KG</t>
  </si>
  <si>
    <t>BK-IN CALCIUM PROPIONATE CP KG</t>
  </si>
  <si>
    <t>BK-IN PAPER BAG KG</t>
  </si>
  <si>
    <t>BK-IN PARSELY</t>
  </si>
  <si>
    <t>BK-IN CHEESE KG</t>
  </si>
  <si>
    <t>BK-IN CHICKEN BURGER KG</t>
  </si>
  <si>
    <t>BK-IN CHICKEN CUBES KG</t>
  </si>
  <si>
    <t>BK-IN PEANUTS ROASTED</t>
  </si>
  <si>
    <t>BK-IN CHICKEN SHAWARMA KG</t>
  </si>
  <si>
    <t>BK-IN PEX SALT KG</t>
  </si>
  <si>
    <t>BK-IN CHILLY CRUSHED KG</t>
  </si>
  <si>
    <t>BK-IN CHOCOLATE MUFFIN KG</t>
  </si>
  <si>
    <t>BK-IN CORN FLAKES KG</t>
  </si>
  <si>
    <t>BK-IN DARK CHOCOLATE KG</t>
  </si>
  <si>
    <t>BK-IN CHERRY RED KG</t>
  </si>
  <si>
    <t>BK-IN DECOR PASTE WHITE KG</t>
  </si>
  <si>
    <t>BK-IN DECORFRUIT MANGO KG</t>
  </si>
  <si>
    <t>BK-IN DECORGEL NEUTREAL KG</t>
  </si>
  <si>
    <t>BK-IN DARK CHOCOLATE SHAVINGS</t>
  </si>
  <si>
    <t>BK-IN SCALDIS PURE DARK BROWN CHOCOLATE BLOCK KG</t>
  </si>
  <si>
    <t>BK-IN DOUGH</t>
  </si>
  <si>
    <t>BK-IN DRINKING CHOCOLATE KG</t>
  </si>
  <si>
    <t>BK-IN DRY YEAST KG</t>
  </si>
  <si>
    <t>BK-IN GARAM MASALA KG</t>
  </si>
  <si>
    <t>BK-IN STER CREAM KG</t>
  </si>
  <si>
    <t>BK-IN GLAZE NEUTRAL KG</t>
  </si>
  <si>
    <t>BK-IN SUNFLOWER SEED KG</t>
  </si>
  <si>
    <t>QT-BK LEBNEH HONEY</t>
  </si>
  <si>
    <t>QT-BK CREAM BUN 1X2</t>
  </si>
  <si>
    <t>QT-BK FRUIT BREAD</t>
  </si>
  <si>
    <t>QT-BK SPICY ARABIC BREAD</t>
  </si>
  <si>
    <t>QT-BK EGG&amp;SPICY</t>
  </si>
  <si>
    <t>QT-BK FRENCH BAGUETTE 140 G</t>
  </si>
  <si>
    <t>QT-BK FRENCH BAGUETTE LOAF</t>
  </si>
  <si>
    <t>QT-BK DATES AND WALNUT BREAD</t>
  </si>
  <si>
    <t>QT-BK BUTTER SCOTCH PASTRY</t>
  </si>
  <si>
    <t>QT-BK  FRUIT BUN</t>
  </si>
  <si>
    <t>QT-BK DATES PUDDING</t>
  </si>
  <si>
    <t>QT-BK MAHALABIA MILK PUDDING</t>
  </si>
  <si>
    <t>QT-BK WHITE BREAD</t>
  </si>
  <si>
    <t>QT-BK BRIOCHE HONEY ALMOND</t>
  </si>
  <si>
    <t>QT-BK EGG PIE</t>
  </si>
  <si>
    <t>QT-BK MARBLE CAKE</t>
  </si>
  <si>
    <t>QT-BK MILK BREAD</t>
  </si>
  <si>
    <t>QT-BK OREO DESSERT</t>
  </si>
  <si>
    <t>QT-BK CHOCOLATE MOUSSE</t>
  </si>
  <si>
    <t>QT-BK STRAWBERRY MOUSSE MINI</t>
  </si>
  <si>
    <t>QT-BK MANGO DESERT</t>
  </si>
  <si>
    <t>QT-BK PUFF CHICKEN</t>
  </si>
  <si>
    <t>QT-BK EGG PUFF</t>
  </si>
  <si>
    <t>QT-BK PUFF VEGETABLE</t>
  </si>
  <si>
    <t>QT-BK CUSTARD CAKE</t>
  </si>
  <si>
    <t>QT-BK TEA CAKE</t>
  </si>
  <si>
    <t>QT-BK BREAD CRUMB</t>
  </si>
  <si>
    <t>QT-BK  HUMBURGER ROLL 1X6</t>
  </si>
  <si>
    <t>QT-BK CHICKEN PIZZA</t>
  </si>
  <si>
    <t>QT-BK CAPPUCCINO SLICE</t>
  </si>
  <si>
    <t>QT-BK GARLIC BREAD BITES</t>
  </si>
  <si>
    <t>QT-BK CARAMEL PASTRY</t>
  </si>
  <si>
    <t>QT-BK BLACK FOREST PASTRY</t>
  </si>
  <si>
    <t>QT-BK OREO CAKE</t>
  </si>
  <si>
    <t>QT-BK PANDESAL</t>
  </si>
  <si>
    <t>QT-BK MIXED FRUIT LOAF CAKE</t>
  </si>
  <si>
    <t>QT-BK CHICKEN BARBEQUE PIZZA</t>
  </si>
  <si>
    <t>QT-BK CHICKEN FILLET ROLL</t>
  </si>
  <si>
    <t>QT-BK BANANA ROLL</t>
  </si>
  <si>
    <t>QT-BK SPONGE CAKE VANILA KG</t>
  </si>
  <si>
    <t>QT-BK SUGAR SYRUP KG</t>
  </si>
  <si>
    <t>QT-BK LOAF  BASE DOUGH KG</t>
  </si>
  <si>
    <t>QT-BK CHOCOLATE GANACHE KG</t>
  </si>
  <si>
    <t>BK IN CAKE BOX - TOP&amp;BOTM-55X40X12CMX400 - 50PCS</t>
  </si>
  <si>
    <t>QTR BK PISTACHIO KUNAFA CHOCOLATE PCS</t>
  </si>
  <si>
    <t>BK-IN GRAND MALL PP WHOLEMEAL BREAD (45+5) 25X40</t>
  </si>
  <si>
    <t>BK-IN HOTPACK PAPER BAG MEDIUM KG</t>
  </si>
  <si>
    <t>BK-IN WHEAT GLUTEN KG</t>
  </si>
  <si>
    <t>BK-IN WHITE PEPPER POWDER KG</t>
  </si>
  <si>
    <t>BK-IN WHITE SESEMI KG</t>
  </si>
  <si>
    <t>BK-IN RELEASING AGENT KG</t>
  </si>
  <si>
    <t>BK-IN 0410MB170 ROUND MOULD 170*35MM 600PCS</t>
  </si>
  <si>
    <t>BK-IN 044WB3 30*20*8CM WINDOW BAG 1000PCS</t>
  </si>
  <si>
    <t>BK-IN 150*65*50MM RECT MOULD P 1000'S 0410PM150 C</t>
  </si>
  <si>
    <t>BK-IN 18*15*12CM 6 CROISSANTS BOX P 05P06T001 PCS</t>
  </si>
  <si>
    <t>BK-IN 18*18*5CM SQUARE CONTAINER P 180'S 05P1H50</t>
  </si>
  <si>
    <t>BK-IN 18*9*5CM CAKE BOX P 350'S 05P10H50</t>
  </si>
  <si>
    <t>BK-IN 18*9*9 RECT BOX P 330'S 05P10H80</t>
  </si>
  <si>
    <t>BK-IN 35*14 5*8CM WINDOW BAG P 1000'S 044WB2</t>
  </si>
  <si>
    <t>BK-IN AL RAYYAN FOAM TRAY X-LARGE S4 250 PCS</t>
  </si>
  <si>
    <t>BK-IN CAKE BOX 30CM X 30CM X 12.5CM PCS</t>
  </si>
  <si>
    <t>BK-IN COCONUT WHOLE</t>
  </si>
  <si>
    <t>PASTERIES MANGO</t>
  </si>
  <si>
    <t>QT-BK CROISSANT DOUGH KG</t>
  </si>
  <si>
    <t>QT-BK PIZZA BASE DOUGH KG</t>
  </si>
  <si>
    <t>BK-IN RICE FLAKES</t>
  </si>
  <si>
    <t>BK- IN BRAN POWDER KG</t>
  </si>
  <si>
    <t>QT-BK ARTISAN BREAD PCS</t>
  </si>
  <si>
    <t>BK IN PINEAPPLE  FLAVOUR LTR</t>
  </si>
  <si>
    <t>BK IN SUSHI CONT 24 OZ+LID WITH DESIGN 500PCS</t>
  </si>
  <si>
    <t>BK IN SUSHI CONT 22 OZ+LID WITH DESIGN 500PCS</t>
  </si>
  <si>
    <t>BK-IN WHITE SPOON 40*50 PCS</t>
  </si>
  <si>
    <t>BK IN ORANGE FLAVOUR LTR</t>
  </si>
  <si>
    <t>BK IN BANANA FLAVOUR LTR</t>
  </si>
  <si>
    <t>BK-IN MOUSSE MIX NEUTRAL KG</t>
  </si>
  <si>
    <t>QT BK TURKISH SANDWICH PCS</t>
  </si>
  <si>
    <t>FATAYIR CHEESE</t>
  </si>
  <si>
    <t>CAKE MANGO MINI</t>
  </si>
  <si>
    <t>PIE APPLE MINI</t>
  </si>
  <si>
    <t>BK- IN HAIR NET 100 PCS</t>
  </si>
  <si>
    <t>BK-IN CAKE BOARD 40*60CM 25PCS</t>
  </si>
  <si>
    <t>BK-IN AJINOMOTO KG</t>
  </si>
  <si>
    <t>BK-IN DOME LID ICE CREAM CUP 10OZ 20*50PCS</t>
  </si>
  <si>
    <t>BK-IN CONFECTIONERY BOX 180*180*50 180PCS</t>
  </si>
  <si>
    <t>BK-IN CLEAR LARGE VINYL GLOVES PF 10*100PCS</t>
  </si>
  <si>
    <t>BK-IN CHICKEN NUGGETS KGS</t>
  </si>
  <si>
    <t>BK IN BARBARA BLOSSOM MINI WHITE 4KG</t>
  </si>
  <si>
    <t>BK IN PLASTIC TEA SPOON 5 IN WHITE 100PCSX40PKTS</t>
  </si>
  <si>
    <t>CAKE PHOTO</t>
  </si>
  <si>
    <t>BALSHAM</t>
  </si>
  <si>
    <t>BK BREAD DARKNER KGS</t>
  </si>
  <si>
    <t>BK-IN MAITRE CROISSANT FIN KGS</t>
  </si>
  <si>
    <t>BK-IN GINGER GARLIC PASTE KG</t>
  </si>
  <si>
    <t>BK-IN CHICKEN MASALA KG</t>
  </si>
  <si>
    <t>BK-IN FRENCH FRIES KG</t>
  </si>
  <si>
    <t>BK-IN CHILLY POWDER KG</t>
  </si>
  <si>
    <t>BK-IN PASTRY JAM KG</t>
  </si>
  <si>
    <t>BK-IN ESSENCE KG</t>
  </si>
  <si>
    <t>BK-IN CHOCOLATE CHIPS KG</t>
  </si>
  <si>
    <t>BK-IN COCOA POWDER KG</t>
  </si>
  <si>
    <t>BK-IN ALMONDS KG</t>
  </si>
  <si>
    <t>BK-IN WHIPPING CREAM KG</t>
  </si>
  <si>
    <t>BK-IN CUSTARD MIX KG</t>
  </si>
  <si>
    <t>BK-IN MIXED FRUIT JAM KG</t>
  </si>
  <si>
    <t>BK-IN SLICE BREAD PCS</t>
  </si>
  <si>
    <t>BK-IN CONDENSED MILK KG</t>
  </si>
  <si>
    <t>BK-IN GHEE KG</t>
  </si>
  <si>
    <t>BK-IN FOOD COLOUR KG</t>
  </si>
  <si>
    <t>BK-IN CAPSICUM GREEN KG</t>
  </si>
  <si>
    <t>BK-IN AJNAMOTTO KG</t>
  </si>
  <si>
    <t>BK-IN SPONGE MIX CHOCOLATE</t>
  </si>
  <si>
    <t>BK-IN CASHEW NUT KG</t>
  </si>
  <si>
    <t>BK-IN SPONGE MIX VANILLA</t>
  </si>
  <si>
    <t>BK-IN CARAMEL COLOUR KG</t>
  </si>
  <si>
    <t>BK-IN ROSE WATER KG</t>
  </si>
  <si>
    <t>BK-IN CHICKEN FRANKS KG</t>
  </si>
  <si>
    <t>BK-IN VERMICELLI COLOR KG</t>
  </si>
  <si>
    <t>BK-IN BUTTER KG</t>
  </si>
  <si>
    <t>BK IN PAPER BREAD BAG WINDOW 35*14.2*4CM 1000PCS</t>
  </si>
  <si>
    <t>BK-IN KINDER BUENO SPREAD KG</t>
  </si>
  <si>
    <t>BK-IN FOAM LUNCH BOX W/HNGE LID 190X150X80</t>
  </si>
  <si>
    <t>BK-IN CHOC SPREAD HAZELNUT KG</t>
  </si>
  <si>
    <t>BK-IN WHITE CHOCOLATE SPREAD KG</t>
  </si>
  <si>
    <t>BK-IN ROCHEH CRUNCHY SPREAD KG</t>
  </si>
  <si>
    <t>BK-IN OREGANO KG</t>
  </si>
  <si>
    <t>BK-IN FOAM RECT TRAYS WHITE M3 500PC</t>
  </si>
  <si>
    <t>BK-IN 16OZ RECT CONTAINER WITH LID (500PCS)</t>
  </si>
  <si>
    <t>BK-IN PAPER SANDWICH WRAP 35*25CM(800PCS*20PKTS)</t>
  </si>
  <si>
    <t>BK-IN PLASTIC KNIFE 50 PCS X 20 PKTS</t>
  </si>
  <si>
    <t>BK-IN WHITE CHOCOLATE FILLING CREAM</t>
  </si>
  <si>
    <t>BK-IN ROUND CAKE BOX 200 PCS</t>
  </si>
  <si>
    <t>QT-BK TURKISH BREAD PCS</t>
  </si>
  <si>
    <t>BK IN COOKING CREAM</t>
  </si>
  <si>
    <t>QT-BK MANAKISH CHEESE PCS</t>
  </si>
  <si>
    <t>QT BK CHOCO BALL PCS</t>
  </si>
  <si>
    <t>QT BK CREAM CUSTARD VANILLA CAKE PCS</t>
  </si>
  <si>
    <t>QT BK GARLIC CHICKEN ROLL PCS</t>
  </si>
  <si>
    <t>QT BK BROWNIE SLICE PCS</t>
  </si>
  <si>
    <t>QT BK WHITE CHOCO SLICE PCS</t>
  </si>
  <si>
    <t>BK-IN COOKING OIL KG</t>
  </si>
  <si>
    <t>BK-IN APPLE FILLING KG</t>
  </si>
  <si>
    <t>BK-IN BISCUITS KG</t>
  </si>
  <si>
    <t>BK-IN BLACK PEPPER WHOLE KG</t>
  </si>
  <si>
    <t>BK-IN BAKING POWDER KG</t>
  </si>
  <si>
    <t>BK-IN APPLE KG</t>
  </si>
  <si>
    <t>BK-IN BROWN BREAD MIX KG</t>
  </si>
  <si>
    <t>BK-IN LETTUCE KG</t>
  </si>
  <si>
    <t>BK-IN CUSTARD POWDER</t>
  </si>
  <si>
    <t>BK-IN ICING SUGAR KG</t>
  </si>
  <si>
    <t>BK-IN CHEDDAR CHEESE KG</t>
  </si>
  <si>
    <t>BK-IN BANANA KG</t>
  </si>
  <si>
    <t>BK-IN BREAD IMPROVER KG</t>
  </si>
  <si>
    <t>BK-IN MILK POWDER KG</t>
  </si>
  <si>
    <t>BK-IN GREEN CHILLI KG</t>
  </si>
  <si>
    <t>BK-IN SEMOLINA KG</t>
  </si>
  <si>
    <t>BK-IN CHOCOLATE GLAZE KG</t>
  </si>
  <si>
    <t>BK-IN ONION KG</t>
  </si>
  <si>
    <t>BK-IN ORANGE COLOUR LIQUID KG</t>
  </si>
  <si>
    <t>BK-IN CHILLY SAUCE KG</t>
  </si>
  <si>
    <t>BK-IN CARAMEL KG</t>
  </si>
  <si>
    <t>BK-IN PISTA KG</t>
  </si>
  <si>
    <t>BK-IN POTATO KG</t>
  </si>
  <si>
    <t>BK-IN CHOCOLATE KG</t>
  </si>
  <si>
    <t>BK-IN LABNEH KG</t>
  </si>
  <si>
    <t>BK-IN CAPSICUM COLOR KG</t>
  </si>
  <si>
    <t>BK-IN CARBONATE SODA KG</t>
  </si>
  <si>
    <t>BK-IN CARROT KG</t>
  </si>
  <si>
    <t>BK-IN TOMATO KETCHUP KG</t>
  </si>
  <si>
    <t>BK-IN SHREDDED MZRLA CHEESE KG</t>
  </si>
  <si>
    <t>BK-IN SPONGE CAKE MIX KG</t>
  </si>
  <si>
    <t>BK-IN TOMATO KG</t>
  </si>
  <si>
    <t>BK-IN HONEY KG</t>
  </si>
  <si>
    <t>BK-IN MANGO ESSENCE KG</t>
  </si>
  <si>
    <t>BK-IN SUGAR KG</t>
  </si>
  <si>
    <t>BK-IN OLIVE OIL KG</t>
  </si>
  <si>
    <t>BK-IN NUTELLA KG</t>
  </si>
  <si>
    <t>BK-IN TURMERIC POWDER KG</t>
  </si>
  <si>
    <t>BK-IN PINEAPPLE SLICE KG</t>
  </si>
  <si>
    <t>BK-IN EGG LARGE KG</t>
  </si>
  <si>
    <t>BK-IN LIQUID FOOD COLOUR KG</t>
  </si>
  <si>
    <t>BK-IN SESAME SEED KG</t>
  </si>
  <si>
    <t>BK-IN GRAPES KG</t>
  </si>
  <si>
    <t>BK-IN KIWI KG</t>
  </si>
  <si>
    <t>BK-IN YEAST KG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</si>
</sst>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D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2" xfId="0" applyBorder="1"/>
  </cellXfs>
  <cellStyles count="1">
    <cellStyle name="Normal" xfId="0" builtinId="0"/>
  </cellStyles>
  <dxfs count="2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FFFFFF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9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512</v>
      </c>
      <c r="C2" t="s">
        <v>515</v>
      </c>
      <c r="D2" t="s">
        <v>1007</v>
      </c>
      <c r="E2" t="s">
        <v>1009</v>
      </c>
      <c r="F2" t="s">
        <v>1010</v>
      </c>
      <c r="G2">
        <v>7.83</v>
      </c>
      <c r="H2">
        <v>0</v>
      </c>
      <c r="I2">
        <v>0</v>
      </c>
      <c r="J2">
        <v>0</v>
      </c>
      <c r="K2">
        <v>0</v>
      </c>
      <c r="L2">
        <v>0.8</v>
      </c>
      <c r="M2">
        <v>8</v>
      </c>
      <c r="N2">
        <v>0</v>
      </c>
      <c r="O2">
        <v>0</v>
      </c>
      <c r="P2" s="2">
        <f>(H2 + J2) - (L2 + N2)</f>
        <v>0</v>
      </c>
      <c r="Q2" s="2">
        <f>P2 * G2</f>
        <v>0</v>
      </c>
      <c r="R2">
        <v>0</v>
      </c>
      <c r="S2" s="2">
        <f>R2 * G2</f>
        <v>0</v>
      </c>
      <c r="T2" s="2">
        <f>(H2 + J2) - (L2 + N2) - R2</f>
        <v>0</v>
      </c>
      <c r="U2" s="2">
        <f>T2 * G2</f>
        <v>0</v>
      </c>
      <c r="V2" s="2">
        <f>I2 + K2 - S2</f>
        <v>0</v>
      </c>
      <c r="W2" s="2">
        <f>M2 - V2</f>
        <v>0</v>
      </c>
      <c r="X2" s="2">
        <f>IFERROR(W2 / M2 * 100, 0)</f>
        <v>0</v>
      </c>
    </row>
    <row r="3" spans="1:24">
      <c r="A3" t="s">
        <v>25</v>
      </c>
      <c r="B3" t="s">
        <v>512</v>
      </c>
      <c r="C3" t="s">
        <v>516</v>
      </c>
      <c r="D3" t="s">
        <v>1007</v>
      </c>
      <c r="E3" t="s">
        <v>1009</v>
      </c>
      <c r="F3" t="s">
        <v>1011</v>
      </c>
      <c r="G3">
        <v>2.27</v>
      </c>
      <c r="H3">
        <v>0</v>
      </c>
      <c r="I3">
        <v>0</v>
      </c>
      <c r="J3">
        <v>1107.98</v>
      </c>
      <c r="K3">
        <v>2150.36</v>
      </c>
      <c r="L3">
        <v>1170.66</v>
      </c>
      <c r="M3">
        <v>3266.99</v>
      </c>
      <c r="N3">
        <v>38</v>
      </c>
      <c r="O3">
        <v>86.3</v>
      </c>
      <c r="P3" s="2">
        <f>(H3 + J3) - (L3 + N3)</f>
        <v>0</v>
      </c>
      <c r="Q3" s="2">
        <f>P3 * G3</f>
        <v>0</v>
      </c>
      <c r="R3">
        <v>0</v>
      </c>
      <c r="S3" s="2">
        <f>R3 * G3</f>
        <v>0</v>
      </c>
      <c r="T3" s="2">
        <f>(H3 + J3) - (L3 + N3) - R3</f>
        <v>0</v>
      </c>
      <c r="U3" s="2">
        <f>T3 * G3</f>
        <v>0</v>
      </c>
      <c r="V3" s="2">
        <f>I3 + K3 - S3</f>
        <v>0</v>
      </c>
      <c r="W3" s="2">
        <f>M3 - V3</f>
        <v>0</v>
      </c>
      <c r="X3" s="2">
        <f>IFERROR(W3 / M3 * 100, 0)</f>
        <v>0</v>
      </c>
    </row>
    <row r="4" spans="1:24">
      <c r="A4" t="s">
        <v>26</v>
      </c>
      <c r="B4" t="s">
        <v>513</v>
      </c>
      <c r="C4" t="s">
        <v>517</v>
      </c>
      <c r="D4" t="s">
        <v>1007</v>
      </c>
      <c r="E4" t="s">
        <v>1009</v>
      </c>
      <c r="F4" t="s">
        <v>1012</v>
      </c>
      <c r="G4">
        <v>2.5</v>
      </c>
      <c r="H4">
        <v>0</v>
      </c>
      <c r="I4">
        <v>0</v>
      </c>
      <c r="J4">
        <v>0</v>
      </c>
      <c r="K4">
        <v>0</v>
      </c>
      <c r="L4">
        <v>0.98</v>
      </c>
      <c r="M4">
        <v>2.93</v>
      </c>
      <c r="N4">
        <v>0</v>
      </c>
      <c r="O4">
        <v>0</v>
      </c>
      <c r="P4" s="2">
        <f>(H4 + J4) - (L4 + N4)</f>
        <v>0</v>
      </c>
      <c r="Q4" s="2">
        <f>P4 * G4</f>
        <v>0</v>
      </c>
      <c r="R4">
        <v>0</v>
      </c>
      <c r="S4" s="2">
        <f>R4 * G4</f>
        <v>0</v>
      </c>
      <c r="T4" s="2">
        <f>(H4 + J4) - (L4 + N4) - R4</f>
        <v>0</v>
      </c>
      <c r="U4" s="2">
        <f>T4 * G4</f>
        <v>0</v>
      </c>
      <c r="V4" s="2">
        <f>I4 + K4 - S4</f>
        <v>0</v>
      </c>
      <c r="W4" s="2">
        <f>M4 - V4</f>
        <v>0</v>
      </c>
      <c r="X4" s="2">
        <f>IFERROR(W4 / M4 * 100, 0)</f>
        <v>0</v>
      </c>
    </row>
    <row r="5" spans="1:24">
      <c r="A5" t="s">
        <v>27</v>
      </c>
      <c r="B5" t="s">
        <v>512</v>
      </c>
      <c r="C5" t="s">
        <v>518</v>
      </c>
      <c r="D5" t="s">
        <v>1007</v>
      </c>
      <c r="E5" t="s">
        <v>1009</v>
      </c>
      <c r="F5" t="s">
        <v>1013</v>
      </c>
      <c r="G5">
        <v>7</v>
      </c>
      <c r="H5">
        <v>332.4</v>
      </c>
      <c r="I5">
        <v>2082.28</v>
      </c>
      <c r="J5">
        <v>2932.5</v>
      </c>
      <c r="K5">
        <v>20284.5</v>
      </c>
      <c r="L5">
        <v>2822.82</v>
      </c>
      <c r="M5">
        <v>21755.18</v>
      </c>
      <c r="N5">
        <v>346</v>
      </c>
      <c r="O5">
        <v>2372.76</v>
      </c>
      <c r="P5" s="2">
        <f>(H5 + J5) - (L5 + N5)</f>
        <v>0</v>
      </c>
      <c r="Q5" s="2">
        <f>P5 * G5</f>
        <v>0</v>
      </c>
      <c r="R5">
        <v>77</v>
      </c>
      <c r="S5" s="2">
        <f>R5 * G5</f>
        <v>0</v>
      </c>
      <c r="T5" s="2">
        <f>(H5 + J5) - (L5 + N5) - R5</f>
        <v>0</v>
      </c>
      <c r="U5" s="2">
        <f>T5 * G5</f>
        <v>0</v>
      </c>
      <c r="V5" s="2">
        <f>I5 + K5 - S5</f>
        <v>0</v>
      </c>
      <c r="W5" s="2">
        <f>M5 - V5</f>
        <v>0</v>
      </c>
      <c r="X5" s="2">
        <f>IFERROR(W5 / M5 * 100, 0)</f>
        <v>0</v>
      </c>
    </row>
    <row r="6" spans="1:24">
      <c r="A6" t="s">
        <v>28</v>
      </c>
      <c r="B6" t="s">
        <v>512</v>
      </c>
      <c r="C6" t="s">
        <v>519</v>
      </c>
      <c r="D6" t="s">
        <v>1007</v>
      </c>
      <c r="E6" t="s">
        <v>1009</v>
      </c>
      <c r="F6" t="s">
        <v>1014</v>
      </c>
      <c r="G6">
        <v>2.16</v>
      </c>
      <c r="H6">
        <v>0</v>
      </c>
      <c r="I6">
        <v>0</v>
      </c>
      <c r="J6">
        <v>76.92</v>
      </c>
      <c r="K6">
        <v>172.7</v>
      </c>
      <c r="L6">
        <v>0</v>
      </c>
      <c r="M6">
        <v>0</v>
      </c>
      <c r="N6">
        <v>0</v>
      </c>
      <c r="O6">
        <v>0</v>
      </c>
      <c r="P6" s="2">
        <f>(H6 + J6) - (L6 + N6)</f>
        <v>0</v>
      </c>
      <c r="Q6" s="2">
        <f>P6 * G6</f>
        <v>0</v>
      </c>
      <c r="R6">
        <v>0</v>
      </c>
      <c r="S6" s="2">
        <f>R6 * G6</f>
        <v>0</v>
      </c>
      <c r="T6" s="2">
        <f>(H6 + J6) - (L6 + N6) - R6</f>
        <v>0</v>
      </c>
      <c r="U6" s="2">
        <f>T6 * G6</f>
        <v>0</v>
      </c>
      <c r="V6" s="2">
        <f>I6 + K6 - S6</f>
        <v>0</v>
      </c>
      <c r="W6" s="2">
        <f>M6 - V6</f>
        <v>0</v>
      </c>
      <c r="X6" s="2">
        <f>IFERROR(W6 / M6 * 100, 0)</f>
        <v>0</v>
      </c>
    </row>
    <row r="7" spans="1:24">
      <c r="A7" t="s">
        <v>29</v>
      </c>
      <c r="B7" t="s">
        <v>512</v>
      </c>
      <c r="C7" t="s">
        <v>520</v>
      </c>
      <c r="D7" t="s">
        <v>1007</v>
      </c>
      <c r="E7" t="s">
        <v>1009</v>
      </c>
      <c r="F7" t="s">
        <v>1015</v>
      </c>
      <c r="G7">
        <v>10.75</v>
      </c>
      <c r="H7">
        <v>0</v>
      </c>
      <c r="I7">
        <v>0</v>
      </c>
      <c r="J7">
        <v>77.5</v>
      </c>
      <c r="K7">
        <v>833.13</v>
      </c>
      <c r="L7">
        <v>30.11</v>
      </c>
      <c r="M7">
        <v>436.64</v>
      </c>
      <c r="N7">
        <v>0</v>
      </c>
      <c r="O7">
        <v>0</v>
      </c>
      <c r="P7" s="2">
        <f>(H7 + J7) - (L7 + N7)</f>
        <v>0</v>
      </c>
      <c r="Q7" s="2">
        <f>P7 * G7</f>
        <v>0</v>
      </c>
      <c r="R7">
        <v>15.5</v>
      </c>
      <c r="S7" s="2">
        <f>R7 * G7</f>
        <v>0</v>
      </c>
      <c r="T7" s="2">
        <f>(H7 + J7) - (L7 + N7) - R7</f>
        <v>0</v>
      </c>
      <c r="U7" s="2">
        <f>T7 * G7</f>
        <v>0</v>
      </c>
      <c r="V7" s="2">
        <f>I7 + K7 - S7</f>
        <v>0</v>
      </c>
      <c r="W7" s="2">
        <f>M7 - V7</f>
        <v>0</v>
      </c>
      <c r="X7" s="2">
        <f>IFERROR(W7 / M7 * 100, 0)</f>
        <v>0</v>
      </c>
    </row>
    <row r="8" spans="1:24">
      <c r="A8" t="s">
        <v>30</v>
      </c>
      <c r="B8" t="s">
        <v>512</v>
      </c>
      <c r="C8" t="s">
        <v>521</v>
      </c>
      <c r="D8" t="s">
        <v>1007</v>
      </c>
      <c r="E8" t="s">
        <v>1009</v>
      </c>
      <c r="F8" t="s">
        <v>1016</v>
      </c>
      <c r="G8">
        <v>3.47</v>
      </c>
      <c r="H8">
        <v>48.3</v>
      </c>
      <c r="I8">
        <v>156.98</v>
      </c>
      <c r="J8">
        <v>290.43</v>
      </c>
      <c r="K8">
        <v>1074.68</v>
      </c>
      <c r="L8">
        <v>162.45</v>
      </c>
      <c r="M8">
        <v>1480.9</v>
      </c>
      <c r="N8">
        <v>39</v>
      </c>
      <c r="O8">
        <v>148.72</v>
      </c>
      <c r="P8" s="2">
        <f>(H8 + J8) - (L8 + N8)</f>
        <v>0</v>
      </c>
      <c r="Q8" s="2">
        <f>P8 * G8</f>
        <v>0</v>
      </c>
      <c r="R8">
        <v>140.1</v>
      </c>
      <c r="S8" s="2">
        <f>R8 * G8</f>
        <v>0</v>
      </c>
      <c r="T8" s="2">
        <f>(H8 + J8) - (L8 + N8) - R8</f>
        <v>0</v>
      </c>
      <c r="U8" s="2">
        <f>T8 * G8</f>
        <v>0</v>
      </c>
      <c r="V8" s="2">
        <f>I8 + K8 - S8</f>
        <v>0</v>
      </c>
      <c r="W8" s="2">
        <f>M8 - V8</f>
        <v>0</v>
      </c>
      <c r="X8" s="2">
        <f>IFERROR(W8 / M8 * 100, 0)</f>
        <v>0</v>
      </c>
    </row>
    <row r="9" spans="1:24">
      <c r="A9" t="s">
        <v>31</v>
      </c>
      <c r="B9" t="s">
        <v>512</v>
      </c>
      <c r="C9" t="s">
        <v>522</v>
      </c>
      <c r="D9" t="s">
        <v>1007</v>
      </c>
      <c r="E9" t="s">
        <v>1009</v>
      </c>
      <c r="F9" t="s">
        <v>1017</v>
      </c>
      <c r="G9">
        <v>9.65</v>
      </c>
      <c r="H9">
        <v>0</v>
      </c>
      <c r="I9">
        <v>0</v>
      </c>
      <c r="J9">
        <v>0</v>
      </c>
      <c r="K9">
        <v>0</v>
      </c>
      <c r="L9">
        <v>1.16</v>
      </c>
      <c r="M9">
        <v>13.9</v>
      </c>
      <c r="N9">
        <v>0</v>
      </c>
      <c r="O9">
        <v>0</v>
      </c>
      <c r="P9" s="2">
        <f>(H9 + J9) - (L9 + N9)</f>
        <v>0</v>
      </c>
      <c r="Q9" s="2">
        <f>P9 * G9</f>
        <v>0</v>
      </c>
      <c r="R9">
        <v>0</v>
      </c>
      <c r="S9" s="2">
        <f>R9 * G9</f>
        <v>0</v>
      </c>
      <c r="T9" s="2">
        <f>(H9 + J9) - (L9 + N9) - R9</f>
        <v>0</v>
      </c>
      <c r="U9" s="2">
        <f>T9 * G9</f>
        <v>0</v>
      </c>
      <c r="V9" s="2">
        <f>I9 + K9 - S9</f>
        <v>0</v>
      </c>
      <c r="W9" s="2">
        <f>M9 - V9</f>
        <v>0</v>
      </c>
      <c r="X9" s="2">
        <f>IFERROR(W9 / M9 * 100, 0)</f>
        <v>0</v>
      </c>
    </row>
    <row r="10" spans="1:24">
      <c r="A10" t="s">
        <v>32</v>
      </c>
      <c r="B10" t="s">
        <v>512</v>
      </c>
      <c r="C10" t="s">
        <v>523</v>
      </c>
      <c r="D10" t="s">
        <v>1008</v>
      </c>
      <c r="E10" t="s">
        <v>1009</v>
      </c>
      <c r="F10" t="s">
        <v>1018</v>
      </c>
      <c r="G10">
        <v>5</v>
      </c>
      <c r="H10">
        <v>5</v>
      </c>
      <c r="I10">
        <v>25</v>
      </c>
      <c r="J10">
        <v>-1</v>
      </c>
      <c r="K10">
        <v>-5</v>
      </c>
      <c r="L10">
        <v>1</v>
      </c>
      <c r="M10">
        <v>6.5</v>
      </c>
      <c r="N10">
        <v>2</v>
      </c>
      <c r="O10">
        <v>10</v>
      </c>
      <c r="P10" s="2">
        <f>(H10 + J10) - (L10 + N10)</f>
        <v>0</v>
      </c>
      <c r="Q10" s="2">
        <f>P10 * G10</f>
        <v>0</v>
      </c>
      <c r="R10">
        <v>0</v>
      </c>
      <c r="S10" s="2">
        <f>R10 * G10</f>
        <v>0</v>
      </c>
      <c r="T10" s="2">
        <f>(H10 + J10) - (L10 + N10) - R10</f>
        <v>0</v>
      </c>
      <c r="U10" s="2">
        <f>T10 * G10</f>
        <v>0</v>
      </c>
      <c r="V10" s="2">
        <f>I10 + K10 - S10</f>
        <v>0</v>
      </c>
      <c r="W10" s="2">
        <f>M10 - V10</f>
        <v>0</v>
      </c>
      <c r="X10" s="2">
        <f>IFERROR(W10 / M10 * 100, 0)</f>
        <v>0</v>
      </c>
    </row>
    <row r="11" spans="1:24">
      <c r="A11" t="s">
        <v>33</v>
      </c>
      <c r="B11" t="s">
        <v>512</v>
      </c>
      <c r="C11" t="s">
        <v>524</v>
      </c>
      <c r="D11" t="s">
        <v>1007</v>
      </c>
      <c r="E11" t="s">
        <v>1009</v>
      </c>
      <c r="F11" t="s">
        <v>1019</v>
      </c>
      <c r="G11">
        <v>20</v>
      </c>
      <c r="H11">
        <v>0</v>
      </c>
      <c r="I11">
        <v>0</v>
      </c>
      <c r="J11">
        <v>0</v>
      </c>
      <c r="K11">
        <v>0</v>
      </c>
      <c r="L11">
        <v>0.3</v>
      </c>
      <c r="M11">
        <v>7.5</v>
      </c>
      <c r="N11">
        <v>0</v>
      </c>
      <c r="O11">
        <v>0</v>
      </c>
      <c r="P11" s="2">
        <f>(H11 + J11) - (L11 + N11)</f>
        <v>0</v>
      </c>
      <c r="Q11" s="2">
        <f>P11 * G11</f>
        <v>0</v>
      </c>
      <c r="R11">
        <v>0</v>
      </c>
      <c r="S11" s="2">
        <f>R11 * G11</f>
        <v>0</v>
      </c>
      <c r="T11" s="2">
        <f>(H11 + J11) - (L11 + N11) - R11</f>
        <v>0</v>
      </c>
      <c r="U11" s="2">
        <f>T11 * G11</f>
        <v>0</v>
      </c>
      <c r="V11" s="2">
        <f>I11 + K11 - S11</f>
        <v>0</v>
      </c>
      <c r="W11" s="2">
        <f>M11 - V11</f>
        <v>0</v>
      </c>
      <c r="X11" s="2">
        <f>IFERROR(W11 / M11 * 100, 0)</f>
        <v>0</v>
      </c>
    </row>
    <row r="12" spans="1:24">
      <c r="A12" t="s">
        <v>34</v>
      </c>
      <c r="B12" t="s">
        <v>512</v>
      </c>
      <c r="C12" t="s">
        <v>525</v>
      </c>
      <c r="D12" t="s">
        <v>1007</v>
      </c>
      <c r="E12" t="s">
        <v>1009</v>
      </c>
      <c r="F12" t="s">
        <v>1020</v>
      </c>
      <c r="G12">
        <v>28.57</v>
      </c>
      <c r="H12">
        <v>0</v>
      </c>
      <c r="I12">
        <v>0</v>
      </c>
      <c r="J12">
        <v>25</v>
      </c>
      <c r="K12">
        <v>692.92</v>
      </c>
      <c r="L12">
        <v>11.37</v>
      </c>
      <c r="M12">
        <v>319.66</v>
      </c>
      <c r="N12">
        <v>5</v>
      </c>
      <c r="O12">
        <v>142.47</v>
      </c>
      <c r="P12" s="2">
        <f>(H12 + J12) - (L12 + N12)</f>
        <v>0</v>
      </c>
      <c r="Q12" s="2">
        <f>P12 * G12</f>
        <v>0</v>
      </c>
      <c r="R12">
        <v>0</v>
      </c>
      <c r="S12" s="2">
        <f>R12 * G12</f>
        <v>0</v>
      </c>
      <c r="T12" s="2">
        <f>(H12 + J12) - (L12 + N12) - R12</f>
        <v>0</v>
      </c>
      <c r="U12" s="2">
        <f>T12 * G12</f>
        <v>0</v>
      </c>
      <c r="V12" s="2">
        <f>I12 + K12 - S12</f>
        <v>0</v>
      </c>
      <c r="W12" s="2">
        <f>M12 - V12</f>
        <v>0</v>
      </c>
      <c r="X12" s="2">
        <f>IFERROR(W12 / M12 * 100, 0)</f>
        <v>0</v>
      </c>
    </row>
    <row r="13" spans="1:24">
      <c r="A13" t="s">
        <v>35</v>
      </c>
      <c r="B13" t="s">
        <v>512</v>
      </c>
      <c r="C13" t="s">
        <v>526</v>
      </c>
      <c r="D13" t="s">
        <v>1007</v>
      </c>
      <c r="E13" t="s">
        <v>1009</v>
      </c>
      <c r="F13" t="s">
        <v>1021</v>
      </c>
      <c r="G13">
        <v>2.75</v>
      </c>
      <c r="H13">
        <v>0</v>
      </c>
      <c r="I13">
        <v>0</v>
      </c>
      <c r="J13">
        <v>0</v>
      </c>
      <c r="K13">
        <v>0</v>
      </c>
      <c r="L13">
        <v>1.06</v>
      </c>
      <c r="M13">
        <v>4.25</v>
      </c>
      <c r="N13">
        <v>0</v>
      </c>
      <c r="O13">
        <v>0</v>
      </c>
      <c r="P13" s="2">
        <f>(H13 + J13) - (L13 + N13)</f>
        <v>0</v>
      </c>
      <c r="Q13" s="2">
        <f>P13 * G13</f>
        <v>0</v>
      </c>
      <c r="R13">
        <v>0</v>
      </c>
      <c r="S13" s="2">
        <f>R13 * G13</f>
        <v>0</v>
      </c>
      <c r="T13" s="2">
        <f>(H13 + J13) - (L13 + N13) - R13</f>
        <v>0</v>
      </c>
      <c r="U13" s="2">
        <f>T13 * G13</f>
        <v>0</v>
      </c>
      <c r="V13" s="2">
        <f>I13 + K13 - S13</f>
        <v>0</v>
      </c>
      <c r="W13" s="2">
        <f>M13 - V13</f>
        <v>0</v>
      </c>
      <c r="X13" s="2">
        <f>IFERROR(W13 / M13 * 100, 0)</f>
        <v>0</v>
      </c>
    </row>
    <row r="14" spans="1:24">
      <c r="A14" t="s">
        <v>36</v>
      </c>
      <c r="B14" t="s">
        <v>512</v>
      </c>
      <c r="C14" t="s">
        <v>527</v>
      </c>
      <c r="D14" t="s">
        <v>1008</v>
      </c>
      <c r="E14" t="s">
        <v>1009</v>
      </c>
      <c r="F14" t="s">
        <v>1022</v>
      </c>
      <c r="G14">
        <v>5.5</v>
      </c>
      <c r="H14">
        <v>82</v>
      </c>
      <c r="I14">
        <v>451</v>
      </c>
      <c r="J14">
        <v>52</v>
      </c>
      <c r="K14">
        <v>286</v>
      </c>
      <c r="L14">
        <v>83</v>
      </c>
      <c r="M14">
        <v>560.25</v>
      </c>
      <c r="N14">
        <v>0</v>
      </c>
      <c r="O14">
        <v>0</v>
      </c>
      <c r="P14" s="2">
        <f>(H14 + J14) - (L14 + N14)</f>
        <v>0</v>
      </c>
      <c r="Q14" s="2">
        <f>P14 * G14</f>
        <v>0</v>
      </c>
      <c r="R14">
        <v>49</v>
      </c>
      <c r="S14" s="2">
        <f>R14 * G14</f>
        <v>0</v>
      </c>
      <c r="T14" s="2">
        <f>(H14 + J14) - (L14 + N14) - R14</f>
        <v>0</v>
      </c>
      <c r="U14" s="2">
        <f>T14 * G14</f>
        <v>0</v>
      </c>
      <c r="V14" s="2">
        <f>I14 + K14 - S14</f>
        <v>0</v>
      </c>
      <c r="W14" s="2">
        <f>M14 - V14</f>
        <v>0</v>
      </c>
      <c r="X14" s="2">
        <f>IFERROR(W14 / M14 * 100, 0)</f>
        <v>0</v>
      </c>
    </row>
    <row r="15" spans="1:24">
      <c r="A15" t="s">
        <v>37</v>
      </c>
      <c r="B15" t="s">
        <v>512</v>
      </c>
      <c r="C15" t="s">
        <v>528</v>
      </c>
      <c r="D15" t="s">
        <v>1008</v>
      </c>
      <c r="E15" t="s">
        <v>1009</v>
      </c>
      <c r="F15" t="s">
        <v>1023</v>
      </c>
      <c r="G15">
        <v>5.5</v>
      </c>
      <c r="H15">
        <v>3</v>
      </c>
      <c r="I15">
        <v>16.5</v>
      </c>
      <c r="J15">
        <v>16</v>
      </c>
      <c r="K15">
        <v>88</v>
      </c>
      <c r="L15">
        <v>9</v>
      </c>
      <c r="M15">
        <v>63</v>
      </c>
      <c r="N15">
        <v>0</v>
      </c>
      <c r="O15">
        <v>0</v>
      </c>
      <c r="P15" s="2">
        <f>(H15 + J15) - (L15 + N15)</f>
        <v>0</v>
      </c>
      <c r="Q15" s="2">
        <f>P15 * G15</f>
        <v>0</v>
      </c>
      <c r="R15">
        <v>15</v>
      </c>
      <c r="S15" s="2">
        <f>R15 * G15</f>
        <v>0</v>
      </c>
      <c r="T15" s="2">
        <f>(H15 + J15) - (L15 + N15) - R15</f>
        <v>0</v>
      </c>
      <c r="U15" s="2">
        <f>T15 * G15</f>
        <v>0</v>
      </c>
      <c r="V15" s="2">
        <f>I15 + K15 - S15</f>
        <v>0</v>
      </c>
      <c r="W15" s="2">
        <f>M15 - V15</f>
        <v>0</v>
      </c>
      <c r="X15" s="2">
        <f>IFERROR(W15 / M15 * 100, 0)</f>
        <v>0</v>
      </c>
    </row>
    <row r="16" spans="1:24">
      <c r="A16" t="s">
        <v>38</v>
      </c>
      <c r="B16" t="s">
        <v>512</v>
      </c>
      <c r="C16" t="s">
        <v>529</v>
      </c>
      <c r="D16" t="s">
        <v>1007</v>
      </c>
      <c r="E16" t="s">
        <v>1009</v>
      </c>
      <c r="F16" t="s">
        <v>1024</v>
      </c>
      <c r="G16">
        <v>9.5</v>
      </c>
      <c r="H16">
        <v>0</v>
      </c>
      <c r="I16">
        <v>0</v>
      </c>
      <c r="J16">
        <v>0</v>
      </c>
      <c r="K16">
        <v>0</v>
      </c>
      <c r="L16">
        <v>0.37</v>
      </c>
      <c r="M16">
        <v>4.2</v>
      </c>
      <c r="N16">
        <v>0</v>
      </c>
      <c r="O16">
        <v>0</v>
      </c>
      <c r="P16" s="2">
        <f>(H16 + J16) - (L16 + N16)</f>
        <v>0</v>
      </c>
      <c r="Q16" s="2">
        <f>P16 * G16</f>
        <v>0</v>
      </c>
      <c r="R16">
        <v>0</v>
      </c>
      <c r="S16" s="2">
        <f>R16 * G16</f>
        <v>0</v>
      </c>
      <c r="T16" s="2">
        <f>(H16 + J16) - (L16 + N16) - R16</f>
        <v>0</v>
      </c>
      <c r="U16" s="2">
        <f>T16 * G16</f>
        <v>0</v>
      </c>
      <c r="V16" s="2">
        <f>I16 + K16 - S16</f>
        <v>0</v>
      </c>
      <c r="W16" s="2">
        <f>M16 - V16</f>
        <v>0</v>
      </c>
      <c r="X16" s="2">
        <f>IFERROR(W16 / M16 * 100, 0)</f>
        <v>0</v>
      </c>
    </row>
    <row r="17" spans="1:24">
      <c r="A17" t="s">
        <v>39</v>
      </c>
      <c r="B17" t="s">
        <v>512</v>
      </c>
      <c r="C17" t="s">
        <v>530</v>
      </c>
      <c r="D17" t="s">
        <v>1007</v>
      </c>
      <c r="E17" t="s">
        <v>1009</v>
      </c>
      <c r="F17" t="s">
        <v>1025</v>
      </c>
      <c r="G17">
        <v>6.09</v>
      </c>
      <c r="H17">
        <v>0</v>
      </c>
      <c r="I17">
        <v>0</v>
      </c>
      <c r="J17">
        <v>377.5</v>
      </c>
      <c r="K17">
        <v>2115</v>
      </c>
      <c r="L17">
        <v>409.67</v>
      </c>
      <c r="M17">
        <v>3815.02</v>
      </c>
      <c r="N17">
        <v>3</v>
      </c>
      <c r="O17">
        <v>18.51</v>
      </c>
      <c r="P17" s="2">
        <f>(H17 + J17) - (L17 + N17)</f>
        <v>0</v>
      </c>
      <c r="Q17" s="2">
        <f>P17 * G17</f>
        <v>0</v>
      </c>
      <c r="R17">
        <v>0</v>
      </c>
      <c r="S17" s="2">
        <f>R17 * G17</f>
        <v>0</v>
      </c>
      <c r="T17" s="2">
        <f>(H17 + J17) - (L17 + N17) - R17</f>
        <v>0</v>
      </c>
      <c r="U17" s="2">
        <f>T17 * G17</f>
        <v>0</v>
      </c>
      <c r="V17" s="2">
        <f>I17 + K17 - S17</f>
        <v>0</v>
      </c>
      <c r="W17" s="2">
        <f>M17 - V17</f>
        <v>0</v>
      </c>
      <c r="X17" s="2">
        <f>IFERROR(W17 / M17 * 100, 0)</f>
        <v>0</v>
      </c>
    </row>
    <row r="18" spans="1:24">
      <c r="A18" t="s">
        <v>40</v>
      </c>
      <c r="B18" t="s">
        <v>512</v>
      </c>
      <c r="C18" t="s">
        <v>531</v>
      </c>
      <c r="D18" t="s">
        <v>1007</v>
      </c>
      <c r="E18" t="s">
        <v>1009</v>
      </c>
      <c r="F18" t="s">
        <v>1026</v>
      </c>
      <c r="G18">
        <v>10.3</v>
      </c>
      <c r="H18">
        <v>140.1</v>
      </c>
      <c r="I18">
        <v>1310.11</v>
      </c>
      <c r="J18">
        <v>2868.5</v>
      </c>
      <c r="K18">
        <v>28497.29</v>
      </c>
      <c r="L18">
        <v>2662.67</v>
      </c>
      <c r="M18">
        <v>31872.22</v>
      </c>
      <c r="N18">
        <v>37</v>
      </c>
      <c r="O18">
        <v>368.56</v>
      </c>
      <c r="P18" s="2">
        <f>(H18 + J18) - (L18 + N18)</f>
        <v>0</v>
      </c>
      <c r="Q18" s="2">
        <f>P18 * G18</f>
        <v>0</v>
      </c>
      <c r="R18">
        <v>275.2</v>
      </c>
      <c r="S18" s="2">
        <f>R18 * G18</f>
        <v>0</v>
      </c>
      <c r="T18" s="2">
        <f>(H18 + J18) - (L18 + N18) - R18</f>
        <v>0</v>
      </c>
      <c r="U18" s="2">
        <f>T18 * G18</f>
        <v>0</v>
      </c>
      <c r="V18" s="2">
        <f>I18 + K18 - S18</f>
        <v>0</v>
      </c>
      <c r="W18" s="2">
        <f>M18 - V18</f>
        <v>0</v>
      </c>
      <c r="X18" s="2">
        <f>IFERROR(W18 / M18 * 100, 0)</f>
        <v>0</v>
      </c>
    </row>
    <row r="19" spans="1:24">
      <c r="A19" t="s">
        <v>41</v>
      </c>
      <c r="B19" t="s">
        <v>512</v>
      </c>
      <c r="C19" t="s">
        <v>532</v>
      </c>
      <c r="D19" t="s">
        <v>1007</v>
      </c>
      <c r="E19" t="s">
        <v>1009</v>
      </c>
      <c r="F19" t="s">
        <v>1027</v>
      </c>
      <c r="G19">
        <v>4.67</v>
      </c>
      <c r="H19">
        <v>129.4</v>
      </c>
      <c r="I19">
        <v>533.65</v>
      </c>
      <c r="J19">
        <v>1620.38</v>
      </c>
      <c r="K19">
        <v>6637.05</v>
      </c>
      <c r="L19">
        <v>1682.69</v>
      </c>
      <c r="M19">
        <v>8454.23</v>
      </c>
      <c r="N19">
        <v>44</v>
      </c>
      <c r="O19">
        <v>169.92</v>
      </c>
      <c r="P19" s="2">
        <f>(H19 + J19) - (L19 + N19)</f>
        <v>0</v>
      </c>
      <c r="Q19" s="2">
        <f>P19 * G19</f>
        <v>0</v>
      </c>
      <c r="R19">
        <v>89</v>
      </c>
      <c r="S19" s="2">
        <f>R19 * G19</f>
        <v>0</v>
      </c>
      <c r="T19" s="2">
        <f>(H19 + J19) - (L19 + N19) - R19</f>
        <v>0</v>
      </c>
      <c r="U19" s="2">
        <f>T19 * G19</f>
        <v>0</v>
      </c>
      <c r="V19" s="2">
        <f>I19 + K19 - S19</f>
        <v>0</v>
      </c>
      <c r="W19" s="2">
        <f>M19 - V19</f>
        <v>0</v>
      </c>
      <c r="X19" s="2">
        <f>IFERROR(W19 / M19 * 100, 0)</f>
        <v>0</v>
      </c>
    </row>
    <row r="20" spans="1:24">
      <c r="A20" t="s">
        <v>42</v>
      </c>
      <c r="B20" t="s">
        <v>513</v>
      </c>
      <c r="C20" t="s">
        <v>533</v>
      </c>
      <c r="D20" t="s">
        <v>1007</v>
      </c>
      <c r="E20" t="s">
        <v>1009</v>
      </c>
      <c r="F20" t="s">
        <v>1028</v>
      </c>
      <c r="G20">
        <v>6.94</v>
      </c>
      <c r="H20">
        <v>0</v>
      </c>
      <c r="I20">
        <v>0</v>
      </c>
      <c r="J20">
        <v>0</v>
      </c>
      <c r="K20">
        <v>0</v>
      </c>
      <c r="L20">
        <v>1.14</v>
      </c>
      <c r="M20">
        <v>8.51</v>
      </c>
      <c r="N20">
        <v>0</v>
      </c>
      <c r="O20">
        <v>0</v>
      </c>
      <c r="P20" s="2">
        <f>(H20 + J20) - (L20 + N20)</f>
        <v>0</v>
      </c>
      <c r="Q20" s="2">
        <f>P20 * G20</f>
        <v>0</v>
      </c>
      <c r="R20">
        <v>0</v>
      </c>
      <c r="S20" s="2">
        <f>R20 * G20</f>
        <v>0</v>
      </c>
      <c r="T20" s="2">
        <f>(H20 + J20) - (L20 + N20) - R20</f>
        <v>0</v>
      </c>
      <c r="U20" s="2">
        <f>T20 * G20</f>
        <v>0</v>
      </c>
      <c r="V20" s="2">
        <f>I20 + K20 - S20</f>
        <v>0</v>
      </c>
      <c r="W20" s="2">
        <f>M20 - V20</f>
        <v>0</v>
      </c>
      <c r="X20" s="2">
        <f>IFERROR(W20 / M20 * 100, 0)</f>
        <v>0</v>
      </c>
    </row>
    <row r="21" spans="1:24">
      <c r="A21" t="s">
        <v>43</v>
      </c>
      <c r="B21" t="s">
        <v>512</v>
      </c>
      <c r="C21" t="s">
        <v>534</v>
      </c>
      <c r="D21" t="s">
        <v>1008</v>
      </c>
      <c r="E21" t="s">
        <v>1009</v>
      </c>
      <c r="F21" t="s">
        <v>1029</v>
      </c>
      <c r="G21">
        <v>8</v>
      </c>
      <c r="H21">
        <v>0</v>
      </c>
      <c r="I21">
        <v>0</v>
      </c>
      <c r="J21">
        <v>0</v>
      </c>
      <c r="K21">
        <v>0</v>
      </c>
      <c r="L21">
        <v>1</v>
      </c>
      <c r="M21">
        <v>3</v>
      </c>
      <c r="N21">
        <v>0</v>
      </c>
      <c r="O21">
        <v>0</v>
      </c>
      <c r="P21" s="2">
        <f>(H21 + J21) - (L21 + N21)</f>
        <v>0</v>
      </c>
      <c r="Q21" s="2">
        <f>P21 * G21</f>
        <v>0</v>
      </c>
      <c r="R21">
        <v>0</v>
      </c>
      <c r="S21" s="2">
        <f>R21 * G21</f>
        <v>0</v>
      </c>
      <c r="T21" s="2">
        <f>(H21 + J21) - (L21 + N21) - R21</f>
        <v>0</v>
      </c>
      <c r="U21" s="2">
        <f>T21 * G21</f>
        <v>0</v>
      </c>
      <c r="V21" s="2">
        <f>I21 + K21 - S21</f>
        <v>0</v>
      </c>
      <c r="W21" s="2">
        <f>M21 - V21</f>
        <v>0</v>
      </c>
      <c r="X21" s="2">
        <f>IFERROR(W21 / M21 * 100, 0)</f>
        <v>0</v>
      </c>
    </row>
    <row r="22" spans="1:24">
      <c r="A22" t="s">
        <v>44</v>
      </c>
      <c r="B22" t="s">
        <v>512</v>
      </c>
      <c r="C22" t="s">
        <v>535</v>
      </c>
      <c r="D22" t="s">
        <v>1007</v>
      </c>
      <c r="E22" t="s">
        <v>1009</v>
      </c>
      <c r="F22" t="s">
        <v>1030</v>
      </c>
      <c r="G22">
        <v>4.56</v>
      </c>
      <c r="H22">
        <v>31.6</v>
      </c>
      <c r="I22">
        <v>145.15</v>
      </c>
      <c r="J22">
        <v>967.64</v>
      </c>
      <c r="K22">
        <v>4660.87</v>
      </c>
      <c r="L22">
        <v>774.05</v>
      </c>
      <c r="M22">
        <v>4131.98</v>
      </c>
      <c r="N22">
        <v>40</v>
      </c>
      <c r="O22">
        <v>186.04</v>
      </c>
      <c r="P22" s="2">
        <f>(H22 + J22) - (L22 + N22)</f>
        <v>0</v>
      </c>
      <c r="Q22" s="2">
        <f>P22 * G22</f>
        <v>0</v>
      </c>
      <c r="R22">
        <v>225.5</v>
      </c>
      <c r="S22" s="2">
        <f>R22 * G22</f>
        <v>0</v>
      </c>
      <c r="T22" s="2">
        <f>(H22 + J22) - (L22 + N22) - R22</f>
        <v>0</v>
      </c>
      <c r="U22" s="2">
        <f>T22 * G22</f>
        <v>0</v>
      </c>
      <c r="V22" s="2">
        <f>I22 + K22 - S22</f>
        <v>0</v>
      </c>
      <c r="W22" s="2">
        <f>M22 - V22</f>
        <v>0</v>
      </c>
      <c r="X22" s="2">
        <f>IFERROR(W22 / M22 * 100, 0)</f>
        <v>0</v>
      </c>
    </row>
    <row r="23" spans="1:24">
      <c r="A23" t="s">
        <v>45</v>
      </c>
      <c r="B23" t="s">
        <v>512</v>
      </c>
      <c r="C23" t="s">
        <v>536</v>
      </c>
      <c r="D23" t="s">
        <v>1007</v>
      </c>
      <c r="E23" t="s">
        <v>1009</v>
      </c>
      <c r="F23" t="s">
        <v>1031</v>
      </c>
      <c r="G23">
        <v>7.5</v>
      </c>
      <c r="H23">
        <v>0</v>
      </c>
      <c r="I23">
        <v>0</v>
      </c>
      <c r="J23">
        <v>0</v>
      </c>
      <c r="K23">
        <v>0</v>
      </c>
      <c r="L23">
        <v>2.38</v>
      </c>
      <c r="M23">
        <v>20.84</v>
      </c>
      <c r="N23">
        <v>0</v>
      </c>
      <c r="O23">
        <v>0</v>
      </c>
      <c r="P23" s="2">
        <f>(H23 + J23) - (L23 + N23)</f>
        <v>0</v>
      </c>
      <c r="Q23" s="2">
        <f>P23 * G23</f>
        <v>0</v>
      </c>
      <c r="R23">
        <v>0</v>
      </c>
      <c r="S23" s="2">
        <f>R23 * G23</f>
        <v>0</v>
      </c>
      <c r="T23" s="2">
        <f>(H23 + J23) - (L23 + N23) - R23</f>
        <v>0</v>
      </c>
      <c r="U23" s="2">
        <f>T23 * G23</f>
        <v>0</v>
      </c>
      <c r="V23" s="2">
        <f>I23 + K23 - S23</f>
        <v>0</v>
      </c>
      <c r="W23" s="2">
        <f>M23 - V23</f>
        <v>0</v>
      </c>
      <c r="X23" s="2">
        <f>IFERROR(W23 / M23 * 100, 0)</f>
        <v>0</v>
      </c>
    </row>
    <row r="24" spans="1:24">
      <c r="A24" t="s">
        <v>46</v>
      </c>
      <c r="B24" t="s">
        <v>512</v>
      </c>
      <c r="C24" t="s">
        <v>537</v>
      </c>
      <c r="D24" t="s">
        <v>1007</v>
      </c>
      <c r="E24" t="s">
        <v>1009</v>
      </c>
      <c r="F24" t="s">
        <v>1032</v>
      </c>
      <c r="G24">
        <v>4.92</v>
      </c>
      <c r="H24">
        <v>0</v>
      </c>
      <c r="I24">
        <v>0</v>
      </c>
      <c r="J24">
        <v>0</v>
      </c>
      <c r="K24">
        <v>0</v>
      </c>
      <c r="L24">
        <v>1.6</v>
      </c>
      <c r="M24">
        <v>12</v>
      </c>
      <c r="N24">
        <v>0</v>
      </c>
      <c r="O24">
        <v>0</v>
      </c>
      <c r="P24" s="2">
        <f>(H24 + J24) - (L24 + N24)</f>
        <v>0</v>
      </c>
      <c r="Q24" s="2">
        <f>P24 * G24</f>
        <v>0</v>
      </c>
      <c r="R24">
        <v>0</v>
      </c>
      <c r="S24" s="2">
        <f>R24 * G24</f>
        <v>0</v>
      </c>
      <c r="T24" s="2">
        <f>(H24 + J24) - (L24 + N24) - R24</f>
        <v>0</v>
      </c>
      <c r="U24" s="2">
        <f>T24 * G24</f>
        <v>0</v>
      </c>
      <c r="V24" s="2">
        <f>I24 + K24 - S24</f>
        <v>0</v>
      </c>
      <c r="W24" s="2">
        <f>M24 - V24</f>
        <v>0</v>
      </c>
      <c r="X24" s="2">
        <f>IFERROR(W24 / M24 * 100, 0)</f>
        <v>0</v>
      </c>
    </row>
    <row r="25" spans="1:24">
      <c r="A25" t="s">
        <v>47</v>
      </c>
      <c r="B25" t="s">
        <v>512</v>
      </c>
      <c r="C25" t="s">
        <v>538</v>
      </c>
      <c r="D25" t="s">
        <v>1007</v>
      </c>
      <c r="E25" t="s">
        <v>1009</v>
      </c>
      <c r="F25" t="s">
        <v>1033</v>
      </c>
      <c r="G25">
        <v>9.779999999999999</v>
      </c>
      <c r="H25">
        <v>11</v>
      </c>
      <c r="I25">
        <v>110.13</v>
      </c>
      <c r="J25">
        <v>4</v>
      </c>
      <c r="K25">
        <v>34</v>
      </c>
      <c r="L25">
        <v>11.37</v>
      </c>
      <c r="M25">
        <v>142.2</v>
      </c>
      <c r="N25">
        <v>3.63</v>
      </c>
      <c r="O25">
        <v>35.49</v>
      </c>
      <c r="P25" s="2">
        <f>(H25 + J25) - (L25 + N25)</f>
        <v>0</v>
      </c>
      <c r="Q25" s="2">
        <f>P25 * G25</f>
        <v>0</v>
      </c>
      <c r="R25">
        <v>0</v>
      </c>
      <c r="S25" s="2">
        <f>R25 * G25</f>
        <v>0</v>
      </c>
      <c r="T25" s="2">
        <f>(H25 + J25) - (L25 + N25) - R25</f>
        <v>0</v>
      </c>
      <c r="U25" s="2">
        <f>T25 * G25</f>
        <v>0</v>
      </c>
      <c r="V25" s="2">
        <f>I25 + K25 - S25</f>
        <v>0</v>
      </c>
      <c r="W25" s="2">
        <f>M25 - V25</f>
        <v>0</v>
      </c>
      <c r="X25" s="2">
        <f>IFERROR(W25 / M25 * 100, 0)</f>
        <v>0</v>
      </c>
    </row>
    <row r="26" spans="1:24">
      <c r="A26" t="s">
        <v>48</v>
      </c>
      <c r="B26" t="s">
        <v>512</v>
      </c>
      <c r="C26" t="s">
        <v>539</v>
      </c>
      <c r="D26" t="s">
        <v>1008</v>
      </c>
      <c r="E26" t="s">
        <v>1009</v>
      </c>
      <c r="F26" t="s">
        <v>1034</v>
      </c>
      <c r="G26">
        <v>7</v>
      </c>
      <c r="H26">
        <v>0</v>
      </c>
      <c r="I26">
        <v>0</v>
      </c>
      <c r="J26">
        <v>16</v>
      </c>
      <c r="K26">
        <v>118.75</v>
      </c>
      <c r="L26">
        <v>4</v>
      </c>
      <c r="M26">
        <v>44</v>
      </c>
      <c r="N26">
        <v>3</v>
      </c>
      <c r="O26">
        <v>23.85</v>
      </c>
      <c r="P26" s="2">
        <f>(H26 + J26) - (L26 + N26)</f>
        <v>0</v>
      </c>
      <c r="Q26" s="2">
        <f>P26 * G26</f>
        <v>0</v>
      </c>
      <c r="R26">
        <v>8</v>
      </c>
      <c r="S26" s="2">
        <f>R26 * G26</f>
        <v>0</v>
      </c>
      <c r="T26" s="2">
        <f>(H26 + J26) - (L26 + N26) - R26</f>
        <v>0</v>
      </c>
      <c r="U26" s="2">
        <f>T26 * G26</f>
        <v>0</v>
      </c>
      <c r="V26" s="2">
        <f>I26 + K26 - S26</f>
        <v>0</v>
      </c>
      <c r="W26" s="2">
        <f>M26 - V26</f>
        <v>0</v>
      </c>
      <c r="X26" s="2">
        <f>IFERROR(W26 / M26 * 100, 0)</f>
        <v>0</v>
      </c>
    </row>
    <row r="27" spans="1:24">
      <c r="A27" t="s">
        <v>49</v>
      </c>
      <c r="B27" t="s">
        <v>512</v>
      </c>
      <c r="C27" t="s">
        <v>540</v>
      </c>
      <c r="D27" t="s">
        <v>1007</v>
      </c>
      <c r="E27" t="s">
        <v>1009</v>
      </c>
      <c r="F27" t="s">
        <v>1035</v>
      </c>
      <c r="G27">
        <v>10.64</v>
      </c>
      <c r="H27">
        <v>6.5</v>
      </c>
      <c r="I27">
        <v>59.83</v>
      </c>
      <c r="J27">
        <v>81.5</v>
      </c>
      <c r="K27">
        <v>801.15</v>
      </c>
      <c r="L27">
        <v>50.27</v>
      </c>
      <c r="M27">
        <v>628.45</v>
      </c>
      <c r="N27">
        <v>21</v>
      </c>
      <c r="O27">
        <v>192.11</v>
      </c>
      <c r="P27" s="2">
        <f>(H27 + J27) - (L27 + N27)</f>
        <v>0</v>
      </c>
      <c r="Q27" s="2">
        <f>P27 * G27</f>
        <v>0</v>
      </c>
      <c r="R27">
        <v>25</v>
      </c>
      <c r="S27" s="2">
        <f>R27 * G27</f>
        <v>0</v>
      </c>
      <c r="T27" s="2">
        <f>(H27 + J27) - (L27 + N27) - R27</f>
        <v>0</v>
      </c>
      <c r="U27" s="2">
        <f>T27 * G27</f>
        <v>0</v>
      </c>
      <c r="V27" s="2">
        <f>I27 + K27 - S27</f>
        <v>0</v>
      </c>
      <c r="W27" s="2">
        <f>M27 - V27</f>
        <v>0</v>
      </c>
      <c r="X27" s="2">
        <f>IFERROR(W27 / M27 * 100, 0)</f>
        <v>0</v>
      </c>
    </row>
    <row r="28" spans="1:24">
      <c r="A28" t="s">
        <v>50</v>
      </c>
      <c r="B28" t="s">
        <v>512</v>
      </c>
      <c r="C28" t="s">
        <v>541</v>
      </c>
      <c r="D28" t="s">
        <v>1007</v>
      </c>
      <c r="E28" t="s">
        <v>1009</v>
      </c>
      <c r="F28" t="s">
        <v>1036</v>
      </c>
      <c r="G28">
        <v>2.85</v>
      </c>
      <c r="H28">
        <v>0</v>
      </c>
      <c r="I28">
        <v>0</v>
      </c>
      <c r="J28">
        <v>0</v>
      </c>
      <c r="K28">
        <v>0</v>
      </c>
      <c r="L28">
        <v>1.03</v>
      </c>
      <c r="M28">
        <v>4.65</v>
      </c>
      <c r="N28">
        <v>0</v>
      </c>
      <c r="O28">
        <v>0</v>
      </c>
      <c r="P28" s="2">
        <f>(H28 + J28) - (L28 + N28)</f>
        <v>0</v>
      </c>
      <c r="Q28" s="2">
        <f>P28 * G28</f>
        <v>0</v>
      </c>
      <c r="R28">
        <v>0</v>
      </c>
      <c r="S28" s="2">
        <f>R28 * G28</f>
        <v>0</v>
      </c>
      <c r="T28" s="2">
        <f>(H28 + J28) - (L28 + N28) - R28</f>
        <v>0</v>
      </c>
      <c r="U28" s="2">
        <f>T28 * G28</f>
        <v>0</v>
      </c>
      <c r="V28" s="2">
        <f>I28 + K28 - S28</f>
        <v>0</v>
      </c>
      <c r="W28" s="2">
        <f>M28 - V28</f>
        <v>0</v>
      </c>
      <c r="X28" s="2">
        <f>IFERROR(W28 / M28 * 100, 0)</f>
        <v>0</v>
      </c>
    </row>
    <row r="29" spans="1:24">
      <c r="A29" t="s">
        <v>51</v>
      </c>
      <c r="B29" t="s">
        <v>512</v>
      </c>
      <c r="C29" t="s">
        <v>542</v>
      </c>
      <c r="D29" t="s">
        <v>1007</v>
      </c>
      <c r="E29" t="s">
        <v>1009</v>
      </c>
      <c r="F29" t="s">
        <v>1037</v>
      </c>
      <c r="G29">
        <v>5.56</v>
      </c>
      <c r="H29">
        <v>91.8</v>
      </c>
      <c r="I29">
        <v>566.61</v>
      </c>
      <c r="J29">
        <v>931</v>
      </c>
      <c r="K29">
        <v>5804.7</v>
      </c>
      <c r="L29">
        <v>843.84</v>
      </c>
      <c r="M29">
        <v>6328.88</v>
      </c>
      <c r="N29">
        <v>108</v>
      </c>
      <c r="O29">
        <v>638.45</v>
      </c>
      <c r="P29" s="2">
        <f>(H29 + J29) - (L29 + N29)</f>
        <v>0</v>
      </c>
      <c r="Q29" s="2">
        <f>P29 * G29</f>
        <v>0</v>
      </c>
      <c r="R29">
        <v>97.09999999999999</v>
      </c>
      <c r="S29" s="2">
        <f>R29 * G29</f>
        <v>0</v>
      </c>
      <c r="T29" s="2">
        <f>(H29 + J29) - (L29 + N29) - R29</f>
        <v>0</v>
      </c>
      <c r="U29" s="2">
        <f>T29 * G29</f>
        <v>0</v>
      </c>
      <c r="V29" s="2">
        <f>I29 + K29 - S29</f>
        <v>0</v>
      </c>
      <c r="W29" s="2">
        <f>M29 - V29</f>
        <v>0</v>
      </c>
      <c r="X29" s="2">
        <f>IFERROR(W29 / M29 * 100, 0)</f>
        <v>0</v>
      </c>
    </row>
    <row r="30" spans="1:24">
      <c r="A30" t="s">
        <v>52</v>
      </c>
      <c r="B30" t="s">
        <v>512</v>
      </c>
      <c r="C30" t="s">
        <v>543</v>
      </c>
      <c r="D30" t="s">
        <v>1007</v>
      </c>
      <c r="E30" t="s">
        <v>1009</v>
      </c>
      <c r="F30" t="s">
        <v>1038</v>
      </c>
      <c r="G30">
        <v>10.75</v>
      </c>
      <c r="H30">
        <v>0</v>
      </c>
      <c r="I30">
        <v>0</v>
      </c>
      <c r="J30">
        <v>36</v>
      </c>
      <c r="K30">
        <v>387</v>
      </c>
      <c r="L30">
        <v>20.66</v>
      </c>
      <c r="M30">
        <v>299.54</v>
      </c>
      <c r="N30">
        <v>15</v>
      </c>
      <c r="O30">
        <v>161.25</v>
      </c>
      <c r="P30" s="2">
        <f>(H30 + J30) - (L30 + N30)</f>
        <v>0</v>
      </c>
      <c r="Q30" s="2">
        <f>P30 * G30</f>
        <v>0</v>
      </c>
      <c r="R30">
        <v>0</v>
      </c>
      <c r="S30" s="2">
        <f>R30 * G30</f>
        <v>0</v>
      </c>
      <c r="T30" s="2">
        <f>(H30 + J30) - (L30 + N30) - R30</f>
        <v>0</v>
      </c>
      <c r="U30" s="2">
        <f>T30 * G30</f>
        <v>0</v>
      </c>
      <c r="V30" s="2">
        <f>I30 + K30 - S30</f>
        <v>0</v>
      </c>
      <c r="W30" s="2">
        <f>M30 - V30</f>
        <v>0</v>
      </c>
      <c r="X30" s="2">
        <f>IFERROR(W30 / M30 * 100, 0)</f>
        <v>0</v>
      </c>
    </row>
    <row r="31" spans="1:24">
      <c r="A31" t="s">
        <v>53</v>
      </c>
      <c r="B31" t="s">
        <v>512</v>
      </c>
      <c r="C31" t="s">
        <v>544</v>
      </c>
      <c r="D31" t="s">
        <v>1007</v>
      </c>
      <c r="E31" t="s">
        <v>1009</v>
      </c>
      <c r="F31" t="s">
        <v>1039</v>
      </c>
      <c r="G31">
        <v>8.5</v>
      </c>
      <c r="H31">
        <v>0</v>
      </c>
      <c r="I31">
        <v>0</v>
      </c>
      <c r="J31">
        <v>0</v>
      </c>
      <c r="K31">
        <v>0</v>
      </c>
      <c r="L31">
        <v>0.12</v>
      </c>
      <c r="M31">
        <v>1.12</v>
      </c>
      <c r="N31">
        <v>0</v>
      </c>
      <c r="O31">
        <v>0</v>
      </c>
      <c r="P31" s="2">
        <f>(H31 + J31) - (L31 + N31)</f>
        <v>0</v>
      </c>
      <c r="Q31" s="2">
        <f>P31 * G31</f>
        <v>0</v>
      </c>
      <c r="R31">
        <v>0</v>
      </c>
      <c r="S31" s="2">
        <f>R31 * G31</f>
        <v>0</v>
      </c>
      <c r="T31" s="2">
        <f>(H31 + J31) - (L31 + N31) - R31</f>
        <v>0</v>
      </c>
      <c r="U31" s="2">
        <f>T31 * G31</f>
        <v>0</v>
      </c>
      <c r="V31" s="2">
        <f>I31 + K31 - S31</f>
        <v>0</v>
      </c>
      <c r="W31" s="2">
        <f>M31 - V31</f>
        <v>0</v>
      </c>
      <c r="X31" s="2">
        <f>IFERROR(W31 / M31 * 100, 0)</f>
        <v>0</v>
      </c>
    </row>
    <row r="32" spans="1:24">
      <c r="A32" t="s">
        <v>54</v>
      </c>
      <c r="B32" t="s">
        <v>512</v>
      </c>
      <c r="C32" t="s">
        <v>545</v>
      </c>
      <c r="D32" t="s">
        <v>1007</v>
      </c>
      <c r="E32" t="s">
        <v>1009</v>
      </c>
      <c r="F32" t="s">
        <v>1040</v>
      </c>
      <c r="G32">
        <v>6.5</v>
      </c>
      <c r="H32">
        <v>0</v>
      </c>
      <c r="I32">
        <v>0</v>
      </c>
      <c r="J32">
        <v>0</v>
      </c>
      <c r="K32">
        <v>0</v>
      </c>
      <c r="L32">
        <v>0.32</v>
      </c>
      <c r="M32">
        <v>0.8</v>
      </c>
      <c r="N32">
        <v>0</v>
      </c>
      <c r="O32">
        <v>0</v>
      </c>
      <c r="P32" s="2">
        <f>(H32 + J32) - (L32 + N32)</f>
        <v>0</v>
      </c>
      <c r="Q32" s="2">
        <f>P32 * G32</f>
        <v>0</v>
      </c>
      <c r="R32">
        <v>0</v>
      </c>
      <c r="S32" s="2">
        <f>R32 * G32</f>
        <v>0</v>
      </c>
      <c r="T32" s="2">
        <f>(H32 + J32) - (L32 + N32) - R32</f>
        <v>0</v>
      </c>
      <c r="U32" s="2">
        <f>T32 * G32</f>
        <v>0</v>
      </c>
      <c r="V32" s="2">
        <f>I32 + K32 - S32</f>
        <v>0</v>
      </c>
      <c r="W32" s="2">
        <f>M32 - V32</f>
        <v>0</v>
      </c>
      <c r="X32" s="2">
        <f>IFERROR(W32 / M32 * 100, 0)</f>
        <v>0</v>
      </c>
    </row>
    <row r="33" spans="1:24">
      <c r="A33" t="s">
        <v>55</v>
      </c>
      <c r="B33" t="s">
        <v>512</v>
      </c>
      <c r="C33" t="s">
        <v>546</v>
      </c>
      <c r="D33" t="s">
        <v>1007</v>
      </c>
      <c r="E33" t="s">
        <v>1009</v>
      </c>
      <c r="F33" t="s">
        <v>1041</v>
      </c>
      <c r="G33">
        <v>9.779999999999999</v>
      </c>
      <c r="H33">
        <v>7.2</v>
      </c>
      <c r="I33">
        <v>80.31999999999999</v>
      </c>
      <c r="J33">
        <v>51.5</v>
      </c>
      <c r="K33">
        <v>517.13</v>
      </c>
      <c r="L33">
        <v>43.97</v>
      </c>
      <c r="M33">
        <v>549.76</v>
      </c>
      <c r="N33">
        <v>1</v>
      </c>
      <c r="O33">
        <v>9.81</v>
      </c>
      <c r="P33" s="2">
        <f>(H33 + J33) - (L33 + N33)</f>
        <v>0</v>
      </c>
      <c r="Q33" s="2">
        <f>P33 * G33</f>
        <v>0</v>
      </c>
      <c r="R33">
        <v>3</v>
      </c>
      <c r="S33" s="2">
        <f>R33 * G33</f>
        <v>0</v>
      </c>
      <c r="T33" s="2">
        <f>(H33 + J33) - (L33 + N33) - R33</f>
        <v>0</v>
      </c>
      <c r="U33" s="2">
        <f>T33 * G33</f>
        <v>0</v>
      </c>
      <c r="V33" s="2">
        <f>I33 + K33 - S33</f>
        <v>0</v>
      </c>
      <c r="W33" s="2">
        <f>M33 - V33</f>
        <v>0</v>
      </c>
      <c r="X33" s="2">
        <f>IFERROR(W33 / M33 * 100, 0)</f>
        <v>0</v>
      </c>
    </row>
    <row r="34" spans="1:24">
      <c r="A34" t="s">
        <v>56</v>
      </c>
      <c r="B34" t="s">
        <v>512</v>
      </c>
      <c r="C34" t="s">
        <v>547</v>
      </c>
      <c r="D34" t="s">
        <v>1007</v>
      </c>
      <c r="E34" t="s">
        <v>1009</v>
      </c>
      <c r="F34" t="s">
        <v>1042</v>
      </c>
      <c r="G34">
        <v>4.75</v>
      </c>
      <c r="H34">
        <v>0</v>
      </c>
      <c r="I34">
        <v>0</v>
      </c>
      <c r="J34">
        <v>0</v>
      </c>
      <c r="K34">
        <v>0</v>
      </c>
      <c r="L34">
        <v>1.83</v>
      </c>
      <c r="M34">
        <v>9.15</v>
      </c>
      <c r="N34">
        <v>0</v>
      </c>
      <c r="O34">
        <v>0</v>
      </c>
      <c r="P34" s="2">
        <f>(H34 + J34) - (L34 + N34)</f>
        <v>0</v>
      </c>
      <c r="Q34" s="2">
        <f>P34 * G34</f>
        <v>0</v>
      </c>
      <c r="R34">
        <v>0</v>
      </c>
      <c r="S34" s="2">
        <f>R34 * G34</f>
        <v>0</v>
      </c>
      <c r="T34" s="2">
        <f>(H34 + J34) - (L34 + N34) - R34</f>
        <v>0</v>
      </c>
      <c r="U34" s="2">
        <f>T34 * G34</f>
        <v>0</v>
      </c>
      <c r="V34" s="2">
        <f>I34 + K34 - S34</f>
        <v>0</v>
      </c>
      <c r="W34" s="2">
        <f>M34 - V34</f>
        <v>0</v>
      </c>
      <c r="X34" s="2">
        <f>IFERROR(W34 / M34 * 100, 0)</f>
        <v>0</v>
      </c>
    </row>
    <row r="35" spans="1:24">
      <c r="A35" t="s">
        <v>57</v>
      </c>
      <c r="B35" t="s">
        <v>512</v>
      </c>
      <c r="C35" t="s">
        <v>548</v>
      </c>
      <c r="D35" t="s">
        <v>1007</v>
      </c>
      <c r="E35" t="s">
        <v>1009</v>
      </c>
      <c r="F35" t="s">
        <v>1043</v>
      </c>
      <c r="G35">
        <v>15.73</v>
      </c>
      <c r="H35">
        <v>10.3</v>
      </c>
      <c r="I35">
        <v>228.3</v>
      </c>
      <c r="J35">
        <v>114.3</v>
      </c>
      <c r="K35">
        <v>1903.93</v>
      </c>
      <c r="L35">
        <v>93.53</v>
      </c>
      <c r="M35">
        <v>2712.59</v>
      </c>
      <c r="N35">
        <v>10</v>
      </c>
      <c r="O35">
        <v>163.85</v>
      </c>
      <c r="P35" s="2">
        <f>(H35 + J35) - (L35 + N35)</f>
        <v>0</v>
      </c>
      <c r="Q35" s="2">
        <f>P35 * G35</f>
        <v>0</v>
      </c>
      <c r="R35">
        <v>9</v>
      </c>
      <c r="S35" s="2">
        <f>R35 * G35</f>
        <v>0</v>
      </c>
      <c r="T35" s="2">
        <f>(H35 + J35) - (L35 + N35) - R35</f>
        <v>0</v>
      </c>
      <c r="U35" s="2">
        <f>T35 * G35</f>
        <v>0</v>
      </c>
      <c r="V35" s="2">
        <f>I35 + K35 - S35</f>
        <v>0</v>
      </c>
      <c r="W35" s="2">
        <f>M35 - V35</f>
        <v>0</v>
      </c>
      <c r="X35" s="2">
        <f>IFERROR(W35 / M35 * 100, 0)</f>
        <v>0</v>
      </c>
    </row>
    <row r="36" spans="1:24">
      <c r="A36" t="s">
        <v>58</v>
      </c>
      <c r="B36" t="s">
        <v>512</v>
      </c>
      <c r="C36" t="s">
        <v>549</v>
      </c>
      <c r="D36" t="s">
        <v>1007</v>
      </c>
      <c r="E36" t="s">
        <v>1009</v>
      </c>
      <c r="F36" t="s">
        <v>1044</v>
      </c>
      <c r="G36">
        <v>15</v>
      </c>
      <c r="H36">
        <v>18.8</v>
      </c>
      <c r="I36">
        <v>282</v>
      </c>
      <c r="J36">
        <v>104.2</v>
      </c>
      <c r="K36">
        <v>1563</v>
      </c>
      <c r="L36">
        <v>104.32</v>
      </c>
      <c r="M36">
        <v>1930.07</v>
      </c>
      <c r="N36">
        <v>0</v>
      </c>
      <c r="O36">
        <v>0</v>
      </c>
      <c r="P36" s="2">
        <f>(H36 + J36) - (L36 + N36)</f>
        <v>0</v>
      </c>
      <c r="Q36" s="2">
        <f>P36 * G36</f>
        <v>0</v>
      </c>
      <c r="R36">
        <v>0</v>
      </c>
      <c r="S36" s="2">
        <f>R36 * G36</f>
        <v>0</v>
      </c>
      <c r="T36" s="2">
        <f>(H36 + J36) - (L36 + N36) - R36</f>
        <v>0</v>
      </c>
      <c r="U36" s="2">
        <f>T36 * G36</f>
        <v>0</v>
      </c>
      <c r="V36" s="2">
        <f>I36 + K36 - S36</f>
        <v>0</v>
      </c>
      <c r="W36" s="2">
        <f>M36 - V36</f>
        <v>0</v>
      </c>
      <c r="X36" s="2">
        <f>IFERROR(W36 / M36 * 100, 0)</f>
        <v>0</v>
      </c>
    </row>
    <row r="37" spans="1:24">
      <c r="A37" t="s">
        <v>59</v>
      </c>
      <c r="B37" t="s">
        <v>512</v>
      </c>
      <c r="C37" t="s">
        <v>550</v>
      </c>
      <c r="D37" t="s">
        <v>1007</v>
      </c>
      <c r="E37" t="s">
        <v>1009</v>
      </c>
      <c r="F37" t="s">
        <v>1045</v>
      </c>
      <c r="G37">
        <v>7.25</v>
      </c>
      <c r="H37">
        <v>0</v>
      </c>
      <c r="I37">
        <v>0</v>
      </c>
      <c r="J37">
        <v>2109.74</v>
      </c>
      <c r="K37">
        <v>15195.02</v>
      </c>
      <c r="L37">
        <v>1531.69</v>
      </c>
      <c r="M37">
        <v>13174.99</v>
      </c>
      <c r="N37">
        <v>14</v>
      </c>
      <c r="O37">
        <v>100.09</v>
      </c>
      <c r="P37" s="2">
        <f>(H37 + J37) - (L37 + N37)</f>
        <v>0</v>
      </c>
      <c r="Q37" s="2">
        <f>P37 * G37</f>
        <v>0</v>
      </c>
      <c r="R37">
        <v>437.7</v>
      </c>
      <c r="S37" s="2">
        <f>R37 * G37</f>
        <v>0</v>
      </c>
      <c r="T37" s="2">
        <f>(H37 + J37) - (L37 + N37) - R37</f>
        <v>0</v>
      </c>
      <c r="U37" s="2">
        <f>T37 * G37</f>
        <v>0</v>
      </c>
      <c r="V37" s="2">
        <f>I37 + K37 - S37</f>
        <v>0</v>
      </c>
      <c r="W37" s="2">
        <f>M37 - V37</f>
        <v>0</v>
      </c>
      <c r="X37" s="2">
        <f>IFERROR(W37 / M37 * 100, 0)</f>
        <v>0</v>
      </c>
    </row>
    <row r="38" spans="1:24">
      <c r="A38" t="s">
        <v>60</v>
      </c>
      <c r="B38" t="s">
        <v>512</v>
      </c>
      <c r="C38" t="s">
        <v>551</v>
      </c>
      <c r="D38" t="s">
        <v>1008</v>
      </c>
      <c r="E38" t="s">
        <v>1009</v>
      </c>
      <c r="F38" t="s">
        <v>1046</v>
      </c>
      <c r="G38">
        <v>4.5</v>
      </c>
      <c r="H38">
        <v>0</v>
      </c>
      <c r="I38">
        <v>0</v>
      </c>
      <c r="J38">
        <v>0</v>
      </c>
      <c r="K38">
        <v>0</v>
      </c>
      <c r="L38">
        <v>3</v>
      </c>
      <c r="M38">
        <v>15</v>
      </c>
      <c r="N38">
        <v>0</v>
      </c>
      <c r="O38">
        <v>0</v>
      </c>
      <c r="P38" s="2">
        <f>(H38 + J38) - (L38 + N38)</f>
        <v>0</v>
      </c>
      <c r="Q38" s="2">
        <f>P38 * G38</f>
        <v>0</v>
      </c>
      <c r="R38">
        <v>0</v>
      </c>
      <c r="S38" s="2">
        <f>R38 * G38</f>
        <v>0</v>
      </c>
      <c r="T38" s="2">
        <f>(H38 + J38) - (L38 + N38) - R38</f>
        <v>0</v>
      </c>
      <c r="U38" s="2">
        <f>T38 * G38</f>
        <v>0</v>
      </c>
      <c r="V38" s="2">
        <f>I38 + K38 - S38</f>
        <v>0</v>
      </c>
      <c r="W38" s="2">
        <f>M38 - V38</f>
        <v>0</v>
      </c>
      <c r="X38" s="2">
        <f>IFERROR(W38 / M38 * 100, 0)</f>
        <v>0</v>
      </c>
    </row>
    <row r="39" spans="1:24">
      <c r="A39" t="s">
        <v>61</v>
      </c>
      <c r="B39" t="s">
        <v>512</v>
      </c>
      <c r="C39" t="s">
        <v>552</v>
      </c>
      <c r="D39" t="s">
        <v>1007</v>
      </c>
      <c r="E39" t="s">
        <v>1009</v>
      </c>
      <c r="F39" t="s">
        <v>1047</v>
      </c>
      <c r="G39">
        <v>21</v>
      </c>
      <c r="H39">
        <v>0</v>
      </c>
      <c r="I39">
        <v>0</v>
      </c>
      <c r="J39">
        <v>21.8</v>
      </c>
      <c r="K39">
        <v>457.8</v>
      </c>
      <c r="L39">
        <v>17.4</v>
      </c>
      <c r="M39">
        <v>382.7</v>
      </c>
      <c r="N39">
        <v>5</v>
      </c>
      <c r="O39">
        <v>105</v>
      </c>
      <c r="P39" s="2">
        <f>(H39 + J39) - (L39 + N39)</f>
        <v>0</v>
      </c>
      <c r="Q39" s="2">
        <f>P39 * G39</f>
        <v>0</v>
      </c>
      <c r="R39">
        <v>0</v>
      </c>
      <c r="S39" s="2">
        <f>R39 * G39</f>
        <v>0</v>
      </c>
      <c r="T39" s="2">
        <f>(H39 + J39) - (L39 + N39) - R39</f>
        <v>0</v>
      </c>
      <c r="U39" s="2">
        <f>T39 * G39</f>
        <v>0</v>
      </c>
      <c r="V39" s="2">
        <f>I39 + K39 - S39</f>
        <v>0</v>
      </c>
      <c r="W39" s="2">
        <f>M39 - V39</f>
        <v>0</v>
      </c>
      <c r="X39" s="2">
        <f>IFERROR(W39 / M39 * 100, 0)</f>
        <v>0</v>
      </c>
    </row>
    <row r="40" spans="1:24">
      <c r="A40" t="s">
        <v>62</v>
      </c>
      <c r="B40" t="s">
        <v>512</v>
      </c>
      <c r="C40" t="s">
        <v>553</v>
      </c>
      <c r="D40" t="s">
        <v>1007</v>
      </c>
      <c r="E40" t="s">
        <v>1009</v>
      </c>
      <c r="F40" t="s">
        <v>1048</v>
      </c>
      <c r="G40">
        <v>12.75</v>
      </c>
      <c r="H40">
        <v>0</v>
      </c>
      <c r="I40">
        <v>0</v>
      </c>
      <c r="J40">
        <v>0</v>
      </c>
      <c r="K40">
        <v>0</v>
      </c>
      <c r="L40">
        <v>2.96</v>
      </c>
      <c r="M40">
        <v>43.7</v>
      </c>
      <c r="N40">
        <v>0</v>
      </c>
      <c r="O40">
        <v>0</v>
      </c>
      <c r="P40" s="2">
        <f>(H40 + J40) - (L40 + N40)</f>
        <v>0</v>
      </c>
      <c r="Q40" s="2">
        <f>P40 * G40</f>
        <v>0</v>
      </c>
      <c r="R40">
        <v>0</v>
      </c>
      <c r="S40" s="2">
        <f>R40 * G40</f>
        <v>0</v>
      </c>
      <c r="T40" s="2">
        <f>(H40 + J40) - (L40 + N40) - R40</f>
        <v>0</v>
      </c>
      <c r="U40" s="2">
        <f>T40 * G40</f>
        <v>0</v>
      </c>
      <c r="V40" s="2">
        <f>I40 + K40 - S40</f>
        <v>0</v>
      </c>
      <c r="W40" s="2">
        <f>M40 - V40</f>
        <v>0</v>
      </c>
      <c r="X40" s="2">
        <f>IFERROR(W40 / M40 * 100, 0)</f>
        <v>0</v>
      </c>
    </row>
    <row r="41" spans="1:24">
      <c r="A41" t="s">
        <v>63</v>
      </c>
      <c r="B41" t="s">
        <v>512</v>
      </c>
      <c r="C41" t="s">
        <v>554</v>
      </c>
      <c r="D41" t="s">
        <v>1007</v>
      </c>
      <c r="E41" t="s">
        <v>1009</v>
      </c>
      <c r="F41" t="s">
        <v>1049</v>
      </c>
      <c r="G41">
        <v>6.59</v>
      </c>
      <c r="H41">
        <v>0</v>
      </c>
      <c r="I41">
        <v>0</v>
      </c>
      <c r="J41">
        <v>0</v>
      </c>
      <c r="K41">
        <v>0</v>
      </c>
      <c r="L41">
        <v>0.39</v>
      </c>
      <c r="M41">
        <v>8.109999999999999</v>
      </c>
      <c r="N41">
        <v>0</v>
      </c>
      <c r="O41">
        <v>0</v>
      </c>
      <c r="P41" s="2">
        <f>(H41 + J41) - (L41 + N41)</f>
        <v>0</v>
      </c>
      <c r="Q41" s="2">
        <f>P41 * G41</f>
        <v>0</v>
      </c>
      <c r="R41">
        <v>0</v>
      </c>
      <c r="S41" s="2">
        <f>R41 * G41</f>
        <v>0</v>
      </c>
      <c r="T41" s="2">
        <f>(H41 + J41) - (L41 + N41) - R41</f>
        <v>0</v>
      </c>
      <c r="U41" s="2">
        <f>T41 * G41</f>
        <v>0</v>
      </c>
      <c r="V41" s="2">
        <f>I41 + K41 - S41</f>
        <v>0</v>
      </c>
      <c r="W41" s="2">
        <f>M41 - V41</f>
        <v>0</v>
      </c>
      <c r="X41" s="2">
        <f>IFERROR(W41 / M41 * 100, 0)</f>
        <v>0</v>
      </c>
    </row>
    <row r="42" spans="1:24">
      <c r="A42" t="s">
        <v>64</v>
      </c>
      <c r="B42" t="s">
        <v>512</v>
      </c>
      <c r="C42" t="s">
        <v>555</v>
      </c>
      <c r="D42" t="s">
        <v>1007</v>
      </c>
      <c r="E42" t="s">
        <v>1009</v>
      </c>
      <c r="F42" t="s">
        <v>1050</v>
      </c>
      <c r="G42">
        <v>18</v>
      </c>
      <c r="H42">
        <v>0</v>
      </c>
      <c r="I42">
        <v>0</v>
      </c>
      <c r="J42">
        <v>0</v>
      </c>
      <c r="K42">
        <v>0</v>
      </c>
      <c r="L42">
        <v>0.06</v>
      </c>
      <c r="M42">
        <v>1.05</v>
      </c>
      <c r="N42">
        <v>0</v>
      </c>
      <c r="O42">
        <v>0</v>
      </c>
      <c r="P42" s="2">
        <f>(H42 + J42) - (L42 + N42)</f>
        <v>0</v>
      </c>
      <c r="Q42" s="2">
        <f>P42 * G42</f>
        <v>0</v>
      </c>
      <c r="R42">
        <v>0</v>
      </c>
      <c r="S42" s="2">
        <f>R42 * G42</f>
        <v>0</v>
      </c>
      <c r="T42" s="2">
        <f>(H42 + J42) - (L42 + N42) - R42</f>
        <v>0</v>
      </c>
      <c r="U42" s="2">
        <f>T42 * G42</f>
        <v>0</v>
      </c>
      <c r="V42" s="2">
        <f>I42 + K42 - S42</f>
        <v>0</v>
      </c>
      <c r="W42" s="2">
        <f>M42 - V42</f>
        <v>0</v>
      </c>
      <c r="X42" s="2">
        <f>IFERROR(W42 / M42 * 100, 0)</f>
        <v>0</v>
      </c>
    </row>
    <row r="43" spans="1:24">
      <c r="A43" t="s">
        <v>65</v>
      </c>
      <c r="B43" t="s">
        <v>512</v>
      </c>
      <c r="C43" t="s">
        <v>556</v>
      </c>
      <c r="D43" t="s">
        <v>1007</v>
      </c>
      <c r="E43" t="s">
        <v>1009</v>
      </c>
      <c r="F43" t="s">
        <v>1051</v>
      </c>
      <c r="G43">
        <v>0</v>
      </c>
      <c r="H43">
        <v>0</v>
      </c>
      <c r="I43">
        <v>0</v>
      </c>
      <c r="J43">
        <v>0</v>
      </c>
      <c r="K43">
        <v>0</v>
      </c>
      <c r="L43">
        <v>4.24</v>
      </c>
      <c r="M43">
        <v>29.65</v>
      </c>
      <c r="N43">
        <v>0</v>
      </c>
      <c r="O43">
        <v>0</v>
      </c>
      <c r="P43" s="2">
        <f>(H43 + J43) - (L43 + N43)</f>
        <v>0</v>
      </c>
      <c r="Q43" s="2">
        <f>P43 * G43</f>
        <v>0</v>
      </c>
      <c r="R43">
        <v>0</v>
      </c>
      <c r="S43" s="2">
        <f>R43 * G43</f>
        <v>0</v>
      </c>
      <c r="T43" s="2">
        <f>(H43 + J43) - (L43 + N43) - R43</f>
        <v>0</v>
      </c>
      <c r="U43" s="2">
        <f>T43 * G43</f>
        <v>0</v>
      </c>
      <c r="V43" s="2">
        <f>I43 + K43 - S43</f>
        <v>0</v>
      </c>
      <c r="W43" s="2">
        <f>M43 - V43</f>
        <v>0</v>
      </c>
      <c r="X43" s="2">
        <f>IFERROR(W43 / M43 * 100, 0)</f>
        <v>0</v>
      </c>
    </row>
    <row r="44" spans="1:24">
      <c r="A44" t="s">
        <v>66</v>
      </c>
      <c r="B44" t="s">
        <v>512</v>
      </c>
      <c r="C44" t="s">
        <v>557</v>
      </c>
      <c r="D44" t="s">
        <v>1007</v>
      </c>
      <c r="E44" t="s">
        <v>1009</v>
      </c>
      <c r="F44" t="s">
        <v>1052</v>
      </c>
      <c r="G44">
        <v>18.5</v>
      </c>
      <c r="H44">
        <v>0</v>
      </c>
      <c r="I44">
        <v>0</v>
      </c>
      <c r="J44">
        <v>0</v>
      </c>
      <c r="K44">
        <v>0</v>
      </c>
      <c r="L44">
        <v>1.55</v>
      </c>
      <c r="M44">
        <v>6.2</v>
      </c>
      <c r="N44">
        <v>0</v>
      </c>
      <c r="O44">
        <v>0</v>
      </c>
      <c r="P44" s="2">
        <f>(H44 + J44) - (L44 + N44)</f>
        <v>0</v>
      </c>
      <c r="Q44" s="2">
        <f>P44 * G44</f>
        <v>0</v>
      </c>
      <c r="R44">
        <v>0</v>
      </c>
      <c r="S44" s="2">
        <f>R44 * G44</f>
        <v>0</v>
      </c>
      <c r="T44" s="2">
        <f>(H44 + J44) - (L44 + N44) - R44</f>
        <v>0</v>
      </c>
      <c r="U44" s="2">
        <f>T44 * G44</f>
        <v>0</v>
      </c>
      <c r="V44" s="2">
        <f>I44 + K44 - S44</f>
        <v>0</v>
      </c>
      <c r="W44" s="2">
        <f>M44 - V44</f>
        <v>0</v>
      </c>
      <c r="X44" s="2">
        <f>IFERROR(W44 / M44 * 100, 0)</f>
        <v>0</v>
      </c>
    </row>
    <row r="45" spans="1:24">
      <c r="A45" t="s">
        <v>67</v>
      </c>
      <c r="B45" t="s">
        <v>512</v>
      </c>
      <c r="C45" t="s">
        <v>558</v>
      </c>
      <c r="D45" t="s">
        <v>1007</v>
      </c>
      <c r="E45" t="s">
        <v>1009</v>
      </c>
      <c r="F45" t="s">
        <v>1053</v>
      </c>
      <c r="G45">
        <v>8.76</v>
      </c>
      <c r="H45">
        <v>0</v>
      </c>
      <c r="I45">
        <v>0</v>
      </c>
      <c r="J45">
        <v>0</v>
      </c>
      <c r="K45">
        <v>0</v>
      </c>
      <c r="L45">
        <v>0.83</v>
      </c>
      <c r="M45">
        <v>11.15</v>
      </c>
      <c r="N45">
        <v>0</v>
      </c>
      <c r="O45">
        <v>0</v>
      </c>
      <c r="P45" s="2">
        <f>(H45 + J45) - (L45 + N45)</f>
        <v>0</v>
      </c>
      <c r="Q45" s="2">
        <f>P45 * G45</f>
        <v>0</v>
      </c>
      <c r="R45">
        <v>0</v>
      </c>
      <c r="S45" s="2">
        <f>R45 * G45</f>
        <v>0</v>
      </c>
      <c r="T45" s="2">
        <f>(H45 + J45) - (L45 + N45) - R45</f>
        <v>0</v>
      </c>
      <c r="U45" s="2">
        <f>T45 * G45</f>
        <v>0</v>
      </c>
      <c r="V45" s="2">
        <f>I45 + K45 - S45</f>
        <v>0</v>
      </c>
      <c r="W45" s="2">
        <f>M45 - V45</f>
        <v>0</v>
      </c>
      <c r="X45" s="2">
        <f>IFERROR(W45 / M45 * 100, 0)</f>
        <v>0</v>
      </c>
    </row>
    <row r="46" spans="1:24">
      <c r="A46" t="s">
        <v>68</v>
      </c>
      <c r="B46" t="s">
        <v>512</v>
      </c>
      <c r="C46" t="s">
        <v>559</v>
      </c>
      <c r="D46" t="s">
        <v>1007</v>
      </c>
      <c r="E46" t="s">
        <v>1009</v>
      </c>
      <c r="F46" t="s">
        <v>1054</v>
      </c>
      <c r="G46">
        <v>41.08</v>
      </c>
      <c r="H46">
        <v>0</v>
      </c>
      <c r="I46">
        <v>0</v>
      </c>
      <c r="J46">
        <v>14</v>
      </c>
      <c r="K46">
        <v>584</v>
      </c>
      <c r="L46">
        <v>12.6</v>
      </c>
      <c r="M46">
        <v>617.55</v>
      </c>
      <c r="N46">
        <v>0</v>
      </c>
      <c r="O46">
        <v>0</v>
      </c>
      <c r="P46" s="2">
        <f>(H46 + J46) - (L46 + N46)</f>
        <v>0</v>
      </c>
      <c r="Q46" s="2">
        <f>P46 * G46</f>
        <v>0</v>
      </c>
      <c r="R46">
        <v>0</v>
      </c>
      <c r="S46" s="2">
        <f>R46 * G46</f>
        <v>0</v>
      </c>
      <c r="T46" s="2">
        <f>(H46 + J46) - (L46 + N46) - R46</f>
        <v>0</v>
      </c>
      <c r="U46" s="2">
        <f>T46 * G46</f>
        <v>0</v>
      </c>
      <c r="V46" s="2">
        <f>I46 + K46 - S46</f>
        <v>0</v>
      </c>
      <c r="W46" s="2">
        <f>M46 - V46</f>
        <v>0</v>
      </c>
      <c r="X46" s="2">
        <f>IFERROR(W46 / M46 * 100, 0)</f>
        <v>0</v>
      </c>
    </row>
    <row r="47" spans="1:24">
      <c r="A47" t="s">
        <v>69</v>
      </c>
      <c r="B47" t="s">
        <v>512</v>
      </c>
      <c r="C47" t="s">
        <v>560</v>
      </c>
      <c r="D47" t="s">
        <v>1007</v>
      </c>
      <c r="E47" t="s">
        <v>1009</v>
      </c>
      <c r="F47" t="s">
        <v>1055</v>
      </c>
      <c r="G47">
        <v>12</v>
      </c>
      <c r="H47">
        <v>0</v>
      </c>
      <c r="I47">
        <v>0</v>
      </c>
      <c r="J47">
        <v>0</v>
      </c>
      <c r="K47">
        <v>0</v>
      </c>
      <c r="L47">
        <v>0.18</v>
      </c>
      <c r="M47">
        <v>2.55</v>
      </c>
      <c r="N47">
        <v>0</v>
      </c>
      <c r="O47">
        <v>0</v>
      </c>
      <c r="P47" s="2">
        <f>(H47 + J47) - (L47 + N47)</f>
        <v>0</v>
      </c>
      <c r="Q47" s="2">
        <f>P47 * G47</f>
        <v>0</v>
      </c>
      <c r="R47">
        <v>0</v>
      </c>
      <c r="S47" s="2">
        <f>R47 * G47</f>
        <v>0</v>
      </c>
      <c r="T47" s="2">
        <f>(H47 + J47) - (L47 + N47) - R47</f>
        <v>0</v>
      </c>
      <c r="U47" s="2">
        <f>T47 * G47</f>
        <v>0</v>
      </c>
      <c r="V47" s="2">
        <f>I47 + K47 - S47</f>
        <v>0</v>
      </c>
      <c r="W47" s="2">
        <f>M47 - V47</f>
        <v>0</v>
      </c>
      <c r="X47" s="2">
        <f>IFERROR(W47 / M47 * 100, 0)</f>
        <v>0</v>
      </c>
    </row>
    <row r="48" spans="1:24">
      <c r="A48" t="s">
        <v>70</v>
      </c>
      <c r="B48" t="s">
        <v>512</v>
      </c>
      <c r="C48" t="s">
        <v>561</v>
      </c>
      <c r="D48" t="s">
        <v>1008</v>
      </c>
      <c r="E48" t="s">
        <v>1009</v>
      </c>
      <c r="F48" t="s">
        <v>1056</v>
      </c>
      <c r="G48">
        <v>8</v>
      </c>
      <c r="H48">
        <v>0</v>
      </c>
      <c r="I48">
        <v>0</v>
      </c>
      <c r="J48">
        <v>0</v>
      </c>
      <c r="K48">
        <v>0</v>
      </c>
      <c r="L48">
        <v>1</v>
      </c>
      <c r="M48">
        <v>10</v>
      </c>
      <c r="N48">
        <v>0</v>
      </c>
      <c r="O48">
        <v>0</v>
      </c>
      <c r="P48" s="2">
        <f>(H48 + J48) - (L48 + N48)</f>
        <v>0</v>
      </c>
      <c r="Q48" s="2">
        <f>P48 * G48</f>
        <v>0</v>
      </c>
      <c r="R48">
        <v>0</v>
      </c>
      <c r="S48" s="2">
        <f>R48 * G48</f>
        <v>0</v>
      </c>
      <c r="T48" s="2">
        <f>(H48 + J48) - (L48 + N48) - R48</f>
        <v>0</v>
      </c>
      <c r="U48" s="2">
        <f>T48 * G48</f>
        <v>0</v>
      </c>
      <c r="V48" s="2">
        <f>I48 + K48 - S48</f>
        <v>0</v>
      </c>
      <c r="W48" s="2">
        <f>M48 - V48</f>
        <v>0</v>
      </c>
      <c r="X48" s="2">
        <f>IFERROR(W48 / M48 * 100, 0)</f>
        <v>0</v>
      </c>
    </row>
    <row r="49" spans="1:24">
      <c r="A49" t="s">
        <v>71</v>
      </c>
      <c r="B49" t="s">
        <v>512</v>
      </c>
      <c r="C49" t="s">
        <v>562</v>
      </c>
      <c r="D49" t="s">
        <v>1007</v>
      </c>
      <c r="E49" t="s">
        <v>1009</v>
      </c>
      <c r="F49" t="s">
        <v>1057</v>
      </c>
      <c r="G49">
        <v>2.49</v>
      </c>
      <c r="H49">
        <v>0</v>
      </c>
      <c r="I49">
        <v>0</v>
      </c>
      <c r="J49">
        <v>0</v>
      </c>
      <c r="K49">
        <v>0</v>
      </c>
      <c r="L49">
        <v>0.46</v>
      </c>
      <c r="M49">
        <v>1.6</v>
      </c>
      <c r="N49">
        <v>0</v>
      </c>
      <c r="O49">
        <v>0</v>
      </c>
      <c r="P49" s="2">
        <f>(H49 + J49) - (L49 + N49)</f>
        <v>0</v>
      </c>
      <c r="Q49" s="2">
        <f>P49 * G49</f>
        <v>0</v>
      </c>
      <c r="R49">
        <v>0</v>
      </c>
      <c r="S49" s="2">
        <f>R49 * G49</f>
        <v>0</v>
      </c>
      <c r="T49" s="2">
        <f>(H49 + J49) - (L49 + N49) - R49</f>
        <v>0</v>
      </c>
      <c r="U49" s="2">
        <f>T49 * G49</f>
        <v>0</v>
      </c>
      <c r="V49" s="2">
        <f>I49 + K49 - S49</f>
        <v>0</v>
      </c>
      <c r="W49" s="2">
        <f>M49 - V49</f>
        <v>0</v>
      </c>
      <c r="X49" s="2">
        <f>IFERROR(W49 / M49 * 100, 0)</f>
        <v>0</v>
      </c>
    </row>
    <row r="50" spans="1:24">
      <c r="A50" t="s">
        <v>72</v>
      </c>
      <c r="B50" t="s">
        <v>512</v>
      </c>
      <c r="C50" t="s">
        <v>563</v>
      </c>
      <c r="D50" t="s">
        <v>1008</v>
      </c>
      <c r="E50" t="s">
        <v>1009</v>
      </c>
      <c r="F50" t="s">
        <v>1058</v>
      </c>
      <c r="G50">
        <v>6.25</v>
      </c>
      <c r="H50">
        <v>88</v>
      </c>
      <c r="I50">
        <v>564.42</v>
      </c>
      <c r="J50">
        <v>580</v>
      </c>
      <c r="K50">
        <v>3605.51</v>
      </c>
      <c r="L50">
        <v>1118</v>
      </c>
      <c r="M50">
        <v>8385</v>
      </c>
      <c r="N50">
        <v>11</v>
      </c>
      <c r="O50">
        <v>67.54000000000001</v>
      </c>
      <c r="P50" s="2">
        <f>(H50 + J50) - (L50 + N50)</f>
        <v>0</v>
      </c>
      <c r="Q50" s="2">
        <f>P50 * G50</f>
        <v>0</v>
      </c>
      <c r="R50">
        <v>50</v>
      </c>
      <c r="S50" s="2">
        <f>R50 * G50</f>
        <v>0</v>
      </c>
      <c r="T50" s="2">
        <f>(H50 + J50) - (L50 + N50) - R50</f>
        <v>0</v>
      </c>
      <c r="U50" s="2">
        <f>T50 * G50</f>
        <v>0</v>
      </c>
      <c r="V50" s="2">
        <f>I50 + K50 - S50</f>
        <v>0</v>
      </c>
      <c r="W50" s="2">
        <f>M50 - V50</f>
        <v>0</v>
      </c>
      <c r="X50" s="2">
        <f>IFERROR(W50 / M50 * 100, 0)</f>
        <v>0</v>
      </c>
    </row>
    <row r="51" spans="1:24">
      <c r="A51" t="s">
        <v>73</v>
      </c>
      <c r="B51" t="s">
        <v>512</v>
      </c>
      <c r="C51" t="s">
        <v>564</v>
      </c>
      <c r="D51" t="s">
        <v>1007</v>
      </c>
      <c r="E51" t="s">
        <v>1009</v>
      </c>
      <c r="F51" t="s">
        <v>1059</v>
      </c>
      <c r="G51">
        <v>9.5</v>
      </c>
      <c r="H51">
        <v>0</v>
      </c>
      <c r="I51">
        <v>0</v>
      </c>
      <c r="J51">
        <v>0</v>
      </c>
      <c r="K51">
        <v>0</v>
      </c>
      <c r="L51">
        <v>1.42</v>
      </c>
      <c r="M51">
        <v>14.15</v>
      </c>
      <c r="N51">
        <v>0</v>
      </c>
      <c r="O51">
        <v>0</v>
      </c>
      <c r="P51" s="2">
        <f>(H51 + J51) - (L51 + N51)</f>
        <v>0</v>
      </c>
      <c r="Q51" s="2">
        <f>P51 * G51</f>
        <v>0</v>
      </c>
      <c r="R51">
        <v>0</v>
      </c>
      <c r="S51" s="2">
        <f>R51 * G51</f>
        <v>0</v>
      </c>
      <c r="T51" s="2">
        <f>(H51 + J51) - (L51 + N51) - R51</f>
        <v>0</v>
      </c>
      <c r="U51" s="2">
        <f>T51 * G51</f>
        <v>0</v>
      </c>
      <c r="V51" s="2">
        <f>I51 + K51 - S51</f>
        <v>0</v>
      </c>
      <c r="W51" s="2">
        <f>M51 - V51</f>
        <v>0</v>
      </c>
      <c r="X51" s="2">
        <f>IFERROR(W51 / M51 * 100, 0)</f>
        <v>0</v>
      </c>
    </row>
    <row r="52" spans="1:24">
      <c r="A52" t="s">
        <v>74</v>
      </c>
      <c r="B52" t="s">
        <v>512</v>
      </c>
      <c r="C52" t="s">
        <v>565</v>
      </c>
      <c r="D52" t="s">
        <v>1007</v>
      </c>
      <c r="E52" t="s">
        <v>1009</v>
      </c>
      <c r="F52" t="s">
        <v>1060</v>
      </c>
      <c r="G52">
        <v>4.54</v>
      </c>
      <c r="H52">
        <v>31.5</v>
      </c>
      <c r="I52">
        <v>165.94</v>
      </c>
      <c r="J52">
        <v>3.8</v>
      </c>
      <c r="K52">
        <v>-7.87</v>
      </c>
      <c r="L52">
        <v>5.27</v>
      </c>
      <c r="M52">
        <v>42.13</v>
      </c>
      <c r="N52">
        <v>13</v>
      </c>
      <c r="O52">
        <v>64.12</v>
      </c>
      <c r="P52" s="2">
        <f>(H52 + J52) - (L52 + N52)</f>
        <v>0</v>
      </c>
      <c r="Q52" s="2">
        <f>P52 * G52</f>
        <v>0</v>
      </c>
      <c r="R52">
        <v>55.4</v>
      </c>
      <c r="S52" s="2">
        <f>R52 * G52</f>
        <v>0</v>
      </c>
      <c r="T52" s="2">
        <f>(H52 + J52) - (L52 + N52) - R52</f>
        <v>0</v>
      </c>
      <c r="U52" s="2">
        <f>T52 * G52</f>
        <v>0</v>
      </c>
      <c r="V52" s="2">
        <f>I52 + K52 - S52</f>
        <v>0</v>
      </c>
      <c r="W52" s="2">
        <f>M52 - V52</f>
        <v>0</v>
      </c>
      <c r="X52" s="2">
        <f>IFERROR(W52 / M52 * 100, 0)</f>
        <v>0</v>
      </c>
    </row>
    <row r="53" spans="1:24">
      <c r="A53" t="s">
        <v>75</v>
      </c>
      <c r="B53" t="s">
        <v>512</v>
      </c>
      <c r="C53" t="s">
        <v>566</v>
      </c>
      <c r="D53" t="s">
        <v>1007</v>
      </c>
      <c r="E53" t="s">
        <v>1009</v>
      </c>
      <c r="F53" t="s">
        <v>1061</v>
      </c>
      <c r="G53">
        <v>2.99</v>
      </c>
      <c r="H53">
        <v>17</v>
      </c>
      <c r="I53">
        <v>74.48</v>
      </c>
      <c r="J53">
        <v>54.5</v>
      </c>
      <c r="K53">
        <v>161.71</v>
      </c>
      <c r="L53">
        <v>42.8</v>
      </c>
      <c r="M53">
        <v>428.01</v>
      </c>
      <c r="N53">
        <v>11</v>
      </c>
      <c r="O53">
        <v>35.52</v>
      </c>
      <c r="P53" s="2">
        <f>(H53 + J53) - (L53 + N53)</f>
        <v>0</v>
      </c>
      <c r="Q53" s="2">
        <f>P53 * G53</f>
        <v>0</v>
      </c>
      <c r="R53">
        <v>27.3</v>
      </c>
      <c r="S53" s="2">
        <f>R53 * G53</f>
        <v>0</v>
      </c>
      <c r="T53" s="2">
        <f>(H53 + J53) - (L53 + N53) - R53</f>
        <v>0</v>
      </c>
      <c r="U53" s="2">
        <f>T53 * G53</f>
        <v>0</v>
      </c>
      <c r="V53" s="2">
        <f>I53 + K53 - S53</f>
        <v>0</v>
      </c>
      <c r="W53" s="2">
        <f>M53 - V53</f>
        <v>0</v>
      </c>
      <c r="X53" s="2">
        <f>IFERROR(W53 / M53 * 100, 0)</f>
        <v>0</v>
      </c>
    </row>
    <row r="54" spans="1:24">
      <c r="A54" t="s">
        <v>76</v>
      </c>
      <c r="B54" t="s">
        <v>512</v>
      </c>
      <c r="C54" t="s">
        <v>567</v>
      </c>
      <c r="D54" t="s">
        <v>1007</v>
      </c>
      <c r="E54" t="s">
        <v>1009</v>
      </c>
      <c r="F54" t="s">
        <v>1062</v>
      </c>
      <c r="G54">
        <v>4.97</v>
      </c>
      <c r="H54">
        <v>0</v>
      </c>
      <c r="I54">
        <v>0</v>
      </c>
      <c r="J54">
        <v>520</v>
      </c>
      <c r="K54">
        <v>2380.5</v>
      </c>
      <c r="L54">
        <v>449.59</v>
      </c>
      <c r="M54">
        <v>2324.11</v>
      </c>
      <c r="N54">
        <v>2</v>
      </c>
      <c r="O54">
        <v>9.9</v>
      </c>
      <c r="P54" s="2">
        <f>(H54 + J54) - (L54 + N54)</f>
        <v>0</v>
      </c>
      <c r="Q54" s="2">
        <f>P54 * G54</f>
        <v>0</v>
      </c>
      <c r="R54">
        <v>30</v>
      </c>
      <c r="S54" s="2">
        <f>R54 * G54</f>
        <v>0</v>
      </c>
      <c r="T54" s="2">
        <f>(H54 + J54) - (L54 + N54) - R54</f>
        <v>0</v>
      </c>
      <c r="U54" s="2">
        <f>T54 * G54</f>
        <v>0</v>
      </c>
      <c r="V54" s="2">
        <f>I54 + K54 - S54</f>
        <v>0</v>
      </c>
      <c r="W54" s="2">
        <f>M54 - V54</f>
        <v>0</v>
      </c>
      <c r="X54" s="2">
        <f>IFERROR(W54 / M54 * 100, 0)</f>
        <v>0</v>
      </c>
    </row>
    <row r="55" spans="1:24">
      <c r="A55" t="s">
        <v>77</v>
      </c>
      <c r="B55" t="s">
        <v>512</v>
      </c>
      <c r="C55" t="s">
        <v>568</v>
      </c>
      <c r="D55" t="s">
        <v>1007</v>
      </c>
      <c r="E55" t="s">
        <v>1009</v>
      </c>
      <c r="F55" t="s">
        <v>1063</v>
      </c>
      <c r="G55">
        <v>19.03</v>
      </c>
      <c r="H55">
        <v>3.4</v>
      </c>
      <c r="I55">
        <v>49.49</v>
      </c>
      <c r="J55">
        <v>35</v>
      </c>
      <c r="K55">
        <v>598.7</v>
      </c>
      <c r="L55">
        <v>27.84</v>
      </c>
      <c r="M55">
        <v>542.98</v>
      </c>
      <c r="N55">
        <v>12.42</v>
      </c>
      <c r="O55">
        <v>201.14</v>
      </c>
      <c r="P55" s="2">
        <f>(H55 + J55) - (L55 + N55)</f>
        <v>0</v>
      </c>
      <c r="Q55" s="2">
        <f>P55 * G55</f>
        <v>0</v>
      </c>
      <c r="R55">
        <v>0</v>
      </c>
      <c r="S55" s="2">
        <f>R55 * G55</f>
        <v>0</v>
      </c>
      <c r="T55" s="2">
        <f>(H55 + J55) - (L55 + N55) - R55</f>
        <v>0</v>
      </c>
      <c r="U55" s="2">
        <f>T55 * G55</f>
        <v>0</v>
      </c>
      <c r="V55" s="2">
        <f>I55 + K55 - S55</f>
        <v>0</v>
      </c>
      <c r="W55" s="2">
        <f>M55 - V55</f>
        <v>0</v>
      </c>
      <c r="X55" s="2">
        <f>IFERROR(W55 / M55 * 100, 0)</f>
        <v>0</v>
      </c>
    </row>
    <row r="56" spans="1:24">
      <c r="A56" t="s">
        <v>78</v>
      </c>
      <c r="B56" t="s">
        <v>512</v>
      </c>
      <c r="C56" t="s">
        <v>569</v>
      </c>
      <c r="D56" t="s">
        <v>1007</v>
      </c>
      <c r="E56" t="s">
        <v>1009</v>
      </c>
      <c r="F56" t="s">
        <v>1064</v>
      </c>
      <c r="G56">
        <v>10.67</v>
      </c>
      <c r="H56">
        <v>21.1</v>
      </c>
      <c r="I56">
        <v>201.4</v>
      </c>
      <c r="J56">
        <v>114</v>
      </c>
      <c r="K56">
        <v>1206.85</v>
      </c>
      <c r="L56">
        <v>87.61</v>
      </c>
      <c r="M56">
        <v>1270.41</v>
      </c>
      <c r="N56">
        <v>33</v>
      </c>
      <c r="O56">
        <v>344.44</v>
      </c>
      <c r="P56" s="2">
        <f>(H56 + J56) - (L56 + N56)</f>
        <v>0</v>
      </c>
      <c r="Q56" s="2">
        <f>P56 * G56</f>
        <v>0</v>
      </c>
      <c r="R56">
        <v>7.5</v>
      </c>
      <c r="S56" s="2">
        <f>R56 * G56</f>
        <v>0</v>
      </c>
      <c r="T56" s="2">
        <f>(H56 + J56) - (L56 + N56) - R56</f>
        <v>0</v>
      </c>
      <c r="U56" s="2">
        <f>T56 * G56</f>
        <v>0</v>
      </c>
      <c r="V56" s="2">
        <f>I56 + K56 - S56</f>
        <v>0</v>
      </c>
      <c r="W56" s="2">
        <f>M56 - V56</f>
        <v>0</v>
      </c>
      <c r="X56" s="2">
        <f>IFERROR(W56 / M56 * 100, 0)</f>
        <v>0</v>
      </c>
    </row>
    <row r="57" spans="1:24">
      <c r="A57" t="s">
        <v>79</v>
      </c>
      <c r="B57" t="s">
        <v>512</v>
      </c>
      <c r="C57" t="s">
        <v>570</v>
      </c>
      <c r="D57" t="s">
        <v>1007</v>
      </c>
      <c r="E57" t="s">
        <v>1009</v>
      </c>
      <c r="F57" t="s">
        <v>1065</v>
      </c>
      <c r="G57">
        <v>6.34</v>
      </c>
      <c r="H57">
        <v>10.7</v>
      </c>
      <c r="I57">
        <v>116.82</v>
      </c>
      <c r="J57">
        <v>12</v>
      </c>
      <c r="K57">
        <v>60</v>
      </c>
      <c r="L57">
        <v>10.26</v>
      </c>
      <c r="M57">
        <v>307.65</v>
      </c>
      <c r="N57">
        <v>2</v>
      </c>
      <c r="O57">
        <v>12.67</v>
      </c>
      <c r="P57" s="2">
        <f>(H57 + J57) - (L57 + N57)</f>
        <v>0</v>
      </c>
      <c r="Q57" s="2">
        <f>P57 * G57</f>
        <v>0</v>
      </c>
      <c r="R57">
        <v>9.699999999999999</v>
      </c>
      <c r="S57" s="2">
        <f>R57 * G57</f>
        <v>0</v>
      </c>
      <c r="T57" s="2">
        <f>(H57 + J57) - (L57 + N57) - R57</f>
        <v>0</v>
      </c>
      <c r="U57" s="2">
        <f>T57 * G57</f>
        <v>0</v>
      </c>
      <c r="V57" s="2">
        <f>I57 + K57 - S57</f>
        <v>0</v>
      </c>
      <c r="W57" s="2">
        <f>M57 - V57</f>
        <v>0</v>
      </c>
      <c r="X57" s="2">
        <f>IFERROR(W57 / M57 * 100, 0)</f>
        <v>0</v>
      </c>
    </row>
    <row r="58" spans="1:24">
      <c r="A58" t="s">
        <v>80</v>
      </c>
      <c r="B58" t="s">
        <v>512</v>
      </c>
      <c r="C58" t="s">
        <v>571</v>
      </c>
      <c r="D58" t="s">
        <v>1007</v>
      </c>
      <c r="E58" t="s">
        <v>1009</v>
      </c>
      <c r="F58" t="s">
        <v>1066</v>
      </c>
      <c r="G58">
        <v>9.75</v>
      </c>
      <c r="H58">
        <v>0</v>
      </c>
      <c r="I58">
        <v>0</v>
      </c>
      <c r="J58">
        <v>23</v>
      </c>
      <c r="K58">
        <v>209.75</v>
      </c>
      <c r="L58">
        <v>0.42</v>
      </c>
      <c r="M58">
        <v>6.12</v>
      </c>
      <c r="N58">
        <v>22</v>
      </c>
      <c r="O58">
        <v>214.5</v>
      </c>
      <c r="P58" s="2">
        <f>(H58 + J58) - (L58 + N58)</f>
        <v>0</v>
      </c>
      <c r="Q58" s="2">
        <f>P58 * G58</f>
        <v>0</v>
      </c>
      <c r="R58">
        <v>0</v>
      </c>
      <c r="S58" s="2">
        <f>R58 * G58</f>
        <v>0</v>
      </c>
      <c r="T58" s="2">
        <f>(H58 + J58) - (L58 + N58) - R58</f>
        <v>0</v>
      </c>
      <c r="U58" s="2">
        <f>T58 * G58</f>
        <v>0</v>
      </c>
      <c r="V58" s="2">
        <f>I58 + K58 - S58</f>
        <v>0</v>
      </c>
      <c r="W58" s="2">
        <f>M58 - V58</f>
        <v>0</v>
      </c>
      <c r="X58" s="2">
        <f>IFERROR(W58 / M58 * 100, 0)</f>
        <v>0</v>
      </c>
    </row>
    <row r="59" spans="1:24">
      <c r="A59" t="s">
        <v>81</v>
      </c>
      <c r="B59" t="s">
        <v>512</v>
      </c>
      <c r="C59" t="s">
        <v>572</v>
      </c>
      <c r="D59" t="s">
        <v>1008</v>
      </c>
      <c r="E59" t="s">
        <v>1009</v>
      </c>
      <c r="F59" t="s">
        <v>1067</v>
      </c>
      <c r="G59">
        <v>5.76</v>
      </c>
      <c r="H59">
        <v>11</v>
      </c>
      <c r="I59">
        <v>51.7</v>
      </c>
      <c r="J59">
        <v>18</v>
      </c>
      <c r="K59">
        <v>103.68</v>
      </c>
      <c r="L59">
        <v>22</v>
      </c>
      <c r="M59">
        <v>187</v>
      </c>
      <c r="N59">
        <v>0</v>
      </c>
      <c r="O59">
        <v>0</v>
      </c>
      <c r="P59" s="2">
        <f>(H59 + J59) - (L59 + N59)</f>
        <v>0</v>
      </c>
      <c r="Q59" s="2">
        <f>P59 * G59</f>
        <v>0</v>
      </c>
      <c r="R59">
        <v>8</v>
      </c>
      <c r="S59" s="2">
        <f>R59 * G59</f>
        <v>0</v>
      </c>
      <c r="T59" s="2">
        <f>(H59 + J59) - (L59 + N59) - R59</f>
        <v>0</v>
      </c>
      <c r="U59" s="2">
        <f>T59 * G59</f>
        <v>0</v>
      </c>
      <c r="V59" s="2">
        <f>I59 + K59 - S59</f>
        <v>0</v>
      </c>
      <c r="W59" s="2">
        <f>M59 - V59</f>
        <v>0</v>
      </c>
      <c r="X59" s="2">
        <f>IFERROR(W59 / M59 * 100, 0)</f>
        <v>0</v>
      </c>
    </row>
    <row r="60" spans="1:24">
      <c r="A60" t="s">
        <v>82</v>
      </c>
      <c r="B60" t="s">
        <v>512</v>
      </c>
      <c r="C60" t="s">
        <v>573</v>
      </c>
      <c r="D60" t="s">
        <v>1007</v>
      </c>
      <c r="E60" t="s">
        <v>1009</v>
      </c>
      <c r="F60" t="s">
        <v>1068</v>
      </c>
      <c r="G60">
        <v>6.61</v>
      </c>
      <c r="H60">
        <v>97.3</v>
      </c>
      <c r="I60">
        <v>455.09</v>
      </c>
      <c r="J60">
        <v>115</v>
      </c>
      <c r="K60">
        <v>726.5</v>
      </c>
      <c r="L60">
        <v>137.48</v>
      </c>
      <c r="M60">
        <v>893.65</v>
      </c>
      <c r="N60">
        <v>6</v>
      </c>
      <c r="O60">
        <v>31.39</v>
      </c>
      <c r="P60" s="2">
        <f>(H60 + J60) - (L60 + N60)</f>
        <v>0</v>
      </c>
      <c r="Q60" s="2">
        <f>P60 * G60</f>
        <v>0</v>
      </c>
      <c r="R60">
        <v>2.7</v>
      </c>
      <c r="S60" s="2">
        <f>R60 * G60</f>
        <v>0</v>
      </c>
      <c r="T60" s="2">
        <f>(H60 + J60) - (L60 + N60) - R60</f>
        <v>0</v>
      </c>
      <c r="U60" s="2">
        <f>T60 * G60</f>
        <v>0</v>
      </c>
      <c r="V60" s="2">
        <f>I60 + K60 - S60</f>
        <v>0</v>
      </c>
      <c r="W60" s="2">
        <f>M60 - V60</f>
        <v>0</v>
      </c>
      <c r="X60" s="2">
        <f>IFERROR(W60 / M60 * 100, 0)</f>
        <v>0</v>
      </c>
    </row>
    <row r="61" spans="1:24">
      <c r="A61" t="s">
        <v>83</v>
      </c>
      <c r="B61" t="s">
        <v>512</v>
      </c>
      <c r="C61" t="s">
        <v>574</v>
      </c>
      <c r="D61" t="s">
        <v>1007</v>
      </c>
      <c r="E61" t="s">
        <v>1009</v>
      </c>
      <c r="F61" t="s">
        <v>1069</v>
      </c>
      <c r="G61">
        <v>12.39</v>
      </c>
      <c r="H61">
        <v>124.1</v>
      </c>
      <c r="I61">
        <v>1524.89</v>
      </c>
      <c r="J61">
        <v>709.5</v>
      </c>
      <c r="K61">
        <v>8805</v>
      </c>
      <c r="L61">
        <v>596.5</v>
      </c>
      <c r="M61">
        <v>8649.379999999999</v>
      </c>
      <c r="N61">
        <v>57</v>
      </c>
      <c r="O61">
        <v>706.54</v>
      </c>
      <c r="P61" s="2">
        <f>(H61 + J61) - (L61 + N61)</f>
        <v>0</v>
      </c>
      <c r="Q61" s="2">
        <f>P61 * G61</f>
        <v>0</v>
      </c>
      <c r="R61">
        <v>192</v>
      </c>
      <c r="S61" s="2">
        <f>R61 * G61</f>
        <v>0</v>
      </c>
      <c r="T61" s="2">
        <f>(H61 + J61) - (L61 + N61) - R61</f>
        <v>0</v>
      </c>
      <c r="U61" s="2">
        <f>T61 * G61</f>
        <v>0</v>
      </c>
      <c r="V61" s="2">
        <f>I61 + K61 - S61</f>
        <v>0</v>
      </c>
      <c r="W61" s="2">
        <f>M61 - V61</f>
        <v>0</v>
      </c>
      <c r="X61" s="2">
        <f>IFERROR(W61 / M61 * 100, 0)</f>
        <v>0</v>
      </c>
    </row>
    <row r="62" spans="1:24">
      <c r="A62" t="s">
        <v>84</v>
      </c>
      <c r="B62" t="s">
        <v>512</v>
      </c>
      <c r="C62" t="s">
        <v>575</v>
      </c>
      <c r="D62" t="s">
        <v>1007</v>
      </c>
      <c r="E62" t="s">
        <v>1009</v>
      </c>
      <c r="F62" t="s">
        <v>1070</v>
      </c>
      <c r="G62">
        <v>14</v>
      </c>
      <c r="H62">
        <v>134</v>
      </c>
      <c r="I62">
        <v>1876</v>
      </c>
      <c r="J62">
        <v>169</v>
      </c>
      <c r="K62">
        <v>2366</v>
      </c>
      <c r="L62">
        <v>254.96</v>
      </c>
      <c r="M62">
        <v>4462.4</v>
      </c>
      <c r="N62">
        <v>0</v>
      </c>
      <c r="O62">
        <v>0</v>
      </c>
      <c r="P62" s="2">
        <f>(H62 + J62) - (L62 + N62)</f>
        <v>0</v>
      </c>
      <c r="Q62" s="2">
        <f>P62 * G62</f>
        <v>0</v>
      </c>
      <c r="R62">
        <v>50</v>
      </c>
      <c r="S62" s="2">
        <f>R62 * G62</f>
        <v>0</v>
      </c>
      <c r="T62" s="2">
        <f>(H62 + J62) - (L62 + N62) - R62</f>
        <v>0</v>
      </c>
      <c r="U62" s="2">
        <f>T62 * G62</f>
        <v>0</v>
      </c>
      <c r="V62" s="2">
        <f>I62 + K62 - S62</f>
        <v>0</v>
      </c>
      <c r="W62" s="2">
        <f>M62 - V62</f>
        <v>0</v>
      </c>
      <c r="X62" s="2">
        <f>IFERROR(W62 / M62 * 100, 0)</f>
        <v>0</v>
      </c>
    </row>
    <row r="63" spans="1:24">
      <c r="A63" t="s">
        <v>85</v>
      </c>
      <c r="B63" t="s">
        <v>512</v>
      </c>
      <c r="C63" t="s">
        <v>576</v>
      </c>
      <c r="D63" t="s">
        <v>1007</v>
      </c>
      <c r="E63" t="s">
        <v>1009</v>
      </c>
      <c r="F63" t="s">
        <v>1071</v>
      </c>
      <c r="G63">
        <v>7.21</v>
      </c>
      <c r="H63">
        <v>4.1</v>
      </c>
      <c r="I63">
        <v>20.41</v>
      </c>
      <c r="J63">
        <v>87</v>
      </c>
      <c r="K63">
        <v>667.84</v>
      </c>
      <c r="L63">
        <v>51.71</v>
      </c>
      <c r="M63">
        <v>485.08</v>
      </c>
      <c r="N63">
        <v>0</v>
      </c>
      <c r="O63">
        <v>0</v>
      </c>
      <c r="P63" s="2">
        <f>(H63 + J63) - (L63 + N63)</f>
        <v>0</v>
      </c>
      <c r="Q63" s="2">
        <f>P63 * G63</f>
        <v>0</v>
      </c>
      <c r="R63">
        <v>37.4</v>
      </c>
      <c r="S63" s="2">
        <f>R63 * G63</f>
        <v>0</v>
      </c>
      <c r="T63" s="2">
        <f>(H63 + J63) - (L63 + N63) - R63</f>
        <v>0</v>
      </c>
      <c r="U63" s="2">
        <f>T63 * G63</f>
        <v>0</v>
      </c>
      <c r="V63" s="2">
        <f>I63 + K63 - S63</f>
        <v>0</v>
      </c>
      <c r="W63" s="2">
        <f>M63 - V63</f>
        <v>0</v>
      </c>
      <c r="X63" s="2">
        <f>IFERROR(W63 / M63 * 100, 0)</f>
        <v>0</v>
      </c>
    </row>
    <row r="64" spans="1:24">
      <c r="A64" t="s">
        <v>86</v>
      </c>
      <c r="B64" t="s">
        <v>512</v>
      </c>
      <c r="C64" t="s">
        <v>577</v>
      </c>
      <c r="D64" t="s">
        <v>1007</v>
      </c>
      <c r="E64" t="s">
        <v>1009</v>
      </c>
      <c r="F64" t="s">
        <v>1072</v>
      </c>
      <c r="G64">
        <v>10.75</v>
      </c>
      <c r="H64">
        <v>0</v>
      </c>
      <c r="I64">
        <v>0</v>
      </c>
      <c r="J64">
        <v>19.5</v>
      </c>
      <c r="K64">
        <v>209.63</v>
      </c>
      <c r="L64">
        <v>12.64</v>
      </c>
      <c r="M64">
        <v>183.32</v>
      </c>
      <c r="N64">
        <v>0</v>
      </c>
      <c r="O64">
        <v>0</v>
      </c>
      <c r="P64" s="2">
        <f>(H64 + J64) - (L64 + N64)</f>
        <v>0</v>
      </c>
      <c r="Q64" s="2">
        <f>P64 * G64</f>
        <v>0</v>
      </c>
      <c r="R64">
        <v>0</v>
      </c>
      <c r="S64" s="2">
        <f>R64 * G64</f>
        <v>0</v>
      </c>
      <c r="T64" s="2">
        <f>(H64 + J64) - (L64 + N64) - R64</f>
        <v>0</v>
      </c>
      <c r="U64" s="2">
        <f>T64 * G64</f>
        <v>0</v>
      </c>
      <c r="V64" s="2">
        <f>I64 + K64 - S64</f>
        <v>0</v>
      </c>
      <c r="W64" s="2">
        <f>M64 - V64</f>
        <v>0</v>
      </c>
      <c r="X64" s="2">
        <f>IFERROR(W64 / M64 * 100, 0)</f>
        <v>0</v>
      </c>
    </row>
    <row r="65" spans="1:24">
      <c r="A65" t="s">
        <v>87</v>
      </c>
      <c r="B65" t="s">
        <v>512</v>
      </c>
      <c r="C65" t="s">
        <v>578</v>
      </c>
      <c r="D65" t="s">
        <v>1007</v>
      </c>
      <c r="E65" t="s">
        <v>1009</v>
      </c>
      <c r="F65" t="s">
        <v>1073</v>
      </c>
      <c r="G65">
        <v>0.95</v>
      </c>
      <c r="H65">
        <v>0</v>
      </c>
      <c r="I65">
        <v>0</v>
      </c>
      <c r="J65">
        <v>5170.9</v>
      </c>
      <c r="K65">
        <v>4939.69</v>
      </c>
      <c r="L65">
        <v>4856.42</v>
      </c>
      <c r="M65">
        <v>8603.940000000001</v>
      </c>
      <c r="N65">
        <v>169</v>
      </c>
      <c r="O65">
        <v>162.32</v>
      </c>
      <c r="P65" s="2">
        <f>(H65 + J65) - (L65 + N65)</f>
        <v>0</v>
      </c>
      <c r="Q65" s="2">
        <f>P65 * G65</f>
        <v>0</v>
      </c>
      <c r="R65">
        <v>363.9</v>
      </c>
      <c r="S65" s="2">
        <f>R65 * G65</f>
        <v>0</v>
      </c>
      <c r="T65" s="2">
        <f>(H65 + J65) - (L65 + N65) - R65</f>
        <v>0</v>
      </c>
      <c r="U65" s="2">
        <f>T65 * G65</f>
        <v>0</v>
      </c>
      <c r="V65" s="2">
        <f>I65 + K65 - S65</f>
        <v>0</v>
      </c>
      <c r="W65" s="2">
        <f>M65 - V65</f>
        <v>0</v>
      </c>
      <c r="X65" s="2">
        <f>IFERROR(W65 / M65 * 100, 0)</f>
        <v>0</v>
      </c>
    </row>
    <row r="66" spans="1:24">
      <c r="A66" t="s">
        <v>88</v>
      </c>
      <c r="B66" t="s">
        <v>512</v>
      </c>
      <c r="C66" t="s">
        <v>579</v>
      </c>
      <c r="D66" t="s">
        <v>1007</v>
      </c>
      <c r="E66" t="s">
        <v>1009</v>
      </c>
      <c r="F66" t="s">
        <v>1074</v>
      </c>
      <c r="G66">
        <v>2.86</v>
      </c>
      <c r="H66">
        <v>558</v>
      </c>
      <c r="I66">
        <v>1148.2</v>
      </c>
      <c r="J66">
        <v>3962</v>
      </c>
      <c r="K66">
        <v>7811.08</v>
      </c>
      <c r="L66">
        <v>3654.4</v>
      </c>
      <c r="M66">
        <v>9942.41</v>
      </c>
      <c r="N66">
        <v>209</v>
      </c>
      <c r="O66">
        <v>530.05</v>
      </c>
      <c r="P66" s="2">
        <f>(H66 + J66) - (L66 + N66)</f>
        <v>0</v>
      </c>
      <c r="Q66" s="2">
        <f>P66 * G66</f>
        <v>0</v>
      </c>
      <c r="R66">
        <v>561.6</v>
      </c>
      <c r="S66" s="2">
        <f>R66 * G66</f>
        <v>0</v>
      </c>
      <c r="T66" s="2">
        <f>(H66 + J66) - (L66 + N66) - R66</f>
        <v>0</v>
      </c>
      <c r="U66" s="2">
        <f>T66 * G66</f>
        <v>0</v>
      </c>
      <c r="V66" s="2">
        <f>I66 + K66 - S66</f>
        <v>0</v>
      </c>
      <c r="W66" s="2">
        <f>M66 - V66</f>
        <v>0</v>
      </c>
      <c r="X66" s="2">
        <f>IFERROR(W66 / M66 * 100, 0)</f>
        <v>0</v>
      </c>
    </row>
    <row r="67" spans="1:24">
      <c r="A67" t="s">
        <v>89</v>
      </c>
      <c r="B67" t="s">
        <v>512</v>
      </c>
      <c r="C67" t="s">
        <v>580</v>
      </c>
      <c r="D67" t="s">
        <v>1007</v>
      </c>
      <c r="E67" t="s">
        <v>1009</v>
      </c>
      <c r="F67" t="s">
        <v>1075</v>
      </c>
      <c r="G67">
        <v>1.73</v>
      </c>
      <c r="H67">
        <v>116.2</v>
      </c>
      <c r="I67">
        <v>326.26</v>
      </c>
      <c r="J67">
        <v>1091.56</v>
      </c>
      <c r="K67">
        <v>2054.02</v>
      </c>
      <c r="L67">
        <v>1056.81</v>
      </c>
      <c r="M67">
        <v>3177.18</v>
      </c>
      <c r="N67">
        <v>43</v>
      </c>
      <c r="O67">
        <v>84.92</v>
      </c>
      <c r="P67" s="2">
        <f>(H67 + J67) - (L67 + N67)</f>
        <v>0</v>
      </c>
      <c r="Q67" s="2">
        <f>P67 * G67</f>
        <v>0</v>
      </c>
      <c r="R67">
        <v>62.4</v>
      </c>
      <c r="S67" s="2">
        <f>R67 * G67</f>
        <v>0</v>
      </c>
      <c r="T67" s="2">
        <f>(H67 + J67) - (L67 + N67) - R67</f>
        <v>0</v>
      </c>
      <c r="U67" s="2">
        <f>T67 * G67</f>
        <v>0</v>
      </c>
      <c r="V67" s="2">
        <f>I67 + K67 - S67</f>
        <v>0</v>
      </c>
      <c r="W67" s="2">
        <f>M67 - V67</f>
        <v>0</v>
      </c>
      <c r="X67" s="2">
        <f>IFERROR(W67 / M67 * 100, 0)</f>
        <v>0</v>
      </c>
    </row>
    <row r="68" spans="1:24">
      <c r="A68" t="s">
        <v>90</v>
      </c>
      <c r="B68" t="s">
        <v>512</v>
      </c>
      <c r="C68" t="s">
        <v>581</v>
      </c>
      <c r="D68" t="s">
        <v>1007</v>
      </c>
      <c r="E68" t="s">
        <v>1009</v>
      </c>
      <c r="F68" t="s">
        <v>1076</v>
      </c>
      <c r="G68">
        <v>12.68</v>
      </c>
      <c r="H68">
        <v>1</v>
      </c>
      <c r="I68">
        <v>13.25</v>
      </c>
      <c r="J68">
        <v>105</v>
      </c>
      <c r="K68">
        <v>1246.25</v>
      </c>
      <c r="L68">
        <v>64.56999999999999</v>
      </c>
      <c r="M68">
        <v>968.83</v>
      </c>
      <c r="N68">
        <v>10</v>
      </c>
      <c r="O68">
        <v>119.84</v>
      </c>
      <c r="P68" s="2">
        <f>(H68 + J68) - (L68 + N68)</f>
        <v>0</v>
      </c>
      <c r="Q68" s="2">
        <f>P68 * G68</f>
        <v>0</v>
      </c>
      <c r="R68">
        <v>25.8</v>
      </c>
      <c r="S68" s="2">
        <f>R68 * G68</f>
        <v>0</v>
      </c>
      <c r="T68" s="2">
        <f>(H68 + J68) - (L68 + N68) - R68</f>
        <v>0</v>
      </c>
      <c r="U68" s="2">
        <f>T68 * G68</f>
        <v>0</v>
      </c>
      <c r="V68" s="2">
        <f>I68 + K68 - S68</f>
        <v>0</v>
      </c>
      <c r="W68" s="2">
        <f>M68 - V68</f>
        <v>0</v>
      </c>
      <c r="X68" s="2">
        <f>IFERROR(W68 / M68 * 100, 0)</f>
        <v>0</v>
      </c>
    </row>
    <row r="69" spans="1:24">
      <c r="A69" t="s">
        <v>91</v>
      </c>
      <c r="B69" t="s">
        <v>512</v>
      </c>
      <c r="C69" t="s">
        <v>582</v>
      </c>
      <c r="D69" t="s">
        <v>1007</v>
      </c>
      <c r="E69" t="s">
        <v>1009</v>
      </c>
      <c r="F69" t="s">
        <v>1077</v>
      </c>
      <c r="G69">
        <v>6.75</v>
      </c>
      <c r="H69">
        <v>0</v>
      </c>
      <c r="I69">
        <v>0</v>
      </c>
      <c r="J69">
        <v>0</v>
      </c>
      <c r="K69">
        <v>0</v>
      </c>
      <c r="L69">
        <v>0.45</v>
      </c>
      <c r="M69">
        <v>3.15</v>
      </c>
      <c r="N69">
        <v>0</v>
      </c>
      <c r="O69">
        <v>0</v>
      </c>
      <c r="P69" s="2">
        <f>(H69 + J69) - (L69 + N69)</f>
        <v>0</v>
      </c>
      <c r="Q69" s="2">
        <f>P69 * G69</f>
        <v>0</v>
      </c>
      <c r="R69">
        <v>0</v>
      </c>
      <c r="S69" s="2">
        <f>R69 * G69</f>
        <v>0</v>
      </c>
      <c r="T69" s="2">
        <f>(H69 + J69) - (L69 + N69) - R69</f>
        <v>0</v>
      </c>
      <c r="U69" s="2">
        <f>T69 * G69</f>
        <v>0</v>
      </c>
      <c r="V69" s="2">
        <f>I69 + K69 - S69</f>
        <v>0</v>
      </c>
      <c r="W69" s="2">
        <f>M69 - V69</f>
        <v>0</v>
      </c>
      <c r="X69" s="2">
        <f>IFERROR(W69 / M69 * 100, 0)</f>
        <v>0</v>
      </c>
    </row>
    <row r="70" spans="1:24">
      <c r="A70" t="s">
        <v>92</v>
      </c>
      <c r="B70" t="s">
        <v>512</v>
      </c>
      <c r="C70" t="s">
        <v>583</v>
      </c>
      <c r="D70" t="s">
        <v>1007</v>
      </c>
      <c r="E70" t="s">
        <v>1009</v>
      </c>
      <c r="F70" t="s">
        <v>1078</v>
      </c>
      <c r="G70">
        <v>2.42</v>
      </c>
      <c r="H70">
        <v>6</v>
      </c>
      <c r="I70">
        <v>16.55</v>
      </c>
      <c r="J70">
        <v>1584.08</v>
      </c>
      <c r="K70">
        <v>4139.77</v>
      </c>
      <c r="L70">
        <v>1509.87</v>
      </c>
      <c r="M70">
        <v>7322.84</v>
      </c>
      <c r="N70">
        <v>29</v>
      </c>
      <c r="O70">
        <v>77.59</v>
      </c>
      <c r="P70" s="2">
        <f>(H70 + J70) - (L70 + N70)</f>
        <v>0</v>
      </c>
      <c r="Q70" s="2">
        <f>P70 * G70</f>
        <v>0</v>
      </c>
      <c r="R70">
        <v>131</v>
      </c>
      <c r="S70" s="2">
        <f>R70 * G70</f>
        <v>0</v>
      </c>
      <c r="T70" s="2">
        <f>(H70 + J70) - (L70 + N70) - R70</f>
        <v>0</v>
      </c>
      <c r="U70" s="2">
        <f>T70 * G70</f>
        <v>0</v>
      </c>
      <c r="V70" s="2">
        <f>I70 + K70 - S70</f>
        <v>0</v>
      </c>
      <c r="W70" s="2">
        <f>M70 - V70</f>
        <v>0</v>
      </c>
      <c r="X70" s="2">
        <f>IFERROR(W70 / M70 * 100, 0)</f>
        <v>0</v>
      </c>
    </row>
    <row r="71" spans="1:24">
      <c r="A71" t="s">
        <v>93</v>
      </c>
      <c r="B71" t="s">
        <v>512</v>
      </c>
      <c r="C71" t="s">
        <v>584</v>
      </c>
      <c r="D71" t="s">
        <v>1007</v>
      </c>
      <c r="E71" t="s">
        <v>1009</v>
      </c>
      <c r="F71" t="s">
        <v>1079</v>
      </c>
      <c r="G71">
        <v>2.71</v>
      </c>
      <c r="H71">
        <v>50</v>
      </c>
      <c r="I71">
        <v>158.94</v>
      </c>
      <c r="J71">
        <v>397</v>
      </c>
      <c r="K71">
        <v>1177.53</v>
      </c>
      <c r="L71">
        <v>338.39</v>
      </c>
      <c r="M71">
        <v>1861.08</v>
      </c>
      <c r="N71">
        <v>16</v>
      </c>
      <c r="O71">
        <v>48.79</v>
      </c>
      <c r="P71" s="2">
        <f>(H71 + J71) - (L71 + N71)</f>
        <v>0</v>
      </c>
      <c r="Q71" s="2">
        <f>P71 * G71</f>
        <v>0</v>
      </c>
      <c r="R71">
        <v>61.7</v>
      </c>
      <c r="S71" s="2">
        <f>R71 * G71</f>
        <v>0</v>
      </c>
      <c r="T71" s="2">
        <f>(H71 + J71) - (L71 + N71) - R71</f>
        <v>0</v>
      </c>
      <c r="U71" s="2">
        <f>T71 * G71</f>
        <v>0</v>
      </c>
      <c r="V71" s="2">
        <f>I71 + K71 - S71</f>
        <v>0</v>
      </c>
      <c r="W71" s="2">
        <f>M71 - V71</f>
        <v>0</v>
      </c>
      <c r="X71" s="2">
        <f>IFERROR(W71 / M71 * 100, 0)</f>
        <v>0</v>
      </c>
    </row>
    <row r="72" spans="1:24">
      <c r="A72" t="s">
        <v>94</v>
      </c>
      <c r="B72" t="s">
        <v>512</v>
      </c>
      <c r="C72" t="s">
        <v>585</v>
      </c>
      <c r="D72" t="s">
        <v>1007</v>
      </c>
      <c r="E72" t="s">
        <v>1009</v>
      </c>
      <c r="F72" t="s">
        <v>1080</v>
      </c>
      <c r="G72">
        <v>4.81</v>
      </c>
      <c r="H72">
        <v>76</v>
      </c>
      <c r="I72">
        <v>243.51</v>
      </c>
      <c r="J72">
        <v>619.05</v>
      </c>
      <c r="K72">
        <v>2719.6</v>
      </c>
      <c r="L72">
        <v>463.1</v>
      </c>
      <c r="M72">
        <v>3936.23</v>
      </c>
      <c r="N72">
        <v>68</v>
      </c>
      <c r="O72">
        <v>296.98</v>
      </c>
      <c r="P72" s="2">
        <f>(H72 + J72) - (L72 + N72)</f>
        <v>0</v>
      </c>
      <c r="Q72" s="2">
        <f>P72 * G72</f>
        <v>0</v>
      </c>
      <c r="R72">
        <v>107</v>
      </c>
      <c r="S72" s="2">
        <f>R72 * G72</f>
        <v>0</v>
      </c>
      <c r="T72" s="2">
        <f>(H72 + J72) - (L72 + N72) - R72</f>
        <v>0</v>
      </c>
      <c r="U72" s="2">
        <f>T72 * G72</f>
        <v>0</v>
      </c>
      <c r="V72" s="2">
        <f>I72 + K72 - S72</f>
        <v>0</v>
      </c>
      <c r="W72" s="2">
        <f>M72 - V72</f>
        <v>0</v>
      </c>
      <c r="X72" s="2">
        <f>IFERROR(W72 / M72 * 100, 0)</f>
        <v>0</v>
      </c>
    </row>
    <row r="73" spans="1:24">
      <c r="A73" t="s">
        <v>95</v>
      </c>
      <c r="B73" t="s">
        <v>512</v>
      </c>
      <c r="C73" t="s">
        <v>586</v>
      </c>
      <c r="D73" t="s">
        <v>1007</v>
      </c>
      <c r="E73" t="s">
        <v>1009</v>
      </c>
      <c r="F73" t="s">
        <v>1081</v>
      </c>
      <c r="G73">
        <v>5.5</v>
      </c>
      <c r="H73">
        <v>0</v>
      </c>
      <c r="I73">
        <v>0</v>
      </c>
      <c r="J73">
        <v>29</v>
      </c>
      <c r="K73">
        <v>159.5</v>
      </c>
      <c r="L73">
        <v>1.84</v>
      </c>
      <c r="M73">
        <v>11.05</v>
      </c>
      <c r="N73">
        <v>2</v>
      </c>
      <c r="O73">
        <v>11</v>
      </c>
      <c r="P73" s="2">
        <f>(H73 + J73) - (L73 + N73)</f>
        <v>0</v>
      </c>
      <c r="Q73" s="2">
        <f>P73 * G73</f>
        <v>0</v>
      </c>
      <c r="R73">
        <v>0</v>
      </c>
      <c r="S73" s="2">
        <f>R73 * G73</f>
        <v>0</v>
      </c>
      <c r="T73" s="2">
        <f>(H73 + J73) - (L73 + N73) - R73</f>
        <v>0</v>
      </c>
      <c r="U73" s="2">
        <f>T73 * G73</f>
        <v>0</v>
      </c>
      <c r="V73" s="2">
        <f>I73 + K73 - S73</f>
        <v>0</v>
      </c>
      <c r="W73" s="2">
        <f>M73 - V73</f>
        <v>0</v>
      </c>
      <c r="X73" s="2">
        <f>IFERROR(W73 / M73 * 100, 0)</f>
        <v>0</v>
      </c>
    </row>
    <row r="74" spans="1:24">
      <c r="A74" t="s">
        <v>96</v>
      </c>
      <c r="B74" t="s">
        <v>512</v>
      </c>
      <c r="C74" t="s">
        <v>587</v>
      </c>
      <c r="D74" t="s">
        <v>1008</v>
      </c>
      <c r="E74" t="s">
        <v>1009</v>
      </c>
      <c r="F74" t="s">
        <v>1082</v>
      </c>
      <c r="G74">
        <v>9</v>
      </c>
      <c r="H74">
        <v>0</v>
      </c>
      <c r="I74">
        <v>0</v>
      </c>
      <c r="J74">
        <v>36</v>
      </c>
      <c r="K74">
        <v>324</v>
      </c>
      <c r="L74">
        <v>91</v>
      </c>
      <c r="M74">
        <v>887.25</v>
      </c>
      <c r="N74">
        <v>0</v>
      </c>
      <c r="O74">
        <v>0</v>
      </c>
      <c r="P74" s="2">
        <f>(H74 + J74) - (L74 + N74)</f>
        <v>0</v>
      </c>
      <c r="Q74" s="2">
        <f>P74 * G74</f>
        <v>0</v>
      </c>
      <c r="R74">
        <v>11</v>
      </c>
      <c r="S74" s="2">
        <f>R74 * G74</f>
        <v>0</v>
      </c>
      <c r="T74" s="2">
        <f>(H74 + J74) - (L74 + N74) - R74</f>
        <v>0</v>
      </c>
      <c r="U74" s="2">
        <f>T74 * G74</f>
        <v>0</v>
      </c>
      <c r="V74" s="2">
        <f>I74 + K74 - S74</f>
        <v>0</v>
      </c>
      <c r="W74" s="2">
        <f>M74 - V74</f>
        <v>0</v>
      </c>
      <c r="X74" s="2">
        <f>IFERROR(W74 / M74 * 100, 0)</f>
        <v>0</v>
      </c>
    </row>
    <row r="75" spans="1:24">
      <c r="A75" t="s">
        <v>97</v>
      </c>
      <c r="B75" t="s">
        <v>512</v>
      </c>
      <c r="C75" t="s">
        <v>588</v>
      </c>
      <c r="D75" t="s">
        <v>1007</v>
      </c>
      <c r="E75" t="s">
        <v>1009</v>
      </c>
      <c r="F75" t="s">
        <v>1083</v>
      </c>
      <c r="G75">
        <v>1.8</v>
      </c>
      <c r="H75">
        <v>0</v>
      </c>
      <c r="I75">
        <v>0</v>
      </c>
      <c r="J75">
        <v>0</v>
      </c>
      <c r="K75">
        <v>0</v>
      </c>
      <c r="L75">
        <v>2.96</v>
      </c>
      <c r="M75">
        <v>6.94</v>
      </c>
      <c r="N75">
        <v>0</v>
      </c>
      <c r="O75">
        <v>0</v>
      </c>
      <c r="P75" s="2">
        <f>(H75 + J75) - (L75 + N75)</f>
        <v>0</v>
      </c>
      <c r="Q75" s="2">
        <f>P75 * G75</f>
        <v>0</v>
      </c>
      <c r="R75">
        <v>0</v>
      </c>
      <c r="S75" s="2">
        <f>R75 * G75</f>
        <v>0</v>
      </c>
      <c r="T75" s="2">
        <f>(H75 + J75) - (L75 + N75) - R75</f>
        <v>0</v>
      </c>
      <c r="U75" s="2">
        <f>T75 * G75</f>
        <v>0</v>
      </c>
      <c r="V75" s="2">
        <f>I75 + K75 - S75</f>
        <v>0</v>
      </c>
      <c r="W75" s="2">
        <f>M75 - V75</f>
        <v>0</v>
      </c>
      <c r="X75" s="2">
        <f>IFERROR(W75 / M75 * 100, 0)</f>
        <v>0</v>
      </c>
    </row>
    <row r="76" spans="1:24">
      <c r="A76" t="s">
        <v>98</v>
      </c>
      <c r="B76" t="s">
        <v>512</v>
      </c>
      <c r="C76" t="s">
        <v>589</v>
      </c>
      <c r="D76" t="s">
        <v>1007</v>
      </c>
      <c r="E76" t="s">
        <v>1009</v>
      </c>
      <c r="F76" t="s">
        <v>1084</v>
      </c>
      <c r="G76">
        <v>12</v>
      </c>
      <c r="H76">
        <v>0</v>
      </c>
      <c r="I76">
        <v>0</v>
      </c>
      <c r="J76">
        <v>0</v>
      </c>
      <c r="K76">
        <v>0</v>
      </c>
      <c r="L76">
        <v>0.5</v>
      </c>
      <c r="M76">
        <v>6.9</v>
      </c>
      <c r="N76">
        <v>0</v>
      </c>
      <c r="O76">
        <v>0</v>
      </c>
      <c r="P76" s="2">
        <f>(H76 + J76) - (L76 + N76)</f>
        <v>0</v>
      </c>
      <c r="Q76" s="2">
        <f>P76 * G76</f>
        <v>0</v>
      </c>
      <c r="R76">
        <v>0</v>
      </c>
      <c r="S76" s="2">
        <f>R76 * G76</f>
        <v>0</v>
      </c>
      <c r="T76" s="2">
        <f>(H76 + J76) - (L76 + N76) - R76</f>
        <v>0</v>
      </c>
      <c r="U76" s="2">
        <f>T76 * G76</f>
        <v>0</v>
      </c>
      <c r="V76" s="2">
        <f>I76 + K76 - S76</f>
        <v>0</v>
      </c>
      <c r="W76" s="2">
        <f>M76 - V76</f>
        <v>0</v>
      </c>
      <c r="X76" s="2">
        <f>IFERROR(W76 / M76 * 100, 0)</f>
        <v>0</v>
      </c>
    </row>
    <row r="77" spans="1:24">
      <c r="A77" t="s">
        <v>99</v>
      </c>
      <c r="B77" t="s">
        <v>512</v>
      </c>
      <c r="C77" t="s">
        <v>590</v>
      </c>
      <c r="D77" t="s">
        <v>1007</v>
      </c>
      <c r="E77" t="s">
        <v>1009</v>
      </c>
      <c r="F77" t="s">
        <v>1085</v>
      </c>
      <c r="G77">
        <v>2.6</v>
      </c>
      <c r="H77">
        <v>0</v>
      </c>
      <c r="I77">
        <v>0</v>
      </c>
      <c r="J77">
        <v>0</v>
      </c>
      <c r="K77">
        <v>0</v>
      </c>
      <c r="L77">
        <v>14.2</v>
      </c>
      <c r="M77">
        <v>46.15</v>
      </c>
      <c r="N77">
        <v>0</v>
      </c>
      <c r="O77">
        <v>0</v>
      </c>
      <c r="P77" s="2">
        <f>(H77 + J77) - (L77 + N77)</f>
        <v>0</v>
      </c>
      <c r="Q77" s="2">
        <f>P77 * G77</f>
        <v>0</v>
      </c>
      <c r="R77">
        <v>0</v>
      </c>
      <c r="S77" s="2">
        <f>R77 * G77</f>
        <v>0</v>
      </c>
      <c r="T77" s="2">
        <f>(H77 + J77) - (L77 + N77) - R77</f>
        <v>0</v>
      </c>
      <c r="U77" s="2">
        <f>T77 * G77</f>
        <v>0</v>
      </c>
      <c r="V77" s="2">
        <f>I77 + K77 - S77</f>
        <v>0</v>
      </c>
      <c r="W77" s="2">
        <f>M77 - V77</f>
        <v>0</v>
      </c>
      <c r="X77" s="2">
        <f>IFERROR(W77 / M77 * 100, 0)</f>
        <v>0</v>
      </c>
    </row>
    <row r="78" spans="1:24">
      <c r="A78" t="s">
        <v>100</v>
      </c>
      <c r="B78" t="s">
        <v>512</v>
      </c>
      <c r="C78" t="s">
        <v>591</v>
      </c>
      <c r="D78" t="s">
        <v>1007</v>
      </c>
      <c r="E78" t="s">
        <v>1009</v>
      </c>
      <c r="F78" t="s">
        <v>1086</v>
      </c>
      <c r="G78">
        <v>4</v>
      </c>
      <c r="H78">
        <v>0</v>
      </c>
      <c r="I78">
        <v>0</v>
      </c>
      <c r="J78">
        <v>0</v>
      </c>
      <c r="K78">
        <v>0</v>
      </c>
      <c r="L78">
        <v>1.89</v>
      </c>
      <c r="M78">
        <v>9.470000000000001</v>
      </c>
      <c r="N78">
        <v>0</v>
      </c>
      <c r="O78">
        <v>0</v>
      </c>
      <c r="P78" s="2">
        <f>(H78 + J78) - (L78 + N78)</f>
        <v>0</v>
      </c>
      <c r="Q78" s="2">
        <f>P78 * G78</f>
        <v>0</v>
      </c>
      <c r="R78">
        <v>0</v>
      </c>
      <c r="S78" s="2">
        <f>R78 * G78</f>
        <v>0</v>
      </c>
      <c r="T78" s="2">
        <f>(H78 + J78) - (L78 + N78) - R78</f>
        <v>0</v>
      </c>
      <c r="U78" s="2">
        <f>T78 * G78</f>
        <v>0</v>
      </c>
      <c r="V78" s="2">
        <f>I78 + K78 - S78</f>
        <v>0</v>
      </c>
      <c r="W78" s="2">
        <f>M78 - V78</f>
        <v>0</v>
      </c>
      <c r="X78" s="2">
        <f>IFERROR(W78 / M78 * 100, 0)</f>
        <v>0</v>
      </c>
    </row>
    <row r="79" spans="1:24">
      <c r="A79" t="s">
        <v>101</v>
      </c>
      <c r="B79" t="s">
        <v>512</v>
      </c>
      <c r="C79" t="s">
        <v>592</v>
      </c>
      <c r="D79" t="s">
        <v>1007</v>
      </c>
      <c r="E79" t="s">
        <v>1009</v>
      </c>
      <c r="F79" t="s">
        <v>1087</v>
      </c>
      <c r="G79">
        <v>4.02</v>
      </c>
      <c r="H79">
        <v>150.6</v>
      </c>
      <c r="I79">
        <v>602.4</v>
      </c>
      <c r="J79">
        <v>6458.8</v>
      </c>
      <c r="K79">
        <v>24939.56</v>
      </c>
      <c r="L79">
        <v>6291.35</v>
      </c>
      <c r="M79">
        <v>33865.27</v>
      </c>
      <c r="N79">
        <v>44</v>
      </c>
      <c r="O79">
        <v>180.08</v>
      </c>
      <c r="P79" s="2">
        <f>(H79 + J79) - (L79 + N79)</f>
        <v>0</v>
      </c>
      <c r="Q79" s="2">
        <f>P79 * G79</f>
        <v>0</v>
      </c>
      <c r="R79">
        <v>417</v>
      </c>
      <c r="S79" s="2">
        <f>R79 * G79</f>
        <v>0</v>
      </c>
      <c r="T79" s="2">
        <f>(H79 + J79) - (L79 + N79) - R79</f>
        <v>0</v>
      </c>
      <c r="U79" s="2">
        <f>T79 * G79</f>
        <v>0</v>
      </c>
      <c r="V79" s="2">
        <f>I79 + K79 - S79</f>
        <v>0</v>
      </c>
      <c r="W79" s="2">
        <f>M79 - V79</f>
        <v>0</v>
      </c>
      <c r="X79" s="2">
        <f>IFERROR(W79 / M79 * 100, 0)</f>
        <v>0</v>
      </c>
    </row>
    <row r="80" spans="1:24">
      <c r="A80" t="s">
        <v>102</v>
      </c>
      <c r="B80" t="s">
        <v>512</v>
      </c>
      <c r="C80" t="s">
        <v>593</v>
      </c>
      <c r="D80" t="s">
        <v>1007</v>
      </c>
      <c r="E80" t="s">
        <v>1009</v>
      </c>
      <c r="F80" t="s">
        <v>1088</v>
      </c>
      <c r="G80">
        <v>2.78</v>
      </c>
      <c r="H80">
        <v>0</v>
      </c>
      <c r="I80">
        <v>0</v>
      </c>
      <c r="J80">
        <v>0</v>
      </c>
      <c r="K80">
        <v>0.04</v>
      </c>
      <c r="L80">
        <v>0.06</v>
      </c>
      <c r="M80">
        <v>0.45</v>
      </c>
      <c r="N80">
        <v>0</v>
      </c>
      <c r="O80">
        <v>0</v>
      </c>
      <c r="P80" s="2">
        <f>(H80 + J80) - (L80 + N80)</f>
        <v>0</v>
      </c>
      <c r="Q80" s="2">
        <f>P80 * G80</f>
        <v>0</v>
      </c>
      <c r="R80">
        <v>0</v>
      </c>
      <c r="S80" s="2">
        <f>R80 * G80</f>
        <v>0</v>
      </c>
      <c r="T80" s="2">
        <f>(H80 + J80) - (L80 + N80) - R80</f>
        <v>0</v>
      </c>
      <c r="U80" s="2">
        <f>T80 * G80</f>
        <v>0</v>
      </c>
      <c r="V80" s="2">
        <f>I80 + K80 - S80</f>
        <v>0</v>
      </c>
      <c r="W80" s="2">
        <f>M80 - V80</f>
        <v>0</v>
      </c>
      <c r="X80" s="2">
        <f>IFERROR(W80 / M80 * 100, 0)</f>
        <v>0</v>
      </c>
    </row>
    <row r="81" spans="1:24">
      <c r="A81" t="s">
        <v>103</v>
      </c>
      <c r="B81" t="s">
        <v>512</v>
      </c>
      <c r="C81" t="s">
        <v>594</v>
      </c>
      <c r="D81" t="s">
        <v>1007</v>
      </c>
      <c r="E81" t="s">
        <v>1009</v>
      </c>
      <c r="F81" t="s">
        <v>1089</v>
      </c>
      <c r="G81">
        <v>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2</v>
      </c>
      <c r="O81">
        <v>10</v>
      </c>
      <c r="P81" s="2">
        <f>(H81 + J81) - (L81 + N81)</f>
        <v>0</v>
      </c>
      <c r="Q81" s="2">
        <f>P81 * G81</f>
        <v>0</v>
      </c>
      <c r="R81">
        <v>0</v>
      </c>
      <c r="S81" s="2">
        <f>R81 * G81</f>
        <v>0</v>
      </c>
      <c r="T81" s="2">
        <f>(H81 + J81) - (L81 + N81) - R81</f>
        <v>0</v>
      </c>
      <c r="U81" s="2">
        <f>T81 * G81</f>
        <v>0</v>
      </c>
      <c r="V81" s="2">
        <f>I81 + K81 - S81</f>
        <v>0</v>
      </c>
      <c r="W81" s="2">
        <f>M81 - V81</f>
        <v>0</v>
      </c>
      <c r="X81" s="2">
        <f>IFERROR(W81 / M81 * 100, 0)</f>
        <v>0</v>
      </c>
    </row>
    <row r="82" spans="1:24">
      <c r="A82" t="s">
        <v>104</v>
      </c>
      <c r="B82" t="s">
        <v>512</v>
      </c>
      <c r="C82" t="s">
        <v>595</v>
      </c>
      <c r="D82" t="s">
        <v>1007</v>
      </c>
      <c r="E82" t="s">
        <v>1009</v>
      </c>
      <c r="F82" t="s">
        <v>1090</v>
      </c>
      <c r="G82">
        <v>4.37</v>
      </c>
      <c r="H82">
        <v>0</v>
      </c>
      <c r="I82">
        <v>0</v>
      </c>
      <c r="J82">
        <v>0</v>
      </c>
      <c r="K82">
        <v>0</v>
      </c>
      <c r="L82">
        <v>0.4</v>
      </c>
      <c r="M82">
        <v>1.8</v>
      </c>
      <c r="N82">
        <v>0</v>
      </c>
      <c r="O82">
        <v>0</v>
      </c>
      <c r="P82" s="2">
        <f>(H82 + J82) - (L82 + N82)</f>
        <v>0</v>
      </c>
      <c r="Q82" s="2">
        <f>P82 * G82</f>
        <v>0</v>
      </c>
      <c r="R82">
        <v>0</v>
      </c>
      <c r="S82" s="2">
        <f>R82 * G82</f>
        <v>0</v>
      </c>
      <c r="T82" s="2">
        <f>(H82 + J82) - (L82 + N82) - R82</f>
        <v>0</v>
      </c>
      <c r="U82" s="2">
        <f>T82 * G82</f>
        <v>0</v>
      </c>
      <c r="V82" s="2">
        <f>I82 + K82 - S82</f>
        <v>0</v>
      </c>
      <c r="W82" s="2">
        <f>M82 - V82</f>
        <v>0</v>
      </c>
      <c r="X82" s="2">
        <f>IFERROR(W82 / M82 * 100, 0)</f>
        <v>0</v>
      </c>
    </row>
    <row r="83" spans="1:24">
      <c r="A83" t="s">
        <v>105</v>
      </c>
      <c r="B83" t="s">
        <v>512</v>
      </c>
      <c r="C83" t="s">
        <v>596</v>
      </c>
      <c r="D83" t="s">
        <v>1007</v>
      </c>
      <c r="E83" t="s">
        <v>1009</v>
      </c>
      <c r="F83" t="s">
        <v>1091</v>
      </c>
      <c r="G83">
        <v>5</v>
      </c>
      <c r="H83">
        <v>0</v>
      </c>
      <c r="I83">
        <v>0</v>
      </c>
      <c r="J83">
        <v>0</v>
      </c>
      <c r="K83">
        <v>0</v>
      </c>
      <c r="L83">
        <v>0.66</v>
      </c>
      <c r="M83">
        <v>1.65</v>
      </c>
      <c r="N83">
        <v>0</v>
      </c>
      <c r="O83">
        <v>0</v>
      </c>
      <c r="P83" s="2">
        <f>(H83 + J83) - (L83 + N83)</f>
        <v>0</v>
      </c>
      <c r="Q83" s="2">
        <f>P83 * G83</f>
        <v>0</v>
      </c>
      <c r="R83">
        <v>0</v>
      </c>
      <c r="S83" s="2">
        <f>R83 * G83</f>
        <v>0</v>
      </c>
      <c r="T83" s="2">
        <f>(H83 + J83) - (L83 + N83) - R83</f>
        <v>0</v>
      </c>
      <c r="U83" s="2">
        <f>T83 * G83</f>
        <v>0</v>
      </c>
      <c r="V83" s="2">
        <f>I83 + K83 - S83</f>
        <v>0</v>
      </c>
      <c r="W83" s="2">
        <f>M83 - V83</f>
        <v>0</v>
      </c>
      <c r="X83" s="2">
        <f>IFERROR(W83 / M83 * 100, 0)</f>
        <v>0</v>
      </c>
    </row>
    <row r="84" spans="1:24">
      <c r="A84" t="s">
        <v>106</v>
      </c>
      <c r="B84" t="s">
        <v>512</v>
      </c>
      <c r="C84" t="s">
        <v>597</v>
      </c>
      <c r="D84" t="s">
        <v>1007</v>
      </c>
      <c r="E84" t="s">
        <v>1009</v>
      </c>
      <c r="F84" t="s">
        <v>1092</v>
      </c>
      <c r="G84">
        <v>17.36</v>
      </c>
      <c r="H84">
        <v>0</v>
      </c>
      <c r="I84">
        <v>0</v>
      </c>
      <c r="J84">
        <v>0</v>
      </c>
      <c r="K84">
        <v>0</v>
      </c>
      <c r="L84">
        <v>2.58</v>
      </c>
      <c r="M84">
        <v>47.78</v>
      </c>
      <c r="N84">
        <v>0</v>
      </c>
      <c r="O84">
        <v>0</v>
      </c>
      <c r="P84" s="2">
        <f>(H84 + J84) - (L84 + N84)</f>
        <v>0</v>
      </c>
      <c r="Q84" s="2">
        <f>P84 * G84</f>
        <v>0</v>
      </c>
      <c r="R84">
        <v>0</v>
      </c>
      <c r="S84" s="2">
        <f>R84 * G84</f>
        <v>0</v>
      </c>
      <c r="T84" s="2">
        <f>(H84 + J84) - (L84 + N84) - R84</f>
        <v>0</v>
      </c>
      <c r="U84" s="2">
        <f>T84 * G84</f>
        <v>0</v>
      </c>
      <c r="V84" s="2">
        <f>I84 + K84 - S84</f>
        <v>0</v>
      </c>
      <c r="W84" s="2">
        <f>M84 - V84</f>
        <v>0</v>
      </c>
      <c r="X84" s="2">
        <f>IFERROR(W84 / M84 * 100, 0)</f>
        <v>0</v>
      </c>
    </row>
    <row r="85" spans="1:24">
      <c r="A85" t="s">
        <v>107</v>
      </c>
      <c r="B85" t="s">
        <v>512</v>
      </c>
      <c r="C85" t="s">
        <v>598</v>
      </c>
      <c r="D85" t="s">
        <v>1007</v>
      </c>
      <c r="E85" t="s">
        <v>1009</v>
      </c>
      <c r="F85" t="s">
        <v>1093</v>
      </c>
      <c r="G85">
        <v>2.42</v>
      </c>
      <c r="H85">
        <v>0</v>
      </c>
      <c r="I85">
        <v>0</v>
      </c>
      <c r="J85">
        <v>-8.41</v>
      </c>
      <c r="K85">
        <v>-20.36</v>
      </c>
      <c r="L85">
        <v>0</v>
      </c>
      <c r="M85">
        <v>0</v>
      </c>
      <c r="N85">
        <v>0</v>
      </c>
      <c r="O85">
        <v>0</v>
      </c>
      <c r="P85" s="2">
        <f>(H85 + J85) - (L85 + N85)</f>
        <v>0</v>
      </c>
      <c r="Q85" s="2">
        <f>P85 * G85</f>
        <v>0</v>
      </c>
      <c r="R85">
        <v>0</v>
      </c>
      <c r="S85" s="2">
        <f>R85 * G85</f>
        <v>0</v>
      </c>
      <c r="T85" s="2">
        <f>(H85 + J85) - (L85 + N85) - R85</f>
        <v>0</v>
      </c>
      <c r="U85" s="2">
        <f>T85 * G85</f>
        <v>0</v>
      </c>
      <c r="V85" s="2">
        <f>I85 + K85 - S85</f>
        <v>0</v>
      </c>
      <c r="W85" s="2">
        <f>M85 - V85</f>
        <v>0</v>
      </c>
      <c r="X85" s="2">
        <f>IFERROR(W85 / M85 * 100, 0)</f>
        <v>0</v>
      </c>
    </row>
    <row r="86" spans="1:24">
      <c r="A86" t="s">
        <v>108</v>
      </c>
      <c r="B86" t="s">
        <v>512</v>
      </c>
      <c r="C86" t="s">
        <v>599</v>
      </c>
      <c r="D86" t="s">
        <v>1008</v>
      </c>
      <c r="E86" t="s">
        <v>1009</v>
      </c>
      <c r="F86" t="s">
        <v>1094</v>
      </c>
      <c r="G86">
        <v>1.5</v>
      </c>
      <c r="H86">
        <v>0</v>
      </c>
      <c r="I86">
        <v>0</v>
      </c>
      <c r="J86">
        <v>0</v>
      </c>
      <c r="K86">
        <v>0</v>
      </c>
      <c r="L86">
        <v>1</v>
      </c>
      <c r="M86">
        <v>13.75</v>
      </c>
      <c r="N86">
        <v>0</v>
      </c>
      <c r="O86">
        <v>0</v>
      </c>
      <c r="P86" s="2">
        <f>(H86 + J86) - (L86 + N86)</f>
        <v>0</v>
      </c>
      <c r="Q86" s="2">
        <f>P86 * G86</f>
        <v>0</v>
      </c>
      <c r="R86">
        <v>0</v>
      </c>
      <c r="S86" s="2">
        <f>R86 * G86</f>
        <v>0</v>
      </c>
      <c r="T86" s="2">
        <f>(H86 + J86) - (L86 + N86) - R86</f>
        <v>0</v>
      </c>
      <c r="U86" s="2">
        <f>T86 * G86</f>
        <v>0</v>
      </c>
      <c r="V86" s="2">
        <f>I86 + K86 - S86</f>
        <v>0</v>
      </c>
      <c r="W86" s="2">
        <f>M86 - V86</f>
        <v>0</v>
      </c>
      <c r="X86" s="2">
        <f>IFERROR(W86 / M86 * 100, 0)</f>
        <v>0</v>
      </c>
    </row>
    <row r="87" spans="1:24">
      <c r="A87" t="s">
        <v>109</v>
      </c>
      <c r="B87" t="s">
        <v>512</v>
      </c>
      <c r="C87" t="s">
        <v>600</v>
      </c>
      <c r="D87" t="s">
        <v>1008</v>
      </c>
      <c r="E87" t="s">
        <v>1009</v>
      </c>
      <c r="F87" t="s">
        <v>1095</v>
      </c>
      <c r="G87">
        <v>5.41</v>
      </c>
      <c r="H87">
        <v>0</v>
      </c>
      <c r="I87">
        <v>0</v>
      </c>
      <c r="J87">
        <v>0</v>
      </c>
      <c r="K87">
        <v>0</v>
      </c>
      <c r="L87">
        <v>1</v>
      </c>
      <c r="M87">
        <v>6.5</v>
      </c>
      <c r="N87">
        <v>0</v>
      </c>
      <c r="O87">
        <v>0</v>
      </c>
      <c r="P87" s="2">
        <f>(H87 + J87) - (L87 + N87)</f>
        <v>0</v>
      </c>
      <c r="Q87" s="2">
        <f>P87 * G87</f>
        <v>0</v>
      </c>
      <c r="R87">
        <v>0</v>
      </c>
      <c r="S87" s="2">
        <f>R87 * G87</f>
        <v>0</v>
      </c>
      <c r="T87" s="2">
        <f>(H87 + J87) - (L87 + N87) - R87</f>
        <v>0</v>
      </c>
      <c r="U87" s="2">
        <f>T87 * G87</f>
        <v>0</v>
      </c>
      <c r="V87" s="2">
        <f>I87 + K87 - S87</f>
        <v>0</v>
      </c>
      <c r="W87" s="2">
        <f>M87 - V87</f>
        <v>0</v>
      </c>
      <c r="X87" s="2">
        <f>IFERROR(W87 / M87 * 100, 0)</f>
        <v>0</v>
      </c>
    </row>
    <row r="88" spans="1:24">
      <c r="A88" t="s">
        <v>110</v>
      </c>
      <c r="B88" t="s">
        <v>512</v>
      </c>
      <c r="C88" t="s">
        <v>601</v>
      </c>
      <c r="D88" t="s">
        <v>1007</v>
      </c>
      <c r="E88" t="s">
        <v>1009</v>
      </c>
      <c r="F88" t="s">
        <v>1096</v>
      </c>
      <c r="G88">
        <v>2</v>
      </c>
      <c r="H88">
        <v>0</v>
      </c>
      <c r="I88">
        <v>0</v>
      </c>
      <c r="J88">
        <v>60</v>
      </c>
      <c r="K88">
        <v>120</v>
      </c>
      <c r="L88">
        <v>0</v>
      </c>
      <c r="M88">
        <v>0</v>
      </c>
      <c r="N88">
        <v>0</v>
      </c>
      <c r="O88">
        <v>0</v>
      </c>
      <c r="P88" s="2">
        <f>(H88 + J88) - (L88 + N88)</f>
        <v>0</v>
      </c>
      <c r="Q88" s="2">
        <f>P88 * G88</f>
        <v>0</v>
      </c>
      <c r="R88">
        <v>0</v>
      </c>
      <c r="S88" s="2">
        <f>R88 * G88</f>
        <v>0</v>
      </c>
      <c r="T88" s="2">
        <f>(H88 + J88) - (L88 + N88) - R88</f>
        <v>0</v>
      </c>
      <c r="U88" s="2">
        <f>T88 * G88</f>
        <v>0</v>
      </c>
      <c r="V88" s="2">
        <f>I88 + K88 - S88</f>
        <v>0</v>
      </c>
      <c r="W88" s="2">
        <f>M88 - V88</f>
        <v>0</v>
      </c>
      <c r="X88" s="2">
        <f>IFERROR(W88 / M88 * 100, 0)</f>
        <v>0</v>
      </c>
    </row>
    <row r="89" spans="1:24">
      <c r="A89" t="s">
        <v>111</v>
      </c>
      <c r="B89" t="s">
        <v>512</v>
      </c>
      <c r="C89" t="s">
        <v>602</v>
      </c>
      <c r="D89" t="s">
        <v>1007</v>
      </c>
      <c r="E89" t="s">
        <v>1009</v>
      </c>
      <c r="F89" t="s">
        <v>1097</v>
      </c>
      <c r="G89">
        <v>2</v>
      </c>
      <c r="H89">
        <v>0</v>
      </c>
      <c r="I89">
        <v>0</v>
      </c>
      <c r="J89">
        <v>63</v>
      </c>
      <c r="K89">
        <v>126</v>
      </c>
      <c r="L89">
        <v>0</v>
      </c>
      <c r="M89">
        <v>0</v>
      </c>
      <c r="N89">
        <v>0</v>
      </c>
      <c r="O89">
        <v>0</v>
      </c>
      <c r="P89" s="2">
        <f>(H89 + J89) - (L89 + N89)</f>
        <v>0</v>
      </c>
      <c r="Q89" s="2">
        <f>P89 * G89</f>
        <v>0</v>
      </c>
      <c r="R89">
        <v>0</v>
      </c>
      <c r="S89" s="2">
        <f>R89 * G89</f>
        <v>0</v>
      </c>
      <c r="T89" s="2">
        <f>(H89 + J89) - (L89 + N89) - R89</f>
        <v>0</v>
      </c>
      <c r="U89" s="2">
        <f>T89 * G89</f>
        <v>0</v>
      </c>
      <c r="V89" s="2">
        <f>I89 + K89 - S89</f>
        <v>0</v>
      </c>
      <c r="W89" s="2">
        <f>M89 - V89</f>
        <v>0</v>
      </c>
      <c r="X89" s="2">
        <f>IFERROR(W89 / M89 * 100, 0)</f>
        <v>0</v>
      </c>
    </row>
    <row r="90" spans="1:24">
      <c r="A90" t="s">
        <v>112</v>
      </c>
      <c r="B90" t="s">
        <v>512</v>
      </c>
      <c r="C90" t="s">
        <v>603</v>
      </c>
      <c r="D90" t="s">
        <v>1007</v>
      </c>
      <c r="E90" t="s">
        <v>1009</v>
      </c>
      <c r="F90" t="s">
        <v>1098</v>
      </c>
      <c r="G90">
        <v>6.78</v>
      </c>
      <c r="H90">
        <v>0</v>
      </c>
      <c r="I90">
        <v>0</v>
      </c>
      <c r="J90">
        <v>135</v>
      </c>
      <c r="K90">
        <v>925</v>
      </c>
      <c r="L90">
        <v>105.54</v>
      </c>
      <c r="M90">
        <v>879.9400000000001</v>
      </c>
      <c r="N90">
        <v>9</v>
      </c>
      <c r="O90">
        <v>61.05</v>
      </c>
      <c r="P90" s="2">
        <f>(H90 + J90) - (L90 + N90)</f>
        <v>0</v>
      </c>
      <c r="Q90" s="2">
        <f>P90 * G90</f>
        <v>0</v>
      </c>
      <c r="R90">
        <v>0</v>
      </c>
      <c r="S90" s="2">
        <f>R90 * G90</f>
        <v>0</v>
      </c>
      <c r="T90" s="2">
        <f>(H90 + J90) - (L90 + N90) - R90</f>
        <v>0</v>
      </c>
      <c r="U90" s="2">
        <f>T90 * G90</f>
        <v>0</v>
      </c>
      <c r="V90" s="2">
        <f>I90 + K90 - S90</f>
        <v>0</v>
      </c>
      <c r="W90" s="2">
        <f>M90 - V90</f>
        <v>0</v>
      </c>
      <c r="X90" s="2">
        <f>IFERROR(W90 / M90 * 100, 0)</f>
        <v>0</v>
      </c>
    </row>
    <row r="91" spans="1:24">
      <c r="A91" t="s">
        <v>113</v>
      </c>
      <c r="B91" t="s">
        <v>512</v>
      </c>
      <c r="C91" t="s">
        <v>604</v>
      </c>
      <c r="D91" t="s">
        <v>1007</v>
      </c>
      <c r="E91" t="s">
        <v>1009</v>
      </c>
      <c r="F91" t="s">
        <v>1099</v>
      </c>
      <c r="G91">
        <v>7.39</v>
      </c>
      <c r="H91">
        <v>57.1</v>
      </c>
      <c r="I91">
        <v>379.14</v>
      </c>
      <c r="J91">
        <v>1910</v>
      </c>
      <c r="K91">
        <v>13224.27</v>
      </c>
      <c r="L91">
        <v>1798.69</v>
      </c>
      <c r="M91">
        <v>13939.77</v>
      </c>
      <c r="N91">
        <v>50</v>
      </c>
      <c r="O91">
        <v>331.51</v>
      </c>
      <c r="P91" s="2">
        <f>(H91 + J91) - (L91 + N91)</f>
        <v>0</v>
      </c>
      <c r="Q91" s="2">
        <f>P91 * G91</f>
        <v>0</v>
      </c>
      <c r="R91">
        <v>122</v>
      </c>
      <c r="S91" s="2">
        <f>R91 * G91</f>
        <v>0</v>
      </c>
      <c r="T91" s="2">
        <f>(H91 + J91) - (L91 + N91) - R91</f>
        <v>0</v>
      </c>
      <c r="U91" s="2">
        <f>T91 * G91</f>
        <v>0</v>
      </c>
      <c r="V91" s="2">
        <f>I91 + K91 - S91</f>
        <v>0</v>
      </c>
      <c r="W91" s="2">
        <f>M91 - V91</f>
        <v>0</v>
      </c>
      <c r="X91" s="2">
        <f>IFERROR(W91 / M91 * 100, 0)</f>
        <v>0</v>
      </c>
    </row>
    <row r="92" spans="1:24">
      <c r="A92" t="s">
        <v>114</v>
      </c>
      <c r="B92" t="s">
        <v>512</v>
      </c>
      <c r="C92" t="s">
        <v>605</v>
      </c>
      <c r="D92" t="s">
        <v>1008</v>
      </c>
      <c r="E92" t="s">
        <v>1009</v>
      </c>
      <c r="F92" t="s">
        <v>1100</v>
      </c>
      <c r="G92">
        <v>5.5</v>
      </c>
      <c r="H92">
        <v>19</v>
      </c>
      <c r="I92">
        <v>104.5</v>
      </c>
      <c r="J92">
        <v>0</v>
      </c>
      <c r="K92">
        <v>0</v>
      </c>
      <c r="L92">
        <v>13</v>
      </c>
      <c r="M92">
        <v>84.5</v>
      </c>
      <c r="N92">
        <v>0</v>
      </c>
      <c r="O92">
        <v>0</v>
      </c>
      <c r="P92" s="2">
        <f>(H92 + J92) - (L92 + N92)</f>
        <v>0</v>
      </c>
      <c r="Q92" s="2">
        <f>P92 * G92</f>
        <v>0</v>
      </c>
      <c r="R92">
        <v>0</v>
      </c>
      <c r="S92" s="2">
        <f>R92 * G92</f>
        <v>0</v>
      </c>
      <c r="T92" s="2">
        <f>(H92 + J92) - (L92 + N92) - R92</f>
        <v>0</v>
      </c>
      <c r="U92" s="2">
        <f>T92 * G92</f>
        <v>0</v>
      </c>
      <c r="V92" s="2">
        <f>I92 + K92 - S92</f>
        <v>0</v>
      </c>
      <c r="W92" s="2">
        <f>M92 - V92</f>
        <v>0</v>
      </c>
      <c r="X92" s="2">
        <f>IFERROR(W92 / M92 * 100, 0)</f>
        <v>0</v>
      </c>
    </row>
    <row r="93" spans="1:24">
      <c r="A93" t="s">
        <v>115</v>
      </c>
      <c r="B93" t="s">
        <v>512</v>
      </c>
      <c r="C93" t="s">
        <v>606</v>
      </c>
      <c r="D93" t="s">
        <v>1007</v>
      </c>
      <c r="E93" t="s">
        <v>1009</v>
      </c>
      <c r="F93" t="s">
        <v>1101</v>
      </c>
      <c r="G93">
        <v>8</v>
      </c>
      <c r="H93">
        <v>0</v>
      </c>
      <c r="I93">
        <v>0</v>
      </c>
      <c r="J93">
        <v>0</v>
      </c>
      <c r="K93">
        <v>0</v>
      </c>
      <c r="L93">
        <v>0.51</v>
      </c>
      <c r="M93">
        <v>5.1</v>
      </c>
      <c r="N93">
        <v>0</v>
      </c>
      <c r="O93">
        <v>0</v>
      </c>
      <c r="P93" s="2">
        <f>(H93 + J93) - (L93 + N93)</f>
        <v>0</v>
      </c>
      <c r="Q93" s="2">
        <f>P93 * G93</f>
        <v>0</v>
      </c>
      <c r="R93">
        <v>0</v>
      </c>
      <c r="S93" s="2">
        <f>R93 * G93</f>
        <v>0</v>
      </c>
      <c r="T93" s="2">
        <f>(H93 + J93) - (L93 + N93) - R93</f>
        <v>0</v>
      </c>
      <c r="U93" s="2">
        <f>T93 * G93</f>
        <v>0</v>
      </c>
      <c r="V93" s="2">
        <f>I93 + K93 - S93</f>
        <v>0</v>
      </c>
      <c r="W93" s="2">
        <f>M93 - V93</f>
        <v>0</v>
      </c>
      <c r="X93" s="2">
        <f>IFERROR(W93 / M93 * 100, 0)</f>
        <v>0</v>
      </c>
    </row>
    <row r="94" spans="1:24">
      <c r="A94" t="s">
        <v>116</v>
      </c>
      <c r="B94" t="s">
        <v>512</v>
      </c>
      <c r="C94" t="s">
        <v>607</v>
      </c>
      <c r="D94" t="s">
        <v>1007</v>
      </c>
      <c r="E94" t="s">
        <v>1009</v>
      </c>
      <c r="F94" t="s">
        <v>1102</v>
      </c>
      <c r="G94">
        <v>2.47</v>
      </c>
      <c r="H94">
        <v>8</v>
      </c>
      <c r="I94">
        <v>22.69</v>
      </c>
      <c r="J94">
        <v>990.5</v>
      </c>
      <c r="K94">
        <v>2323.7</v>
      </c>
      <c r="L94">
        <v>713.09</v>
      </c>
      <c r="M94">
        <v>2026.11</v>
      </c>
      <c r="N94">
        <v>5</v>
      </c>
      <c r="O94">
        <v>16.6</v>
      </c>
      <c r="P94" s="2">
        <f>(H94 + J94) - (L94 + N94)</f>
        <v>0</v>
      </c>
      <c r="Q94" s="2">
        <f>P94 * G94</f>
        <v>0</v>
      </c>
      <c r="R94">
        <v>122.2</v>
      </c>
      <c r="S94" s="2">
        <f>R94 * G94</f>
        <v>0</v>
      </c>
      <c r="T94" s="2">
        <f>(H94 + J94) - (L94 + N94) - R94</f>
        <v>0</v>
      </c>
      <c r="U94" s="2">
        <f>T94 * G94</f>
        <v>0</v>
      </c>
      <c r="V94" s="2">
        <f>I94 + K94 - S94</f>
        <v>0</v>
      </c>
      <c r="W94" s="2">
        <f>M94 - V94</f>
        <v>0</v>
      </c>
      <c r="X94" s="2">
        <f>IFERROR(W94 / M94 * 100, 0)</f>
        <v>0</v>
      </c>
    </row>
    <row r="95" spans="1:24">
      <c r="A95" t="s">
        <v>117</v>
      </c>
      <c r="B95" t="s">
        <v>512</v>
      </c>
      <c r="C95" t="s">
        <v>608</v>
      </c>
      <c r="D95" t="s">
        <v>1007</v>
      </c>
      <c r="E95" t="s">
        <v>1009</v>
      </c>
      <c r="F95" t="s">
        <v>1103</v>
      </c>
      <c r="G95">
        <v>4.29</v>
      </c>
      <c r="H95">
        <v>50</v>
      </c>
      <c r="I95">
        <v>224.99</v>
      </c>
      <c r="J95">
        <v>334.5</v>
      </c>
      <c r="K95">
        <v>1427.25</v>
      </c>
      <c r="L95">
        <v>339.19</v>
      </c>
      <c r="M95">
        <v>1695.97</v>
      </c>
      <c r="N95">
        <v>3</v>
      </c>
      <c r="O95">
        <v>13.75</v>
      </c>
      <c r="P95" s="2">
        <f>(H95 + J95) - (L95 + N95)</f>
        <v>0</v>
      </c>
      <c r="Q95" s="2">
        <f>P95 * G95</f>
        <v>0</v>
      </c>
      <c r="R95">
        <v>42</v>
      </c>
      <c r="S95" s="2">
        <f>R95 * G95</f>
        <v>0</v>
      </c>
      <c r="T95" s="2">
        <f>(H95 + J95) - (L95 + N95) - R95</f>
        <v>0</v>
      </c>
      <c r="U95" s="2">
        <f>T95 * G95</f>
        <v>0</v>
      </c>
      <c r="V95" s="2">
        <f>I95 + K95 - S95</f>
        <v>0</v>
      </c>
      <c r="W95" s="2">
        <f>M95 - V95</f>
        <v>0</v>
      </c>
      <c r="X95" s="2">
        <f>IFERROR(W95 / M95 * 100, 0)</f>
        <v>0</v>
      </c>
    </row>
    <row r="96" spans="1:24">
      <c r="A96" t="s">
        <v>118</v>
      </c>
      <c r="B96" t="s">
        <v>512</v>
      </c>
      <c r="C96" t="s">
        <v>609</v>
      </c>
      <c r="D96" t="s">
        <v>1007</v>
      </c>
      <c r="E96" t="s">
        <v>1009</v>
      </c>
      <c r="F96" t="s">
        <v>1104</v>
      </c>
      <c r="G96">
        <v>2.36</v>
      </c>
      <c r="H96">
        <v>0</v>
      </c>
      <c r="I96">
        <v>0</v>
      </c>
      <c r="J96">
        <v>0</v>
      </c>
      <c r="K96">
        <v>0</v>
      </c>
      <c r="L96">
        <v>4.36</v>
      </c>
      <c r="M96">
        <v>26.15</v>
      </c>
      <c r="N96">
        <v>0</v>
      </c>
      <c r="O96">
        <v>0</v>
      </c>
      <c r="P96" s="2">
        <f>(H96 + J96) - (L96 + N96)</f>
        <v>0</v>
      </c>
      <c r="Q96" s="2">
        <f>P96 * G96</f>
        <v>0</v>
      </c>
      <c r="R96">
        <v>0</v>
      </c>
      <c r="S96" s="2">
        <f>R96 * G96</f>
        <v>0</v>
      </c>
      <c r="T96" s="2">
        <f>(H96 + J96) - (L96 + N96) - R96</f>
        <v>0</v>
      </c>
      <c r="U96" s="2">
        <f>T96 * G96</f>
        <v>0</v>
      </c>
      <c r="V96" s="2">
        <f>I96 + K96 - S96</f>
        <v>0</v>
      </c>
      <c r="W96" s="2">
        <f>M96 - V96</f>
        <v>0</v>
      </c>
      <c r="X96" s="2">
        <f>IFERROR(W96 / M96 * 100, 0)</f>
        <v>0</v>
      </c>
    </row>
    <row r="97" spans="1:24">
      <c r="A97" t="s">
        <v>119</v>
      </c>
      <c r="B97" t="s">
        <v>512</v>
      </c>
      <c r="C97" t="s">
        <v>610</v>
      </c>
      <c r="D97" t="s">
        <v>1007</v>
      </c>
      <c r="E97" t="s">
        <v>1009</v>
      </c>
      <c r="F97" t="s">
        <v>1105</v>
      </c>
      <c r="G97">
        <v>11.45</v>
      </c>
      <c r="H97">
        <v>0</v>
      </c>
      <c r="I97">
        <v>0</v>
      </c>
      <c r="J97">
        <v>0</v>
      </c>
      <c r="K97">
        <v>0</v>
      </c>
      <c r="L97">
        <v>0.63</v>
      </c>
      <c r="M97">
        <v>8.800000000000001</v>
      </c>
      <c r="N97">
        <v>0</v>
      </c>
      <c r="O97">
        <v>0</v>
      </c>
      <c r="P97" s="2">
        <f>(H97 + J97) - (L97 + N97)</f>
        <v>0</v>
      </c>
      <c r="Q97" s="2">
        <f>P97 * G97</f>
        <v>0</v>
      </c>
      <c r="R97">
        <v>0</v>
      </c>
      <c r="S97" s="2">
        <f>R97 * G97</f>
        <v>0</v>
      </c>
      <c r="T97" s="2">
        <f>(H97 + J97) - (L97 + N97) - R97</f>
        <v>0</v>
      </c>
      <c r="U97" s="2">
        <f>T97 * G97</f>
        <v>0</v>
      </c>
      <c r="V97" s="2">
        <f>I97 + K97 - S97</f>
        <v>0</v>
      </c>
      <c r="W97" s="2">
        <f>M97 - V97</f>
        <v>0</v>
      </c>
      <c r="X97" s="2">
        <f>IFERROR(W97 / M97 * 100, 0)</f>
        <v>0</v>
      </c>
    </row>
    <row r="98" spans="1:24">
      <c r="A98" t="s">
        <v>120</v>
      </c>
      <c r="B98" t="s">
        <v>512</v>
      </c>
      <c r="C98" t="s">
        <v>611</v>
      </c>
      <c r="D98" t="s">
        <v>1007</v>
      </c>
      <c r="E98" t="s">
        <v>1009</v>
      </c>
      <c r="F98" t="s">
        <v>1106</v>
      </c>
      <c r="G98">
        <v>8.91</v>
      </c>
      <c r="H98">
        <v>7</v>
      </c>
      <c r="I98">
        <v>60.61</v>
      </c>
      <c r="J98">
        <v>717.35</v>
      </c>
      <c r="K98">
        <v>7153.66</v>
      </c>
      <c r="L98">
        <v>681.55</v>
      </c>
      <c r="M98">
        <v>10086.43</v>
      </c>
      <c r="N98">
        <v>6</v>
      </c>
      <c r="O98">
        <v>53.62</v>
      </c>
      <c r="P98" s="2">
        <f>(H98 + J98) - (L98 + N98)</f>
        <v>0</v>
      </c>
      <c r="Q98" s="2">
        <f>P98 * G98</f>
        <v>0</v>
      </c>
      <c r="R98">
        <v>65.2</v>
      </c>
      <c r="S98" s="2">
        <f>R98 * G98</f>
        <v>0</v>
      </c>
      <c r="T98" s="2">
        <f>(H98 + J98) - (L98 + N98) - R98</f>
        <v>0</v>
      </c>
      <c r="U98" s="2">
        <f>T98 * G98</f>
        <v>0</v>
      </c>
      <c r="V98" s="2">
        <f>I98 + K98 - S98</f>
        <v>0</v>
      </c>
      <c r="W98" s="2">
        <f>M98 - V98</f>
        <v>0</v>
      </c>
      <c r="X98" s="2">
        <f>IFERROR(W98 / M98 * 100, 0)</f>
        <v>0</v>
      </c>
    </row>
    <row r="99" spans="1:24">
      <c r="A99" t="s">
        <v>121</v>
      </c>
      <c r="B99" t="s">
        <v>512</v>
      </c>
      <c r="C99" t="s">
        <v>612</v>
      </c>
      <c r="D99" t="s">
        <v>1007</v>
      </c>
      <c r="E99" t="s">
        <v>1009</v>
      </c>
      <c r="F99" t="s">
        <v>1107</v>
      </c>
      <c r="G99">
        <v>5.29</v>
      </c>
      <c r="H99">
        <v>0</v>
      </c>
      <c r="I99">
        <v>0</v>
      </c>
      <c r="J99">
        <v>731.62</v>
      </c>
      <c r="K99">
        <v>3864.61</v>
      </c>
      <c r="L99">
        <v>631.5</v>
      </c>
      <c r="M99">
        <v>4545.51</v>
      </c>
      <c r="N99">
        <v>19</v>
      </c>
      <c r="O99">
        <v>100.47</v>
      </c>
      <c r="P99" s="2">
        <f>(H99 + J99) - (L99 + N99)</f>
        <v>0</v>
      </c>
      <c r="Q99" s="2">
        <f>P99 * G99</f>
        <v>0</v>
      </c>
      <c r="R99">
        <v>0</v>
      </c>
      <c r="S99" s="2">
        <f>R99 * G99</f>
        <v>0</v>
      </c>
      <c r="T99" s="2">
        <f>(H99 + J99) - (L99 + N99) - R99</f>
        <v>0</v>
      </c>
      <c r="U99" s="2">
        <f>T99 * G99</f>
        <v>0</v>
      </c>
      <c r="V99" s="2">
        <f>I99 + K99 - S99</f>
        <v>0</v>
      </c>
      <c r="W99" s="2">
        <f>M99 - V99</f>
        <v>0</v>
      </c>
      <c r="X99" s="2">
        <f>IFERROR(W99 / M99 * 100, 0)</f>
        <v>0</v>
      </c>
    </row>
    <row r="100" spans="1:24">
      <c r="A100" t="s">
        <v>121</v>
      </c>
      <c r="B100" t="s">
        <v>513</v>
      </c>
      <c r="C100" t="s">
        <v>613</v>
      </c>
      <c r="D100" t="s">
        <v>1007</v>
      </c>
      <c r="E100" t="s">
        <v>1009</v>
      </c>
      <c r="F100" t="s">
        <v>1108</v>
      </c>
      <c r="G100">
        <v>10.33</v>
      </c>
      <c r="H100">
        <v>23.3</v>
      </c>
      <c r="I100">
        <v>240.79</v>
      </c>
      <c r="J100">
        <v>0</v>
      </c>
      <c r="K100">
        <v>0</v>
      </c>
      <c r="L100">
        <v>130.49</v>
      </c>
      <c r="M100">
        <v>1565.84</v>
      </c>
      <c r="N100">
        <v>0</v>
      </c>
      <c r="O100">
        <v>0</v>
      </c>
      <c r="P100" s="2">
        <f>(H100 + J100) - (L100 + N100)</f>
        <v>0</v>
      </c>
      <c r="Q100" s="2">
        <f>P100 * G100</f>
        <v>0</v>
      </c>
      <c r="R100">
        <v>0</v>
      </c>
      <c r="S100" s="2">
        <f>R100 * G100</f>
        <v>0</v>
      </c>
      <c r="T100" s="2">
        <f>(H100 + J100) - (L100 + N100) - R100</f>
        <v>0</v>
      </c>
      <c r="U100" s="2">
        <f>T100 * G100</f>
        <v>0</v>
      </c>
      <c r="V100" s="2">
        <f>I100 + K100 - S100</f>
        <v>0</v>
      </c>
      <c r="W100" s="2">
        <f>M100 - V100</f>
        <v>0</v>
      </c>
      <c r="X100" s="2">
        <f>IFERROR(W100 / M100 * 100, 0)</f>
        <v>0</v>
      </c>
    </row>
    <row r="101" spans="1:24">
      <c r="A101" t="s">
        <v>122</v>
      </c>
      <c r="B101" t="s">
        <v>512</v>
      </c>
      <c r="C101" t="s">
        <v>614</v>
      </c>
      <c r="D101" t="s">
        <v>1007</v>
      </c>
      <c r="E101" t="s">
        <v>1009</v>
      </c>
      <c r="F101" t="s">
        <v>1109</v>
      </c>
      <c r="G101">
        <v>5.36</v>
      </c>
      <c r="H101">
        <v>16.8</v>
      </c>
      <c r="I101">
        <v>89.69</v>
      </c>
      <c r="J101">
        <v>15</v>
      </c>
      <c r="K101">
        <v>80.7</v>
      </c>
      <c r="L101">
        <v>23.63</v>
      </c>
      <c r="M101">
        <v>224.44</v>
      </c>
      <c r="N101">
        <v>0</v>
      </c>
      <c r="O101">
        <v>0</v>
      </c>
      <c r="P101" s="2">
        <f>(H101 + J101) - (L101 + N101)</f>
        <v>0</v>
      </c>
      <c r="Q101" s="2">
        <f>P101 * G101</f>
        <v>0</v>
      </c>
      <c r="R101">
        <v>38.4</v>
      </c>
      <c r="S101" s="2">
        <f>R101 * G101</f>
        <v>0</v>
      </c>
      <c r="T101" s="2">
        <f>(H101 + J101) - (L101 + N101) - R101</f>
        <v>0</v>
      </c>
      <c r="U101" s="2">
        <f>T101 * G101</f>
        <v>0</v>
      </c>
      <c r="V101" s="2">
        <f>I101 + K101 - S101</f>
        <v>0</v>
      </c>
      <c r="W101" s="2">
        <f>M101 - V101</f>
        <v>0</v>
      </c>
      <c r="X101" s="2">
        <f>IFERROR(W101 / M101 * 100, 0)</f>
        <v>0</v>
      </c>
    </row>
    <row r="102" spans="1:24">
      <c r="A102" t="s">
        <v>123</v>
      </c>
      <c r="B102" t="s">
        <v>512</v>
      </c>
      <c r="C102" t="s">
        <v>615</v>
      </c>
      <c r="D102" t="s">
        <v>1007</v>
      </c>
      <c r="E102" t="s">
        <v>1009</v>
      </c>
      <c r="F102" t="s">
        <v>1110</v>
      </c>
      <c r="G102">
        <v>6</v>
      </c>
      <c r="H102">
        <v>0</v>
      </c>
      <c r="I102">
        <v>0</v>
      </c>
      <c r="J102">
        <v>0</v>
      </c>
      <c r="K102">
        <v>0</v>
      </c>
      <c r="L102">
        <v>0.25</v>
      </c>
      <c r="M102">
        <v>2.4</v>
      </c>
      <c r="N102">
        <v>0</v>
      </c>
      <c r="O102">
        <v>0</v>
      </c>
      <c r="P102" s="2">
        <f>(H102 + J102) - (L102 + N102)</f>
        <v>0</v>
      </c>
      <c r="Q102" s="2">
        <f>P102 * G102</f>
        <v>0</v>
      </c>
      <c r="R102">
        <v>0</v>
      </c>
      <c r="S102" s="2">
        <f>R102 * G102</f>
        <v>0</v>
      </c>
      <c r="T102" s="2">
        <f>(H102 + J102) - (L102 + N102) - R102</f>
        <v>0</v>
      </c>
      <c r="U102" s="2">
        <f>T102 * G102</f>
        <v>0</v>
      </c>
      <c r="V102" s="2">
        <f>I102 + K102 - S102</f>
        <v>0</v>
      </c>
      <c r="W102" s="2">
        <f>M102 - V102</f>
        <v>0</v>
      </c>
      <c r="X102" s="2">
        <f>IFERROR(W102 / M102 * 100, 0)</f>
        <v>0</v>
      </c>
    </row>
    <row r="103" spans="1:24">
      <c r="A103" t="s">
        <v>124</v>
      </c>
      <c r="B103" t="s">
        <v>512</v>
      </c>
      <c r="C103" t="s">
        <v>616</v>
      </c>
      <c r="D103" t="s">
        <v>1007</v>
      </c>
      <c r="E103" t="s">
        <v>1009</v>
      </c>
      <c r="F103" t="s">
        <v>1111</v>
      </c>
      <c r="G103">
        <v>21.07</v>
      </c>
      <c r="H103">
        <v>15.9</v>
      </c>
      <c r="I103">
        <v>336.5</v>
      </c>
      <c r="J103">
        <v>30</v>
      </c>
      <c r="K103">
        <v>635</v>
      </c>
      <c r="L103">
        <v>26.4</v>
      </c>
      <c r="M103">
        <v>660.1</v>
      </c>
      <c r="N103">
        <v>2</v>
      </c>
      <c r="O103">
        <v>42.21</v>
      </c>
      <c r="P103" s="2">
        <f>(H103 + J103) - (L103 + N103)</f>
        <v>0</v>
      </c>
      <c r="Q103" s="2">
        <f>P103 * G103</f>
        <v>0</v>
      </c>
      <c r="R103">
        <v>11.2</v>
      </c>
      <c r="S103" s="2">
        <f>R103 * G103</f>
        <v>0</v>
      </c>
      <c r="T103" s="2">
        <f>(H103 + J103) - (L103 + N103) - R103</f>
        <v>0</v>
      </c>
      <c r="U103" s="2">
        <f>T103 * G103</f>
        <v>0</v>
      </c>
      <c r="V103" s="2">
        <f>I103 + K103 - S103</f>
        <v>0</v>
      </c>
      <c r="W103" s="2">
        <f>M103 - V103</f>
        <v>0</v>
      </c>
      <c r="X103" s="2">
        <f>IFERROR(W103 / M103 * 100, 0)</f>
        <v>0</v>
      </c>
    </row>
    <row r="104" spans="1:24">
      <c r="A104" t="s">
        <v>125</v>
      </c>
      <c r="B104" t="s">
        <v>512</v>
      </c>
      <c r="C104" t="s">
        <v>617</v>
      </c>
      <c r="D104" t="s">
        <v>1007</v>
      </c>
      <c r="E104" t="s">
        <v>1009</v>
      </c>
      <c r="F104" t="s">
        <v>1112</v>
      </c>
      <c r="G104">
        <v>4</v>
      </c>
      <c r="H104">
        <v>0</v>
      </c>
      <c r="I104">
        <v>0</v>
      </c>
      <c r="J104">
        <v>0</v>
      </c>
      <c r="K104">
        <v>0</v>
      </c>
      <c r="L104">
        <v>1.96</v>
      </c>
      <c r="M104">
        <v>7.83</v>
      </c>
      <c r="N104">
        <v>0</v>
      </c>
      <c r="O104">
        <v>0</v>
      </c>
      <c r="P104" s="2">
        <f>(H104 + J104) - (L104 + N104)</f>
        <v>0</v>
      </c>
      <c r="Q104" s="2">
        <f>P104 * G104</f>
        <v>0</v>
      </c>
      <c r="R104">
        <v>0</v>
      </c>
      <c r="S104" s="2">
        <f>R104 * G104</f>
        <v>0</v>
      </c>
      <c r="T104" s="2">
        <f>(H104 + J104) - (L104 + N104) - R104</f>
        <v>0</v>
      </c>
      <c r="U104" s="2">
        <f>T104 * G104</f>
        <v>0</v>
      </c>
      <c r="V104" s="2">
        <f>I104 + K104 - S104</f>
        <v>0</v>
      </c>
      <c r="W104" s="2">
        <f>M104 - V104</f>
        <v>0</v>
      </c>
      <c r="X104" s="2">
        <f>IFERROR(W104 / M104 * 100, 0)</f>
        <v>0</v>
      </c>
    </row>
    <row r="105" spans="1:24">
      <c r="A105" t="s">
        <v>126</v>
      </c>
      <c r="B105" t="s">
        <v>512</v>
      </c>
      <c r="C105" t="s">
        <v>618</v>
      </c>
      <c r="D105" t="s">
        <v>1007</v>
      </c>
      <c r="E105" t="s">
        <v>1009</v>
      </c>
      <c r="F105" t="s">
        <v>1113</v>
      </c>
      <c r="G105">
        <v>18.7</v>
      </c>
      <c r="H105">
        <v>26</v>
      </c>
      <c r="I105">
        <v>497.23</v>
      </c>
      <c r="J105">
        <v>59.2</v>
      </c>
      <c r="K105">
        <v>1053.8</v>
      </c>
      <c r="L105">
        <v>56.69</v>
      </c>
      <c r="M105">
        <v>1133.86</v>
      </c>
      <c r="N105">
        <v>0</v>
      </c>
      <c r="O105">
        <v>0</v>
      </c>
      <c r="P105" s="2">
        <f>(H105 + J105) - (L105 + N105)</f>
        <v>0</v>
      </c>
      <c r="Q105" s="2">
        <f>P105 * G105</f>
        <v>0</v>
      </c>
      <c r="R105">
        <v>6.3</v>
      </c>
      <c r="S105" s="2">
        <f>R105 * G105</f>
        <v>0</v>
      </c>
      <c r="T105" s="2">
        <f>(H105 + J105) - (L105 + N105) - R105</f>
        <v>0</v>
      </c>
      <c r="U105" s="2">
        <f>T105 * G105</f>
        <v>0</v>
      </c>
      <c r="V105" s="2">
        <f>I105 + K105 - S105</f>
        <v>0</v>
      </c>
      <c r="W105" s="2">
        <f>M105 - V105</f>
        <v>0</v>
      </c>
      <c r="X105" s="2">
        <f>IFERROR(W105 / M105 * 100, 0)</f>
        <v>0</v>
      </c>
    </row>
    <row r="106" spans="1:24">
      <c r="A106" t="s">
        <v>127</v>
      </c>
      <c r="B106" t="s">
        <v>512</v>
      </c>
      <c r="C106" t="s">
        <v>619</v>
      </c>
      <c r="D106" t="s">
        <v>1007</v>
      </c>
      <c r="E106" t="s">
        <v>1009</v>
      </c>
      <c r="F106" t="s">
        <v>1114</v>
      </c>
      <c r="G106">
        <v>17.88</v>
      </c>
      <c r="H106">
        <v>8.300000000000001</v>
      </c>
      <c r="I106">
        <v>149.4</v>
      </c>
      <c r="J106">
        <v>89</v>
      </c>
      <c r="K106">
        <v>1570</v>
      </c>
      <c r="L106">
        <v>71.34999999999999</v>
      </c>
      <c r="M106">
        <v>1426.96</v>
      </c>
      <c r="N106">
        <v>4.56</v>
      </c>
      <c r="O106">
        <v>81.81</v>
      </c>
      <c r="P106" s="2">
        <f>(H106 + J106) - (L106 + N106)</f>
        <v>0</v>
      </c>
      <c r="Q106" s="2">
        <f>P106 * G106</f>
        <v>0</v>
      </c>
      <c r="R106">
        <v>28.8</v>
      </c>
      <c r="S106" s="2">
        <f>R106 * G106</f>
        <v>0</v>
      </c>
      <c r="T106" s="2">
        <f>(H106 + J106) - (L106 + N106) - R106</f>
        <v>0</v>
      </c>
      <c r="U106" s="2">
        <f>T106 * G106</f>
        <v>0</v>
      </c>
      <c r="V106" s="2">
        <f>I106 + K106 - S106</f>
        <v>0</v>
      </c>
      <c r="W106" s="2">
        <f>M106 - V106</f>
        <v>0</v>
      </c>
      <c r="X106" s="2">
        <f>IFERROR(W106 / M106 * 100, 0)</f>
        <v>0</v>
      </c>
    </row>
    <row r="107" spans="1:24">
      <c r="A107" t="s">
        <v>128</v>
      </c>
      <c r="B107" t="s">
        <v>512</v>
      </c>
      <c r="C107" t="s">
        <v>620</v>
      </c>
      <c r="D107" t="s">
        <v>1007</v>
      </c>
      <c r="E107" t="s">
        <v>1009</v>
      </c>
      <c r="F107" t="s">
        <v>1115</v>
      </c>
      <c r="G107">
        <v>8.130000000000001</v>
      </c>
      <c r="H107">
        <v>0</v>
      </c>
      <c r="I107">
        <v>0</v>
      </c>
      <c r="J107">
        <v>99</v>
      </c>
      <c r="K107">
        <v>804.87</v>
      </c>
      <c r="L107">
        <v>38.14</v>
      </c>
      <c r="M107">
        <v>362.3</v>
      </c>
      <c r="N107">
        <v>15</v>
      </c>
      <c r="O107">
        <v>121.95</v>
      </c>
      <c r="P107" s="2">
        <f>(H107 + J107) - (L107 + N107)</f>
        <v>0</v>
      </c>
      <c r="Q107" s="2">
        <f>P107 * G107</f>
        <v>0</v>
      </c>
      <c r="R107">
        <v>42.6</v>
      </c>
      <c r="S107" s="2">
        <f>R107 * G107</f>
        <v>0</v>
      </c>
      <c r="T107" s="2">
        <f>(H107 + J107) - (L107 + N107) - R107</f>
        <v>0</v>
      </c>
      <c r="U107" s="2">
        <f>T107 * G107</f>
        <v>0</v>
      </c>
      <c r="V107" s="2">
        <f>I107 + K107 - S107</f>
        <v>0</v>
      </c>
      <c r="W107" s="2">
        <f>M107 - V107</f>
        <v>0</v>
      </c>
      <c r="X107" s="2">
        <f>IFERROR(W107 / M107 * 100, 0)</f>
        <v>0</v>
      </c>
    </row>
    <row r="108" spans="1:24">
      <c r="A108" t="s">
        <v>129</v>
      </c>
      <c r="B108" t="s">
        <v>512</v>
      </c>
      <c r="C108" t="s">
        <v>621</v>
      </c>
      <c r="D108" t="s">
        <v>1007</v>
      </c>
      <c r="E108" t="s">
        <v>1009</v>
      </c>
      <c r="F108" t="s">
        <v>1116</v>
      </c>
      <c r="G108">
        <v>7.5</v>
      </c>
      <c r="H108">
        <v>0</v>
      </c>
      <c r="I108">
        <v>0</v>
      </c>
      <c r="J108">
        <v>0</v>
      </c>
      <c r="K108">
        <v>0</v>
      </c>
      <c r="L108">
        <v>0.49</v>
      </c>
      <c r="M108">
        <v>4.65</v>
      </c>
      <c r="N108">
        <v>0</v>
      </c>
      <c r="O108">
        <v>0</v>
      </c>
      <c r="P108" s="2">
        <f>(H108 + J108) - (L108 + N108)</f>
        <v>0</v>
      </c>
      <c r="Q108" s="2">
        <f>P108 * G108</f>
        <v>0</v>
      </c>
      <c r="R108">
        <v>0</v>
      </c>
      <c r="S108" s="2">
        <f>R108 * G108</f>
        <v>0</v>
      </c>
      <c r="T108" s="2">
        <f>(H108 + J108) - (L108 + N108) - R108</f>
        <v>0</v>
      </c>
      <c r="U108" s="2">
        <f>T108 * G108</f>
        <v>0</v>
      </c>
      <c r="V108" s="2">
        <f>I108 + K108 - S108</f>
        <v>0</v>
      </c>
      <c r="W108" s="2">
        <f>M108 - V108</f>
        <v>0</v>
      </c>
      <c r="X108" s="2">
        <f>IFERROR(W108 / M108 * 100, 0)</f>
        <v>0</v>
      </c>
    </row>
    <row r="109" spans="1:24">
      <c r="A109" t="s">
        <v>130</v>
      </c>
      <c r="B109" t="s">
        <v>512</v>
      </c>
      <c r="C109" t="s">
        <v>622</v>
      </c>
      <c r="D109" t="s">
        <v>1007</v>
      </c>
      <c r="E109" t="s">
        <v>1009</v>
      </c>
      <c r="F109" t="s">
        <v>1117</v>
      </c>
      <c r="G109">
        <v>9.880000000000001</v>
      </c>
      <c r="H109">
        <v>0</v>
      </c>
      <c r="I109">
        <v>0</v>
      </c>
      <c r="J109">
        <v>0</v>
      </c>
      <c r="K109">
        <v>0</v>
      </c>
      <c r="L109">
        <v>0.65</v>
      </c>
      <c r="M109">
        <v>9.710000000000001</v>
      </c>
      <c r="N109">
        <v>0</v>
      </c>
      <c r="O109">
        <v>0</v>
      </c>
      <c r="P109" s="2">
        <f>(H109 + J109) - (L109 + N109)</f>
        <v>0</v>
      </c>
      <c r="Q109" s="2">
        <f>P109 * G109</f>
        <v>0</v>
      </c>
      <c r="R109">
        <v>0</v>
      </c>
      <c r="S109" s="2">
        <f>R109 * G109</f>
        <v>0</v>
      </c>
      <c r="T109" s="2">
        <f>(H109 + J109) - (L109 + N109) - R109</f>
        <v>0</v>
      </c>
      <c r="U109" s="2">
        <f>T109 * G109</f>
        <v>0</v>
      </c>
      <c r="V109" s="2">
        <f>I109 + K109 - S109</f>
        <v>0</v>
      </c>
      <c r="W109" s="2">
        <f>M109 - V109</f>
        <v>0</v>
      </c>
      <c r="X109" s="2">
        <f>IFERROR(W109 / M109 * 100, 0)</f>
        <v>0</v>
      </c>
    </row>
    <row r="110" spans="1:24">
      <c r="A110" t="s">
        <v>131</v>
      </c>
      <c r="B110" t="s">
        <v>512</v>
      </c>
      <c r="C110" t="s">
        <v>623</v>
      </c>
      <c r="D110" t="s">
        <v>1008</v>
      </c>
      <c r="E110" t="s">
        <v>1009</v>
      </c>
      <c r="F110" t="s">
        <v>1118</v>
      </c>
      <c r="G110">
        <v>5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13</v>
      </c>
      <c r="N110">
        <v>0</v>
      </c>
      <c r="O110">
        <v>0</v>
      </c>
      <c r="P110" s="2">
        <f>(H110 + J110) - (L110 + N110)</f>
        <v>0</v>
      </c>
      <c r="Q110" s="2">
        <f>P110 * G110</f>
        <v>0</v>
      </c>
      <c r="R110">
        <v>0</v>
      </c>
      <c r="S110" s="2">
        <f>R110 * G110</f>
        <v>0</v>
      </c>
      <c r="T110" s="2">
        <f>(H110 + J110) - (L110 + N110) - R110</f>
        <v>0</v>
      </c>
      <c r="U110" s="2">
        <f>T110 * G110</f>
        <v>0</v>
      </c>
      <c r="V110" s="2">
        <f>I110 + K110 - S110</f>
        <v>0</v>
      </c>
      <c r="W110" s="2">
        <f>M110 - V110</f>
        <v>0</v>
      </c>
      <c r="X110" s="2">
        <f>IFERROR(W110 / M110 * 100, 0)</f>
        <v>0</v>
      </c>
    </row>
    <row r="111" spans="1:24">
      <c r="A111" t="s">
        <v>132</v>
      </c>
      <c r="B111" t="s">
        <v>513</v>
      </c>
      <c r="C111" t="s">
        <v>624</v>
      </c>
      <c r="D111" t="s">
        <v>1007</v>
      </c>
      <c r="E111" t="s">
        <v>1009</v>
      </c>
      <c r="F111" t="s">
        <v>1119</v>
      </c>
      <c r="G111">
        <v>4.32</v>
      </c>
      <c r="H111">
        <v>0</v>
      </c>
      <c r="I111">
        <v>0</v>
      </c>
      <c r="J111">
        <v>0</v>
      </c>
      <c r="K111">
        <v>0</v>
      </c>
      <c r="L111">
        <v>0.34</v>
      </c>
      <c r="M111">
        <v>1.7</v>
      </c>
      <c r="N111">
        <v>0</v>
      </c>
      <c r="O111">
        <v>0</v>
      </c>
      <c r="P111" s="2">
        <f>(H111 + J111) - (L111 + N111)</f>
        <v>0</v>
      </c>
      <c r="Q111" s="2">
        <f>P111 * G111</f>
        <v>0</v>
      </c>
      <c r="R111">
        <v>0</v>
      </c>
      <c r="S111" s="2">
        <f>R111 * G111</f>
        <v>0</v>
      </c>
      <c r="T111" s="2">
        <f>(H111 + J111) - (L111 + N111) - R111</f>
        <v>0</v>
      </c>
      <c r="U111" s="2">
        <f>T111 * G111</f>
        <v>0</v>
      </c>
      <c r="V111" s="2">
        <f>I111 + K111 - S111</f>
        <v>0</v>
      </c>
      <c r="W111" s="2">
        <f>M111 - V111</f>
        <v>0</v>
      </c>
      <c r="X111" s="2">
        <f>IFERROR(W111 / M111 * 100, 0)</f>
        <v>0</v>
      </c>
    </row>
    <row r="112" spans="1:24">
      <c r="A112" t="s">
        <v>133</v>
      </c>
      <c r="B112" t="s">
        <v>512</v>
      </c>
      <c r="C112" t="s">
        <v>625</v>
      </c>
      <c r="D112" t="s">
        <v>1007</v>
      </c>
      <c r="E112" t="s">
        <v>1009</v>
      </c>
      <c r="F112" t="s">
        <v>1120</v>
      </c>
      <c r="G112">
        <v>3.56</v>
      </c>
      <c r="H112">
        <v>473.3</v>
      </c>
      <c r="I112">
        <v>2072.18</v>
      </c>
      <c r="J112">
        <v>143.36</v>
      </c>
      <c r="K112">
        <v>335.49</v>
      </c>
      <c r="L112">
        <v>11.94</v>
      </c>
      <c r="M112">
        <v>101.5</v>
      </c>
      <c r="N112">
        <v>87</v>
      </c>
      <c r="O112">
        <v>309.56</v>
      </c>
      <c r="P112" s="2">
        <f>(H112 + J112) - (L112 + N112)</f>
        <v>0</v>
      </c>
      <c r="Q112" s="2">
        <f>P112 * G112</f>
        <v>0</v>
      </c>
      <c r="R112">
        <v>0</v>
      </c>
      <c r="S112" s="2">
        <f>R112 * G112</f>
        <v>0</v>
      </c>
      <c r="T112" s="2">
        <f>(H112 + J112) - (L112 + N112) - R112</f>
        <v>0</v>
      </c>
      <c r="U112" s="2">
        <f>T112 * G112</f>
        <v>0</v>
      </c>
      <c r="V112" s="2">
        <f>I112 + K112 - S112</f>
        <v>0</v>
      </c>
      <c r="W112" s="2">
        <f>M112 - V112</f>
        <v>0</v>
      </c>
      <c r="X112" s="2">
        <f>IFERROR(W112 / M112 * 100, 0)</f>
        <v>0</v>
      </c>
    </row>
    <row r="113" spans="1:24">
      <c r="A113" t="s">
        <v>134</v>
      </c>
      <c r="B113" t="s">
        <v>512</v>
      </c>
      <c r="C113" t="s">
        <v>626</v>
      </c>
      <c r="D113" t="s">
        <v>1007</v>
      </c>
      <c r="E113" t="s">
        <v>1009</v>
      </c>
      <c r="F113" t="s">
        <v>1121</v>
      </c>
      <c r="G113">
        <v>5</v>
      </c>
      <c r="H113">
        <v>0</v>
      </c>
      <c r="I113">
        <v>0</v>
      </c>
      <c r="J113">
        <v>0</v>
      </c>
      <c r="K113">
        <v>0</v>
      </c>
      <c r="L113">
        <v>0.47</v>
      </c>
      <c r="M113">
        <v>4.71</v>
      </c>
      <c r="N113">
        <v>0</v>
      </c>
      <c r="O113">
        <v>0</v>
      </c>
      <c r="P113" s="2">
        <f>(H113 + J113) - (L113 + N113)</f>
        <v>0</v>
      </c>
      <c r="Q113" s="2">
        <f>P113 * G113</f>
        <v>0</v>
      </c>
      <c r="R113">
        <v>0</v>
      </c>
      <c r="S113" s="2">
        <f>R113 * G113</f>
        <v>0</v>
      </c>
      <c r="T113" s="2">
        <f>(H113 + J113) - (L113 + N113) - R113</f>
        <v>0</v>
      </c>
      <c r="U113" s="2">
        <f>T113 * G113</f>
        <v>0</v>
      </c>
      <c r="V113" s="2">
        <f>I113 + K113 - S113</f>
        <v>0</v>
      </c>
      <c r="W113" s="2">
        <f>M113 - V113</f>
        <v>0</v>
      </c>
      <c r="X113" s="2">
        <f>IFERROR(W113 / M113 * 100, 0)</f>
        <v>0</v>
      </c>
    </row>
    <row r="114" spans="1:24">
      <c r="A114" t="s">
        <v>135</v>
      </c>
      <c r="B114" t="s">
        <v>513</v>
      </c>
      <c r="C114" t="s">
        <v>627</v>
      </c>
      <c r="D114" t="s">
        <v>1008</v>
      </c>
      <c r="E114" t="s">
        <v>1009</v>
      </c>
      <c r="F114" t="s">
        <v>1122</v>
      </c>
      <c r="G114">
        <v>1.5</v>
      </c>
      <c r="H114">
        <v>14</v>
      </c>
      <c r="I114">
        <v>21</v>
      </c>
      <c r="J114">
        <v>11</v>
      </c>
      <c r="K114">
        <v>16.5</v>
      </c>
      <c r="L114">
        <v>26</v>
      </c>
      <c r="M114">
        <v>65</v>
      </c>
      <c r="N114">
        <v>0</v>
      </c>
      <c r="O114">
        <v>0</v>
      </c>
      <c r="P114" s="2">
        <f>(H114 + J114) - (L114 + N114)</f>
        <v>0</v>
      </c>
      <c r="Q114" s="2">
        <f>P114 * G114</f>
        <v>0</v>
      </c>
      <c r="R114">
        <v>0</v>
      </c>
      <c r="S114" s="2">
        <f>R114 * G114</f>
        <v>0</v>
      </c>
      <c r="T114" s="2">
        <f>(H114 + J114) - (L114 + N114) - R114</f>
        <v>0</v>
      </c>
      <c r="U114" s="2">
        <f>T114 * G114</f>
        <v>0</v>
      </c>
      <c r="V114" s="2">
        <f>I114 + K114 - S114</f>
        <v>0</v>
      </c>
      <c r="W114" s="2">
        <f>M114 - V114</f>
        <v>0</v>
      </c>
      <c r="X114" s="2">
        <f>IFERROR(W114 / M114 * 100, 0)</f>
        <v>0</v>
      </c>
    </row>
    <row r="115" spans="1:24">
      <c r="A115" t="s">
        <v>136</v>
      </c>
      <c r="B115" t="s">
        <v>512</v>
      </c>
      <c r="C115" t="s">
        <v>628</v>
      </c>
      <c r="D115" t="s">
        <v>1007</v>
      </c>
      <c r="E115" t="s">
        <v>1009</v>
      </c>
      <c r="F115" t="s">
        <v>1123</v>
      </c>
      <c r="G115">
        <v>1.75</v>
      </c>
      <c r="H115">
        <v>0</v>
      </c>
      <c r="I115">
        <v>0</v>
      </c>
      <c r="J115">
        <v>0</v>
      </c>
      <c r="K115">
        <v>0</v>
      </c>
      <c r="L115">
        <v>0.46</v>
      </c>
      <c r="M115">
        <v>1.15</v>
      </c>
      <c r="N115">
        <v>0</v>
      </c>
      <c r="O115">
        <v>0</v>
      </c>
      <c r="P115" s="2">
        <f>(H115 + J115) - (L115 + N115)</f>
        <v>0</v>
      </c>
      <c r="Q115" s="2">
        <f>P115 * G115</f>
        <v>0</v>
      </c>
      <c r="R115">
        <v>0</v>
      </c>
      <c r="S115" s="2">
        <f>R115 * G115</f>
        <v>0</v>
      </c>
      <c r="T115" s="2">
        <f>(H115 + J115) - (L115 + N115) - R115</f>
        <v>0</v>
      </c>
      <c r="U115" s="2">
        <f>T115 * G115</f>
        <v>0</v>
      </c>
      <c r="V115" s="2">
        <f>I115 + K115 - S115</f>
        <v>0</v>
      </c>
      <c r="W115" s="2">
        <f>M115 - V115</f>
        <v>0</v>
      </c>
      <c r="X115" s="2">
        <f>IFERROR(W115 / M115 * 100, 0)</f>
        <v>0</v>
      </c>
    </row>
    <row r="116" spans="1:24">
      <c r="A116" t="s">
        <v>137</v>
      </c>
      <c r="B116" t="s">
        <v>512</v>
      </c>
      <c r="C116" t="s">
        <v>629</v>
      </c>
      <c r="D116" t="s">
        <v>1008</v>
      </c>
      <c r="E116" t="s">
        <v>1009</v>
      </c>
      <c r="F116" t="s">
        <v>1124</v>
      </c>
      <c r="G116">
        <v>16.78</v>
      </c>
      <c r="H116">
        <v>3</v>
      </c>
      <c r="I116">
        <v>54</v>
      </c>
      <c r="J116">
        <v>10</v>
      </c>
      <c r="K116">
        <v>165</v>
      </c>
      <c r="L116">
        <v>5</v>
      </c>
      <c r="M116">
        <v>125</v>
      </c>
      <c r="N116">
        <v>3</v>
      </c>
      <c r="O116">
        <v>50.46</v>
      </c>
      <c r="P116" s="2">
        <f>(H116 + J116) - (L116 + N116)</f>
        <v>0</v>
      </c>
      <c r="Q116" s="2">
        <f>P116 * G116</f>
        <v>0</v>
      </c>
      <c r="R116">
        <v>0</v>
      </c>
      <c r="S116" s="2">
        <f>R116 * G116</f>
        <v>0</v>
      </c>
      <c r="T116" s="2">
        <f>(H116 + J116) - (L116 + N116) - R116</f>
        <v>0</v>
      </c>
      <c r="U116" s="2">
        <f>T116 * G116</f>
        <v>0</v>
      </c>
      <c r="V116" s="2">
        <f>I116 + K116 - S116</f>
        <v>0</v>
      </c>
      <c r="W116" s="2">
        <f>M116 - V116</f>
        <v>0</v>
      </c>
      <c r="X116" s="2">
        <f>IFERROR(W116 / M116 * 100, 0)</f>
        <v>0</v>
      </c>
    </row>
    <row r="117" spans="1:24">
      <c r="A117" t="s">
        <v>138</v>
      </c>
      <c r="B117" t="s">
        <v>512</v>
      </c>
      <c r="C117" t="s">
        <v>630</v>
      </c>
      <c r="D117" t="s">
        <v>1008</v>
      </c>
      <c r="E117" t="s">
        <v>1009</v>
      </c>
      <c r="F117" t="s">
        <v>1125</v>
      </c>
      <c r="G117">
        <v>9.5</v>
      </c>
      <c r="H117">
        <v>0</v>
      </c>
      <c r="I117">
        <v>0</v>
      </c>
      <c r="J117">
        <v>0</v>
      </c>
      <c r="K117">
        <v>0</v>
      </c>
      <c r="L117">
        <v>2</v>
      </c>
      <c r="M117">
        <v>24</v>
      </c>
      <c r="N117">
        <v>0</v>
      </c>
      <c r="O117">
        <v>0</v>
      </c>
      <c r="P117" s="2">
        <f>(H117 + J117) - (L117 + N117)</f>
        <v>0</v>
      </c>
      <c r="Q117" s="2">
        <f>P117 * G117</f>
        <v>0</v>
      </c>
      <c r="R117">
        <v>0</v>
      </c>
      <c r="S117" s="2">
        <f>R117 * G117</f>
        <v>0</v>
      </c>
      <c r="T117" s="2">
        <f>(H117 + J117) - (L117 + N117) - R117</f>
        <v>0</v>
      </c>
      <c r="U117" s="2">
        <f>T117 * G117</f>
        <v>0</v>
      </c>
      <c r="V117" s="2">
        <f>I117 + K117 - S117</f>
        <v>0</v>
      </c>
      <c r="W117" s="2">
        <f>M117 - V117</f>
        <v>0</v>
      </c>
      <c r="X117" s="2">
        <f>IFERROR(W117 / M117 * 100, 0)</f>
        <v>0</v>
      </c>
    </row>
    <row r="118" spans="1:24">
      <c r="A118" t="s">
        <v>139</v>
      </c>
      <c r="B118" t="s">
        <v>512</v>
      </c>
      <c r="C118" t="s">
        <v>631</v>
      </c>
      <c r="D118" t="s">
        <v>1007</v>
      </c>
      <c r="E118" t="s">
        <v>1009</v>
      </c>
      <c r="F118" t="s">
        <v>1126</v>
      </c>
      <c r="G118">
        <v>8</v>
      </c>
      <c r="H118">
        <v>0</v>
      </c>
      <c r="I118">
        <v>0</v>
      </c>
      <c r="J118">
        <v>0</v>
      </c>
      <c r="K118">
        <v>0</v>
      </c>
      <c r="L118">
        <v>0.95</v>
      </c>
      <c r="M118">
        <v>9.449999999999999</v>
      </c>
      <c r="N118">
        <v>0</v>
      </c>
      <c r="O118">
        <v>0</v>
      </c>
      <c r="P118" s="2">
        <f>(H118 + J118) - (L118 + N118)</f>
        <v>0</v>
      </c>
      <c r="Q118" s="2">
        <f>P118 * G118</f>
        <v>0</v>
      </c>
      <c r="R118">
        <v>0</v>
      </c>
      <c r="S118" s="2">
        <f>R118 * G118</f>
        <v>0</v>
      </c>
      <c r="T118" s="2">
        <f>(H118 + J118) - (L118 + N118) - R118</f>
        <v>0</v>
      </c>
      <c r="U118" s="2">
        <f>T118 * G118</f>
        <v>0</v>
      </c>
      <c r="V118" s="2">
        <f>I118 + K118 - S118</f>
        <v>0</v>
      </c>
      <c r="W118" s="2">
        <f>M118 - V118</f>
        <v>0</v>
      </c>
      <c r="X118" s="2">
        <f>IFERROR(W118 / M118 * 100, 0)</f>
        <v>0</v>
      </c>
    </row>
    <row r="119" spans="1:24">
      <c r="A119" t="s">
        <v>140</v>
      </c>
      <c r="B119" t="s">
        <v>512</v>
      </c>
      <c r="C119" t="s">
        <v>632</v>
      </c>
      <c r="D119" t="s">
        <v>1007</v>
      </c>
      <c r="E119" t="s">
        <v>1009</v>
      </c>
      <c r="F119" t="s">
        <v>1127</v>
      </c>
      <c r="G119">
        <v>7</v>
      </c>
      <c r="H119">
        <v>0</v>
      </c>
      <c r="I119">
        <v>0</v>
      </c>
      <c r="J119">
        <v>0</v>
      </c>
      <c r="K119">
        <v>0</v>
      </c>
      <c r="L119">
        <v>0.7</v>
      </c>
      <c r="M119">
        <v>12.6</v>
      </c>
      <c r="N119">
        <v>0</v>
      </c>
      <c r="O119">
        <v>0</v>
      </c>
      <c r="P119" s="2">
        <f>(H119 + J119) - (L119 + N119)</f>
        <v>0</v>
      </c>
      <c r="Q119" s="2">
        <f>P119 * G119</f>
        <v>0</v>
      </c>
      <c r="R119">
        <v>0</v>
      </c>
      <c r="S119" s="2">
        <f>R119 * G119</f>
        <v>0</v>
      </c>
      <c r="T119" s="2">
        <f>(H119 + J119) - (L119 + N119) - R119</f>
        <v>0</v>
      </c>
      <c r="U119" s="2">
        <f>T119 * G119</f>
        <v>0</v>
      </c>
      <c r="V119" s="2">
        <f>I119 + K119 - S119</f>
        <v>0</v>
      </c>
      <c r="W119" s="2">
        <f>M119 - V119</f>
        <v>0</v>
      </c>
      <c r="X119" s="2">
        <f>IFERROR(W119 / M119 * 100, 0)</f>
        <v>0</v>
      </c>
    </row>
    <row r="120" spans="1:24">
      <c r="A120" t="s">
        <v>141</v>
      </c>
      <c r="B120" t="s">
        <v>512</v>
      </c>
      <c r="C120" t="s">
        <v>633</v>
      </c>
      <c r="D120" t="s">
        <v>1007</v>
      </c>
      <c r="E120" t="s">
        <v>1009</v>
      </c>
      <c r="F120" t="s">
        <v>1128</v>
      </c>
      <c r="G120">
        <v>2.75</v>
      </c>
      <c r="H120">
        <v>0</v>
      </c>
      <c r="I120">
        <v>0</v>
      </c>
      <c r="J120">
        <v>0</v>
      </c>
      <c r="K120">
        <v>0</v>
      </c>
      <c r="L120">
        <v>0.16</v>
      </c>
      <c r="M120">
        <v>0.6</v>
      </c>
      <c r="N120">
        <v>0</v>
      </c>
      <c r="O120">
        <v>0</v>
      </c>
      <c r="P120" s="2">
        <f>(H120 + J120) - (L120 + N120)</f>
        <v>0</v>
      </c>
      <c r="Q120" s="2">
        <f>P120 * G120</f>
        <v>0</v>
      </c>
      <c r="R120">
        <v>0</v>
      </c>
      <c r="S120" s="2">
        <f>R120 * G120</f>
        <v>0</v>
      </c>
      <c r="T120" s="2">
        <f>(H120 + J120) - (L120 + N120) - R120</f>
        <v>0</v>
      </c>
      <c r="U120" s="2">
        <f>T120 * G120</f>
        <v>0</v>
      </c>
      <c r="V120" s="2">
        <f>I120 + K120 - S120</f>
        <v>0</v>
      </c>
      <c r="W120" s="2">
        <f>M120 - V120</f>
        <v>0</v>
      </c>
      <c r="X120" s="2">
        <f>IFERROR(W120 / M120 * 100, 0)</f>
        <v>0</v>
      </c>
    </row>
    <row r="121" spans="1:24">
      <c r="A121" t="s">
        <v>142</v>
      </c>
      <c r="B121" t="s">
        <v>512</v>
      </c>
      <c r="C121" t="s">
        <v>634</v>
      </c>
      <c r="D121" t="s">
        <v>1008</v>
      </c>
      <c r="E121" t="s">
        <v>1009</v>
      </c>
      <c r="F121" t="s">
        <v>1129</v>
      </c>
      <c r="G121">
        <v>1.75</v>
      </c>
      <c r="H121">
        <v>0</v>
      </c>
      <c r="I121">
        <v>0</v>
      </c>
      <c r="J121">
        <v>0</v>
      </c>
      <c r="K121">
        <v>0</v>
      </c>
      <c r="L121">
        <v>2</v>
      </c>
      <c r="M121">
        <v>6</v>
      </c>
      <c r="N121">
        <v>0</v>
      </c>
      <c r="O121">
        <v>0</v>
      </c>
      <c r="P121" s="2">
        <f>(H121 + J121) - (L121 + N121)</f>
        <v>0</v>
      </c>
      <c r="Q121" s="2">
        <f>P121 * G121</f>
        <v>0</v>
      </c>
      <c r="R121">
        <v>0</v>
      </c>
      <c r="S121" s="2">
        <f>R121 * G121</f>
        <v>0</v>
      </c>
      <c r="T121" s="2">
        <f>(H121 + J121) - (L121 + N121) - R121</f>
        <v>0</v>
      </c>
      <c r="U121" s="2">
        <f>T121 * G121</f>
        <v>0</v>
      </c>
      <c r="V121" s="2">
        <f>I121 + K121 - S121</f>
        <v>0</v>
      </c>
      <c r="W121" s="2">
        <f>M121 - V121</f>
        <v>0</v>
      </c>
      <c r="X121" s="2">
        <f>IFERROR(W121 / M121 * 100, 0)</f>
        <v>0</v>
      </c>
    </row>
    <row r="122" spans="1:24">
      <c r="A122" t="s">
        <v>143</v>
      </c>
      <c r="B122" t="s">
        <v>512</v>
      </c>
      <c r="C122" t="s">
        <v>635</v>
      </c>
      <c r="D122" t="s">
        <v>1008</v>
      </c>
      <c r="E122" t="s">
        <v>1009</v>
      </c>
      <c r="F122" t="s">
        <v>1130</v>
      </c>
      <c r="G122">
        <v>7.3</v>
      </c>
      <c r="H122">
        <v>1</v>
      </c>
      <c r="I122">
        <v>7</v>
      </c>
      <c r="J122">
        <v>5</v>
      </c>
      <c r="K122">
        <v>36.5</v>
      </c>
      <c r="L122">
        <v>1</v>
      </c>
      <c r="M122">
        <v>12</v>
      </c>
      <c r="N122">
        <v>0</v>
      </c>
      <c r="O122">
        <v>0</v>
      </c>
      <c r="P122" s="2">
        <f>(H122 + J122) - (L122 + N122)</f>
        <v>0</v>
      </c>
      <c r="Q122" s="2">
        <f>P122 * G122</f>
        <v>0</v>
      </c>
      <c r="R122">
        <v>5</v>
      </c>
      <c r="S122" s="2">
        <f>R122 * G122</f>
        <v>0</v>
      </c>
      <c r="T122" s="2">
        <f>(H122 + J122) - (L122 + N122) - R122</f>
        <v>0</v>
      </c>
      <c r="U122" s="2">
        <f>T122 * G122</f>
        <v>0</v>
      </c>
      <c r="V122" s="2">
        <f>I122 + K122 - S122</f>
        <v>0</v>
      </c>
      <c r="W122" s="2">
        <f>M122 - V122</f>
        <v>0</v>
      </c>
      <c r="X122" s="2">
        <f>IFERROR(W122 / M122 * 100, 0)</f>
        <v>0</v>
      </c>
    </row>
    <row r="123" spans="1:24">
      <c r="A123" t="s">
        <v>144</v>
      </c>
      <c r="B123" t="s">
        <v>512</v>
      </c>
      <c r="C123" t="s">
        <v>636</v>
      </c>
      <c r="D123" t="s">
        <v>1008</v>
      </c>
      <c r="E123" t="s">
        <v>1009</v>
      </c>
      <c r="F123" t="s">
        <v>1131</v>
      </c>
      <c r="G123">
        <v>11.6</v>
      </c>
      <c r="H123">
        <v>9</v>
      </c>
      <c r="I123">
        <v>104.4</v>
      </c>
      <c r="J123">
        <v>-1</v>
      </c>
      <c r="K123">
        <v>-11.6</v>
      </c>
      <c r="L123">
        <v>7</v>
      </c>
      <c r="M123">
        <v>105</v>
      </c>
      <c r="N123">
        <v>0</v>
      </c>
      <c r="O123">
        <v>0</v>
      </c>
      <c r="P123" s="2">
        <f>(H123 + J123) - (L123 + N123)</f>
        <v>0</v>
      </c>
      <c r="Q123" s="2">
        <f>P123 * G123</f>
        <v>0</v>
      </c>
      <c r="R123">
        <v>0</v>
      </c>
      <c r="S123" s="2">
        <f>R123 * G123</f>
        <v>0</v>
      </c>
      <c r="T123" s="2">
        <f>(H123 + J123) - (L123 + N123) - R123</f>
        <v>0</v>
      </c>
      <c r="U123" s="2">
        <f>T123 * G123</f>
        <v>0</v>
      </c>
      <c r="V123" s="2">
        <f>I123 + K123 - S123</f>
        <v>0</v>
      </c>
      <c r="W123" s="2">
        <f>M123 - V123</f>
        <v>0</v>
      </c>
      <c r="X123" s="2">
        <f>IFERROR(W123 / M123 * 100, 0)</f>
        <v>0</v>
      </c>
    </row>
    <row r="124" spans="1:24">
      <c r="A124" t="s">
        <v>145</v>
      </c>
      <c r="B124" t="s">
        <v>512</v>
      </c>
      <c r="C124" t="s">
        <v>637</v>
      </c>
      <c r="D124" t="s">
        <v>1007</v>
      </c>
      <c r="E124" t="s">
        <v>1009</v>
      </c>
      <c r="F124" t="s">
        <v>1132</v>
      </c>
      <c r="G124">
        <v>10</v>
      </c>
      <c r="H124">
        <v>0</v>
      </c>
      <c r="I124">
        <v>0</v>
      </c>
      <c r="J124">
        <v>22</v>
      </c>
      <c r="K124">
        <v>220</v>
      </c>
      <c r="L124">
        <v>21.12</v>
      </c>
      <c r="M124">
        <v>269.25</v>
      </c>
      <c r="N124">
        <v>0</v>
      </c>
      <c r="O124">
        <v>0</v>
      </c>
      <c r="P124" s="2">
        <f>(H124 + J124) - (L124 + N124)</f>
        <v>0</v>
      </c>
      <c r="Q124" s="2">
        <f>P124 * G124</f>
        <v>0</v>
      </c>
      <c r="R124">
        <v>0</v>
      </c>
      <c r="S124" s="2">
        <f>R124 * G124</f>
        <v>0</v>
      </c>
      <c r="T124" s="2">
        <f>(H124 + J124) - (L124 + N124) - R124</f>
        <v>0</v>
      </c>
      <c r="U124" s="2">
        <f>T124 * G124</f>
        <v>0</v>
      </c>
      <c r="V124" s="2">
        <f>I124 + K124 - S124</f>
        <v>0</v>
      </c>
      <c r="W124" s="2">
        <f>M124 - V124</f>
        <v>0</v>
      </c>
      <c r="X124" s="2">
        <f>IFERROR(W124 / M124 * 100, 0)</f>
        <v>0</v>
      </c>
    </row>
    <row r="125" spans="1:24">
      <c r="A125" t="s">
        <v>146</v>
      </c>
      <c r="B125" t="s">
        <v>512</v>
      </c>
      <c r="C125" t="s">
        <v>638</v>
      </c>
      <c r="D125" t="s">
        <v>1007</v>
      </c>
      <c r="E125" t="s">
        <v>1009</v>
      </c>
      <c r="F125" t="s">
        <v>1133</v>
      </c>
      <c r="G125">
        <v>7.85</v>
      </c>
      <c r="H125">
        <v>149.1</v>
      </c>
      <c r="I125">
        <v>910.6</v>
      </c>
      <c r="J125">
        <v>199.13</v>
      </c>
      <c r="K125">
        <v>1830.99</v>
      </c>
      <c r="L125">
        <v>285.74</v>
      </c>
      <c r="M125">
        <v>3124.02</v>
      </c>
      <c r="N125">
        <v>16</v>
      </c>
      <c r="O125">
        <v>143.44</v>
      </c>
      <c r="P125" s="2">
        <f>(H125 + J125) - (L125 + N125)</f>
        <v>0</v>
      </c>
      <c r="Q125" s="2">
        <f>P125 * G125</f>
        <v>0</v>
      </c>
      <c r="R125">
        <v>0</v>
      </c>
      <c r="S125" s="2">
        <f>R125 * G125</f>
        <v>0</v>
      </c>
      <c r="T125" s="2">
        <f>(H125 + J125) - (L125 + N125) - R125</f>
        <v>0</v>
      </c>
      <c r="U125" s="2">
        <f>T125 * G125</f>
        <v>0</v>
      </c>
      <c r="V125" s="2">
        <f>I125 + K125 - S125</f>
        <v>0</v>
      </c>
      <c r="W125" s="2">
        <f>M125 - V125</f>
        <v>0</v>
      </c>
      <c r="X125" s="2">
        <f>IFERROR(W125 / M125 * 100, 0)</f>
        <v>0</v>
      </c>
    </row>
    <row r="126" spans="1:24">
      <c r="A126" t="s">
        <v>147</v>
      </c>
      <c r="B126" t="s">
        <v>512</v>
      </c>
      <c r="C126" t="s">
        <v>639</v>
      </c>
      <c r="D126" t="s">
        <v>1007</v>
      </c>
      <c r="E126" t="s">
        <v>1009</v>
      </c>
      <c r="F126" t="s">
        <v>1134</v>
      </c>
      <c r="G126">
        <v>7.05</v>
      </c>
      <c r="H126">
        <v>32.3</v>
      </c>
      <c r="I126">
        <v>334.82</v>
      </c>
      <c r="J126">
        <v>692</v>
      </c>
      <c r="K126">
        <v>5889</v>
      </c>
      <c r="L126">
        <v>744.49</v>
      </c>
      <c r="M126">
        <v>8562.190000000001</v>
      </c>
      <c r="N126">
        <v>15.81</v>
      </c>
      <c r="O126">
        <v>124.37</v>
      </c>
      <c r="P126" s="2">
        <f>(H126 + J126) - (L126 + N126)</f>
        <v>0</v>
      </c>
      <c r="Q126" s="2">
        <f>P126 * G126</f>
        <v>0</v>
      </c>
      <c r="R126">
        <v>4.2</v>
      </c>
      <c r="S126" s="2">
        <f>R126 * G126</f>
        <v>0</v>
      </c>
      <c r="T126" s="2">
        <f>(H126 + J126) - (L126 + N126) - R126</f>
        <v>0</v>
      </c>
      <c r="U126" s="2">
        <f>T126 * G126</f>
        <v>0</v>
      </c>
      <c r="V126" s="2">
        <f>I126 + K126 - S126</f>
        <v>0</v>
      </c>
      <c r="W126" s="2">
        <f>M126 - V126</f>
        <v>0</v>
      </c>
      <c r="X126" s="2">
        <f>IFERROR(W126 / M126 * 100, 0)</f>
        <v>0</v>
      </c>
    </row>
    <row r="127" spans="1:24">
      <c r="A127" t="s">
        <v>148</v>
      </c>
      <c r="B127" t="s">
        <v>512</v>
      </c>
      <c r="C127" t="s">
        <v>640</v>
      </c>
      <c r="D127" t="s">
        <v>1008</v>
      </c>
      <c r="E127" t="s">
        <v>1009</v>
      </c>
      <c r="F127" t="s">
        <v>1135</v>
      </c>
      <c r="G127">
        <v>5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10</v>
      </c>
      <c r="N127">
        <v>0</v>
      </c>
      <c r="O127">
        <v>0</v>
      </c>
      <c r="P127" s="2">
        <f>(H127 + J127) - (L127 + N127)</f>
        <v>0</v>
      </c>
      <c r="Q127" s="2">
        <f>P127 * G127</f>
        <v>0</v>
      </c>
      <c r="R127">
        <v>0</v>
      </c>
      <c r="S127" s="2">
        <f>R127 * G127</f>
        <v>0</v>
      </c>
      <c r="T127" s="2">
        <f>(H127 + J127) - (L127 + N127) - R127</f>
        <v>0</v>
      </c>
      <c r="U127" s="2">
        <f>T127 * G127</f>
        <v>0</v>
      </c>
      <c r="V127" s="2">
        <f>I127 + K127 - S127</f>
        <v>0</v>
      </c>
      <c r="W127" s="2">
        <f>M127 - V127</f>
        <v>0</v>
      </c>
      <c r="X127" s="2">
        <f>IFERROR(W127 / M127 * 100, 0)</f>
        <v>0</v>
      </c>
    </row>
    <row r="128" spans="1:24">
      <c r="A128" t="s">
        <v>149</v>
      </c>
      <c r="B128" t="s">
        <v>512</v>
      </c>
      <c r="C128" t="s">
        <v>641</v>
      </c>
      <c r="D128" t="s">
        <v>1008</v>
      </c>
      <c r="E128" t="s">
        <v>1009</v>
      </c>
      <c r="F128" t="s">
        <v>1136</v>
      </c>
      <c r="G128">
        <v>5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11</v>
      </c>
      <c r="N128">
        <v>0</v>
      </c>
      <c r="O128">
        <v>0</v>
      </c>
      <c r="P128" s="2">
        <f>(H128 + J128) - (L128 + N128)</f>
        <v>0</v>
      </c>
      <c r="Q128" s="2">
        <f>P128 * G128</f>
        <v>0</v>
      </c>
      <c r="R128">
        <v>0</v>
      </c>
      <c r="S128" s="2">
        <f>R128 * G128</f>
        <v>0</v>
      </c>
      <c r="T128" s="2">
        <f>(H128 + J128) - (L128 + N128) - R128</f>
        <v>0</v>
      </c>
      <c r="U128" s="2">
        <f>T128 * G128</f>
        <v>0</v>
      </c>
      <c r="V128" s="2">
        <f>I128 + K128 - S128</f>
        <v>0</v>
      </c>
      <c r="W128" s="2">
        <f>M128 - V128</f>
        <v>0</v>
      </c>
      <c r="X128" s="2">
        <f>IFERROR(W128 / M128 * 100, 0)</f>
        <v>0</v>
      </c>
    </row>
    <row r="129" spans="1:24">
      <c r="A129" t="s">
        <v>150</v>
      </c>
      <c r="B129" t="s">
        <v>512</v>
      </c>
      <c r="C129" t="s">
        <v>642</v>
      </c>
      <c r="D129" t="s">
        <v>1007</v>
      </c>
      <c r="E129" t="s">
        <v>1009</v>
      </c>
      <c r="F129" t="s">
        <v>1137</v>
      </c>
      <c r="G129">
        <v>2.5</v>
      </c>
      <c r="H129">
        <v>0</v>
      </c>
      <c r="I129">
        <v>0</v>
      </c>
      <c r="J129">
        <v>0</v>
      </c>
      <c r="K129">
        <v>0</v>
      </c>
      <c r="L129">
        <v>0.57</v>
      </c>
      <c r="M129">
        <v>2</v>
      </c>
      <c r="N129">
        <v>0</v>
      </c>
      <c r="O129">
        <v>0</v>
      </c>
      <c r="P129" s="2">
        <f>(H129 + J129) - (L129 + N129)</f>
        <v>0</v>
      </c>
      <c r="Q129" s="2">
        <f>P129 * G129</f>
        <v>0</v>
      </c>
      <c r="R129">
        <v>0</v>
      </c>
      <c r="S129" s="2">
        <f>R129 * G129</f>
        <v>0</v>
      </c>
      <c r="T129" s="2">
        <f>(H129 + J129) - (L129 + N129) - R129</f>
        <v>0</v>
      </c>
      <c r="U129" s="2">
        <f>T129 * G129</f>
        <v>0</v>
      </c>
      <c r="V129" s="2">
        <f>I129 + K129 - S129</f>
        <v>0</v>
      </c>
      <c r="W129" s="2">
        <f>M129 - V129</f>
        <v>0</v>
      </c>
      <c r="X129" s="2">
        <f>IFERROR(W129 / M129 * 100, 0)</f>
        <v>0</v>
      </c>
    </row>
    <row r="130" spans="1:24">
      <c r="A130" t="s">
        <v>151</v>
      </c>
      <c r="B130" t="s">
        <v>512</v>
      </c>
      <c r="C130" t="s">
        <v>643</v>
      </c>
      <c r="D130" t="s">
        <v>1007</v>
      </c>
      <c r="E130" t="s">
        <v>1009</v>
      </c>
      <c r="F130" t="s">
        <v>1138</v>
      </c>
      <c r="G130">
        <v>14.75</v>
      </c>
      <c r="H130">
        <v>0</v>
      </c>
      <c r="I130">
        <v>0</v>
      </c>
      <c r="J130">
        <v>95.01000000000001</v>
      </c>
      <c r="K130">
        <v>1401.4</v>
      </c>
      <c r="L130">
        <v>91.13</v>
      </c>
      <c r="M130">
        <v>1503.91</v>
      </c>
      <c r="N130">
        <v>0</v>
      </c>
      <c r="O130">
        <v>0</v>
      </c>
      <c r="P130" s="2">
        <f>(H130 + J130) - (L130 + N130)</f>
        <v>0</v>
      </c>
      <c r="Q130" s="2">
        <f>P130 * G130</f>
        <v>0</v>
      </c>
      <c r="R130">
        <v>0</v>
      </c>
      <c r="S130" s="2">
        <f>R130 * G130</f>
        <v>0</v>
      </c>
      <c r="T130" s="2">
        <f>(H130 + J130) - (L130 + N130) - R130</f>
        <v>0</v>
      </c>
      <c r="U130" s="2">
        <f>T130 * G130</f>
        <v>0</v>
      </c>
      <c r="V130" s="2">
        <f>I130 + K130 - S130</f>
        <v>0</v>
      </c>
      <c r="W130" s="2">
        <f>M130 - V130</f>
        <v>0</v>
      </c>
      <c r="X130" s="2">
        <f>IFERROR(W130 / M130 * 100, 0)</f>
        <v>0</v>
      </c>
    </row>
    <row r="131" spans="1:24">
      <c r="A131" t="s">
        <v>152</v>
      </c>
      <c r="B131" t="s">
        <v>512</v>
      </c>
      <c r="C131" t="s">
        <v>644</v>
      </c>
      <c r="D131" t="s">
        <v>1007</v>
      </c>
      <c r="E131" t="s">
        <v>1009</v>
      </c>
      <c r="F131" t="s">
        <v>1139</v>
      </c>
      <c r="G131">
        <v>19</v>
      </c>
      <c r="H131">
        <v>0</v>
      </c>
      <c r="I131">
        <v>0</v>
      </c>
      <c r="J131">
        <v>38.88</v>
      </c>
      <c r="K131">
        <v>738.72</v>
      </c>
      <c r="L131">
        <v>34.62</v>
      </c>
      <c r="M131">
        <v>692.4400000000001</v>
      </c>
      <c r="N131">
        <v>0</v>
      </c>
      <c r="O131">
        <v>0</v>
      </c>
      <c r="P131" s="2">
        <f>(H131 + J131) - (L131 + N131)</f>
        <v>0</v>
      </c>
      <c r="Q131" s="2">
        <f>P131 * G131</f>
        <v>0</v>
      </c>
      <c r="R131">
        <v>10</v>
      </c>
      <c r="S131" s="2">
        <f>R131 * G131</f>
        <v>0</v>
      </c>
      <c r="T131" s="2">
        <f>(H131 + J131) - (L131 + N131) - R131</f>
        <v>0</v>
      </c>
      <c r="U131" s="2">
        <f>T131 * G131</f>
        <v>0</v>
      </c>
      <c r="V131" s="2">
        <f>I131 + K131 - S131</f>
        <v>0</v>
      </c>
      <c r="W131" s="2">
        <f>M131 - V131</f>
        <v>0</v>
      </c>
      <c r="X131" s="2">
        <f>IFERROR(W131 / M131 * 100, 0)</f>
        <v>0</v>
      </c>
    </row>
    <row r="132" spans="1:24">
      <c r="A132" t="s">
        <v>153</v>
      </c>
      <c r="B132" t="s">
        <v>512</v>
      </c>
      <c r="C132" t="s">
        <v>645</v>
      </c>
      <c r="D132" t="s">
        <v>1007</v>
      </c>
      <c r="E132" t="s">
        <v>1009</v>
      </c>
      <c r="F132" t="s">
        <v>1140</v>
      </c>
      <c r="G132">
        <v>6.79</v>
      </c>
      <c r="H132">
        <v>30.2</v>
      </c>
      <c r="I132">
        <v>255.86</v>
      </c>
      <c r="J132">
        <v>312.5</v>
      </c>
      <c r="K132">
        <v>2220.5</v>
      </c>
      <c r="L132">
        <v>233.21</v>
      </c>
      <c r="M132">
        <v>2349.8</v>
      </c>
      <c r="N132">
        <v>20</v>
      </c>
      <c r="O132">
        <v>148.72</v>
      </c>
      <c r="P132" s="2">
        <f>(H132 + J132) - (L132 + N132)</f>
        <v>0</v>
      </c>
      <c r="Q132" s="2">
        <f>P132 * G132</f>
        <v>0</v>
      </c>
      <c r="R132">
        <v>75.5</v>
      </c>
      <c r="S132" s="2">
        <f>R132 * G132</f>
        <v>0</v>
      </c>
      <c r="T132" s="2">
        <f>(H132 + J132) - (L132 + N132) - R132</f>
        <v>0</v>
      </c>
      <c r="U132" s="2">
        <f>T132 * G132</f>
        <v>0</v>
      </c>
      <c r="V132" s="2">
        <f>I132 + K132 - S132</f>
        <v>0</v>
      </c>
      <c r="W132" s="2">
        <f>M132 - V132</f>
        <v>0</v>
      </c>
      <c r="X132" s="2">
        <f>IFERROR(W132 / M132 * 100, 0)</f>
        <v>0</v>
      </c>
    </row>
    <row r="133" spans="1:24">
      <c r="A133" t="s">
        <v>154</v>
      </c>
      <c r="B133" t="s">
        <v>512</v>
      </c>
      <c r="C133" t="s">
        <v>646</v>
      </c>
      <c r="D133" t="s">
        <v>1007</v>
      </c>
      <c r="E133" t="s">
        <v>1009</v>
      </c>
      <c r="F133" t="s">
        <v>1141</v>
      </c>
      <c r="G133">
        <v>7.03</v>
      </c>
      <c r="H133">
        <v>0</v>
      </c>
      <c r="I133">
        <v>0</v>
      </c>
      <c r="J133">
        <v>0</v>
      </c>
      <c r="K133">
        <v>0</v>
      </c>
      <c r="L133">
        <v>0.68</v>
      </c>
      <c r="M133">
        <v>5.75</v>
      </c>
      <c r="N133">
        <v>0</v>
      </c>
      <c r="O133">
        <v>0</v>
      </c>
      <c r="P133" s="2">
        <f>(H133 + J133) - (L133 + N133)</f>
        <v>0</v>
      </c>
      <c r="Q133" s="2">
        <f>P133 * G133</f>
        <v>0</v>
      </c>
      <c r="R133">
        <v>0</v>
      </c>
      <c r="S133" s="2">
        <f>R133 * G133</f>
        <v>0</v>
      </c>
      <c r="T133" s="2">
        <f>(H133 + J133) - (L133 + N133) - R133</f>
        <v>0</v>
      </c>
      <c r="U133" s="2">
        <f>T133 * G133</f>
        <v>0</v>
      </c>
      <c r="V133" s="2">
        <f>I133 + K133 - S133</f>
        <v>0</v>
      </c>
      <c r="W133" s="2">
        <f>M133 - V133</f>
        <v>0</v>
      </c>
      <c r="X133" s="2">
        <f>IFERROR(W133 / M133 * 100, 0)</f>
        <v>0</v>
      </c>
    </row>
    <row r="134" spans="1:24">
      <c r="A134" t="s">
        <v>155</v>
      </c>
      <c r="B134" t="s">
        <v>512</v>
      </c>
      <c r="C134" t="s">
        <v>647</v>
      </c>
      <c r="D134" t="s">
        <v>1007</v>
      </c>
      <c r="E134" t="s">
        <v>1009</v>
      </c>
      <c r="F134" t="s">
        <v>1142</v>
      </c>
      <c r="G134">
        <v>7.32</v>
      </c>
      <c r="H134">
        <v>0</v>
      </c>
      <c r="I134">
        <v>0</v>
      </c>
      <c r="J134">
        <v>0</v>
      </c>
      <c r="K134">
        <v>0</v>
      </c>
      <c r="L134">
        <v>0.89</v>
      </c>
      <c r="M134">
        <v>9.369999999999999</v>
      </c>
      <c r="N134">
        <v>0</v>
      </c>
      <c r="O134">
        <v>0</v>
      </c>
      <c r="P134" s="2">
        <f>(H134 + J134) - (L134 + N134)</f>
        <v>0</v>
      </c>
      <c r="Q134" s="2">
        <f>P134 * G134</f>
        <v>0</v>
      </c>
      <c r="R134">
        <v>0</v>
      </c>
      <c r="S134" s="2">
        <f>R134 * G134</f>
        <v>0</v>
      </c>
      <c r="T134" s="2">
        <f>(H134 + J134) - (L134 + N134) - R134</f>
        <v>0</v>
      </c>
      <c r="U134" s="2">
        <f>T134 * G134</f>
        <v>0</v>
      </c>
      <c r="V134" s="2">
        <f>I134 + K134 - S134</f>
        <v>0</v>
      </c>
      <c r="W134" s="2">
        <f>M134 - V134</f>
        <v>0</v>
      </c>
      <c r="X134" s="2">
        <f>IFERROR(W134 / M134 * 100, 0)</f>
        <v>0</v>
      </c>
    </row>
    <row r="135" spans="1:24">
      <c r="A135" t="s">
        <v>156</v>
      </c>
      <c r="B135" t="s">
        <v>512</v>
      </c>
      <c r="C135" t="s">
        <v>648</v>
      </c>
      <c r="D135" t="s">
        <v>1007</v>
      </c>
      <c r="E135" t="s">
        <v>1009</v>
      </c>
      <c r="F135" t="s">
        <v>1143</v>
      </c>
      <c r="G135">
        <v>6.81</v>
      </c>
      <c r="H135">
        <v>0</v>
      </c>
      <c r="I135">
        <v>0</v>
      </c>
      <c r="J135">
        <v>0</v>
      </c>
      <c r="K135">
        <v>0</v>
      </c>
      <c r="L135">
        <v>0.79</v>
      </c>
      <c r="M135">
        <v>9.09</v>
      </c>
      <c r="N135">
        <v>0</v>
      </c>
      <c r="O135">
        <v>0</v>
      </c>
      <c r="P135" s="2">
        <f>(H135 + J135) - (L135 + N135)</f>
        <v>0</v>
      </c>
      <c r="Q135" s="2">
        <f>P135 * G135</f>
        <v>0</v>
      </c>
      <c r="R135">
        <v>0</v>
      </c>
      <c r="S135" s="2">
        <f>R135 * G135</f>
        <v>0</v>
      </c>
      <c r="T135" s="2">
        <f>(H135 + J135) - (L135 + N135) - R135</f>
        <v>0</v>
      </c>
      <c r="U135" s="2">
        <f>T135 * G135</f>
        <v>0</v>
      </c>
      <c r="V135" s="2">
        <f>I135 + K135 - S135</f>
        <v>0</v>
      </c>
      <c r="W135" s="2">
        <f>M135 - V135</f>
        <v>0</v>
      </c>
      <c r="X135" s="2">
        <f>IFERROR(W135 / M135 * 100, 0)</f>
        <v>0</v>
      </c>
    </row>
    <row r="136" spans="1:24">
      <c r="A136" t="s">
        <v>157</v>
      </c>
      <c r="B136" t="s">
        <v>512</v>
      </c>
      <c r="C136" t="s">
        <v>649</v>
      </c>
      <c r="D136" t="s">
        <v>1007</v>
      </c>
      <c r="E136" t="s">
        <v>1009</v>
      </c>
      <c r="F136" t="s">
        <v>1144</v>
      </c>
      <c r="G136">
        <v>0.96</v>
      </c>
      <c r="H136">
        <v>0</v>
      </c>
      <c r="I136">
        <v>0</v>
      </c>
      <c r="J136">
        <v>0</v>
      </c>
      <c r="K136">
        <v>0</v>
      </c>
      <c r="L136">
        <v>2.05</v>
      </c>
      <c r="M136">
        <v>4.1</v>
      </c>
      <c r="N136">
        <v>0</v>
      </c>
      <c r="O136">
        <v>0</v>
      </c>
      <c r="P136" s="2">
        <f>(H136 + J136) - (L136 + N136)</f>
        <v>0</v>
      </c>
      <c r="Q136" s="2">
        <f>P136 * G136</f>
        <v>0</v>
      </c>
      <c r="R136">
        <v>0</v>
      </c>
      <c r="S136" s="2">
        <f>R136 * G136</f>
        <v>0</v>
      </c>
      <c r="T136" s="2">
        <f>(H136 + J136) - (L136 + N136) - R136</f>
        <v>0</v>
      </c>
      <c r="U136" s="2">
        <f>T136 * G136</f>
        <v>0</v>
      </c>
      <c r="V136" s="2">
        <f>I136 + K136 - S136</f>
        <v>0</v>
      </c>
      <c r="W136" s="2">
        <f>M136 - V136</f>
        <v>0</v>
      </c>
      <c r="X136" s="2">
        <f>IFERROR(W136 / M136 * 100, 0)</f>
        <v>0</v>
      </c>
    </row>
    <row r="137" spans="1:24">
      <c r="A137" t="s">
        <v>158</v>
      </c>
      <c r="B137" t="s">
        <v>512</v>
      </c>
      <c r="C137" t="s">
        <v>650</v>
      </c>
      <c r="D137" t="s">
        <v>1007</v>
      </c>
      <c r="E137" t="s">
        <v>1009</v>
      </c>
      <c r="F137" t="s">
        <v>1145</v>
      </c>
      <c r="G137">
        <v>4.25</v>
      </c>
      <c r="H137">
        <v>0</v>
      </c>
      <c r="I137">
        <v>0</v>
      </c>
      <c r="J137">
        <v>50</v>
      </c>
      <c r="K137">
        <v>250</v>
      </c>
      <c r="L137">
        <v>0.33</v>
      </c>
      <c r="M137">
        <v>2.11</v>
      </c>
      <c r="N137">
        <v>0</v>
      </c>
      <c r="O137">
        <v>0</v>
      </c>
      <c r="P137" s="2">
        <f>(H137 + J137) - (L137 + N137)</f>
        <v>0</v>
      </c>
      <c r="Q137" s="2">
        <f>P137 * G137</f>
        <v>0</v>
      </c>
      <c r="R137">
        <v>0</v>
      </c>
      <c r="S137" s="2">
        <f>R137 * G137</f>
        <v>0</v>
      </c>
      <c r="T137" s="2">
        <f>(H137 + J137) - (L137 + N137) - R137</f>
        <v>0</v>
      </c>
      <c r="U137" s="2">
        <f>T137 * G137</f>
        <v>0</v>
      </c>
      <c r="V137" s="2">
        <f>I137 + K137 - S137</f>
        <v>0</v>
      </c>
      <c r="W137" s="2">
        <f>M137 - V137</f>
        <v>0</v>
      </c>
      <c r="X137" s="2">
        <f>IFERROR(W137 / M137 * 100, 0)</f>
        <v>0</v>
      </c>
    </row>
    <row r="138" spans="1:24">
      <c r="A138" t="s">
        <v>159</v>
      </c>
      <c r="B138" t="s">
        <v>512</v>
      </c>
      <c r="C138" t="s">
        <v>651</v>
      </c>
      <c r="D138" t="s">
        <v>1007</v>
      </c>
      <c r="E138" t="s">
        <v>1009</v>
      </c>
      <c r="F138" t="s">
        <v>1146</v>
      </c>
      <c r="G138">
        <v>2.99</v>
      </c>
      <c r="H138">
        <v>335.1</v>
      </c>
      <c r="I138">
        <v>952.49</v>
      </c>
      <c r="J138">
        <v>1243.5</v>
      </c>
      <c r="K138">
        <v>3681.5</v>
      </c>
      <c r="L138">
        <v>1541.24</v>
      </c>
      <c r="M138">
        <v>6163.06</v>
      </c>
      <c r="N138">
        <v>0</v>
      </c>
      <c r="O138">
        <v>0</v>
      </c>
      <c r="P138" s="2">
        <f>(H138 + J138) - (L138 + N138)</f>
        <v>0</v>
      </c>
      <c r="Q138" s="2">
        <f>P138 * G138</f>
        <v>0</v>
      </c>
      <c r="R138">
        <v>37.1</v>
      </c>
      <c r="S138" s="2">
        <f>R138 * G138</f>
        <v>0</v>
      </c>
      <c r="T138" s="2">
        <f>(H138 + J138) - (L138 + N138) - R138</f>
        <v>0</v>
      </c>
      <c r="U138" s="2">
        <f>T138 * G138</f>
        <v>0</v>
      </c>
      <c r="V138" s="2">
        <f>I138 + K138 - S138</f>
        <v>0</v>
      </c>
      <c r="W138" s="2">
        <f>M138 - V138</f>
        <v>0</v>
      </c>
      <c r="X138" s="2">
        <f>IFERROR(W138 / M138 * 100, 0)</f>
        <v>0</v>
      </c>
    </row>
    <row r="139" spans="1:24">
      <c r="A139" t="s">
        <v>160</v>
      </c>
      <c r="B139" t="s">
        <v>512</v>
      </c>
      <c r="C139" t="s">
        <v>652</v>
      </c>
      <c r="D139" t="s">
        <v>1007</v>
      </c>
      <c r="E139" t="s">
        <v>1009</v>
      </c>
      <c r="F139" t="s">
        <v>1147</v>
      </c>
      <c r="G139">
        <v>4</v>
      </c>
      <c r="H139">
        <v>0</v>
      </c>
      <c r="I139">
        <v>0</v>
      </c>
      <c r="J139">
        <v>0</v>
      </c>
      <c r="K139">
        <v>0</v>
      </c>
      <c r="L139">
        <v>0.13</v>
      </c>
      <c r="M139">
        <v>0.46</v>
      </c>
      <c r="N139">
        <v>0</v>
      </c>
      <c r="O139">
        <v>0</v>
      </c>
      <c r="P139" s="2">
        <f>(H139 + J139) - (L139 + N139)</f>
        <v>0</v>
      </c>
      <c r="Q139" s="2">
        <f>P139 * G139</f>
        <v>0</v>
      </c>
      <c r="R139">
        <v>0</v>
      </c>
      <c r="S139" s="2">
        <f>R139 * G139</f>
        <v>0</v>
      </c>
      <c r="T139" s="2">
        <f>(H139 + J139) - (L139 + N139) - R139</f>
        <v>0</v>
      </c>
      <c r="U139" s="2">
        <f>T139 * G139</f>
        <v>0</v>
      </c>
      <c r="V139" s="2">
        <f>I139 + K139 - S139</f>
        <v>0</v>
      </c>
      <c r="W139" s="2">
        <f>M139 - V139</f>
        <v>0</v>
      </c>
      <c r="X139" s="2">
        <f>IFERROR(W139 / M139 * 100, 0)</f>
        <v>0</v>
      </c>
    </row>
    <row r="140" spans="1:24">
      <c r="A140" t="s">
        <v>161</v>
      </c>
      <c r="B140" t="s">
        <v>512</v>
      </c>
      <c r="C140" t="s">
        <v>653</v>
      </c>
      <c r="D140" t="s">
        <v>1007</v>
      </c>
      <c r="E140" t="s">
        <v>1009</v>
      </c>
      <c r="F140" t="s">
        <v>1148</v>
      </c>
      <c r="G140">
        <v>9.710000000000001</v>
      </c>
      <c r="H140">
        <v>0</v>
      </c>
      <c r="I140">
        <v>0</v>
      </c>
      <c r="J140">
        <v>723.0700000000001</v>
      </c>
      <c r="K140">
        <v>6807.61</v>
      </c>
      <c r="L140">
        <v>510.03</v>
      </c>
      <c r="M140">
        <v>7657.02</v>
      </c>
      <c r="N140">
        <v>0</v>
      </c>
      <c r="O140">
        <v>0</v>
      </c>
      <c r="P140" s="2">
        <f>(H140 + J140) - (L140 + N140)</f>
        <v>0</v>
      </c>
      <c r="Q140" s="2">
        <f>P140 * G140</f>
        <v>0</v>
      </c>
      <c r="R140">
        <v>64.3</v>
      </c>
      <c r="S140" s="2">
        <f>R140 * G140</f>
        <v>0</v>
      </c>
      <c r="T140" s="2">
        <f>(H140 + J140) - (L140 + N140) - R140</f>
        <v>0</v>
      </c>
      <c r="U140" s="2">
        <f>T140 * G140</f>
        <v>0</v>
      </c>
      <c r="V140" s="2">
        <f>I140 + K140 - S140</f>
        <v>0</v>
      </c>
      <c r="W140" s="2">
        <f>M140 - V140</f>
        <v>0</v>
      </c>
      <c r="X140" s="2">
        <f>IFERROR(W140 / M140 * 100, 0)</f>
        <v>0</v>
      </c>
    </row>
    <row r="141" spans="1:24">
      <c r="A141" t="s">
        <v>162</v>
      </c>
      <c r="B141" t="s">
        <v>512</v>
      </c>
      <c r="C141" t="s">
        <v>654</v>
      </c>
      <c r="D141" t="s">
        <v>1007</v>
      </c>
      <c r="E141" t="s">
        <v>1009</v>
      </c>
      <c r="F141" t="s">
        <v>1149</v>
      </c>
      <c r="G141">
        <v>8</v>
      </c>
      <c r="H141">
        <v>0</v>
      </c>
      <c r="I141">
        <v>0</v>
      </c>
      <c r="J141">
        <v>0</v>
      </c>
      <c r="K141">
        <v>0</v>
      </c>
      <c r="L141">
        <v>2.57</v>
      </c>
      <c r="M141">
        <v>32.11</v>
      </c>
      <c r="N141">
        <v>0</v>
      </c>
      <c r="O141">
        <v>0</v>
      </c>
      <c r="P141" s="2">
        <f>(H141 + J141) - (L141 + N141)</f>
        <v>0</v>
      </c>
      <c r="Q141" s="2">
        <f>P141 * G141</f>
        <v>0</v>
      </c>
      <c r="R141">
        <v>0</v>
      </c>
      <c r="S141" s="2">
        <f>R141 * G141</f>
        <v>0</v>
      </c>
      <c r="T141" s="2">
        <f>(H141 + J141) - (L141 + N141) - R141</f>
        <v>0</v>
      </c>
      <c r="U141" s="2">
        <f>T141 * G141</f>
        <v>0</v>
      </c>
      <c r="V141" s="2">
        <f>I141 + K141 - S141</f>
        <v>0</v>
      </c>
      <c r="W141" s="2">
        <f>M141 - V141</f>
        <v>0</v>
      </c>
      <c r="X141" s="2">
        <f>IFERROR(W141 / M141 * 100, 0)</f>
        <v>0</v>
      </c>
    </row>
    <row r="142" spans="1:24">
      <c r="A142" t="s">
        <v>163</v>
      </c>
      <c r="B142" t="s">
        <v>512</v>
      </c>
      <c r="C142" t="s">
        <v>655</v>
      </c>
      <c r="D142" t="s">
        <v>1007</v>
      </c>
      <c r="E142" t="s">
        <v>1009</v>
      </c>
      <c r="F142" t="s">
        <v>1150</v>
      </c>
      <c r="G142">
        <v>3.13</v>
      </c>
      <c r="H142">
        <v>38.2</v>
      </c>
      <c r="I142">
        <v>161.04</v>
      </c>
      <c r="J142">
        <v>233.3</v>
      </c>
      <c r="K142">
        <v>788.02</v>
      </c>
      <c r="L142">
        <v>183.5</v>
      </c>
      <c r="M142">
        <v>1835.03</v>
      </c>
      <c r="N142">
        <v>23</v>
      </c>
      <c r="O142">
        <v>76.76000000000001</v>
      </c>
      <c r="P142" s="2">
        <f>(H142 + J142) - (L142 + N142)</f>
        <v>0</v>
      </c>
      <c r="Q142" s="2">
        <f>P142 * G142</f>
        <v>0</v>
      </c>
      <c r="R142">
        <v>46.8</v>
      </c>
      <c r="S142" s="2">
        <f>R142 * G142</f>
        <v>0</v>
      </c>
      <c r="T142" s="2">
        <f>(H142 + J142) - (L142 + N142) - R142</f>
        <v>0</v>
      </c>
      <c r="U142" s="2">
        <f>T142 * G142</f>
        <v>0</v>
      </c>
      <c r="V142" s="2">
        <f>I142 + K142 - S142</f>
        <v>0</v>
      </c>
      <c r="W142" s="2">
        <f>M142 - V142</f>
        <v>0</v>
      </c>
      <c r="X142" s="2">
        <f>IFERROR(W142 / M142 * 100, 0)</f>
        <v>0</v>
      </c>
    </row>
    <row r="143" spans="1:24">
      <c r="A143" t="s">
        <v>164</v>
      </c>
      <c r="B143" t="s">
        <v>512</v>
      </c>
      <c r="C143" t="s">
        <v>656</v>
      </c>
      <c r="D143" t="s">
        <v>1007</v>
      </c>
      <c r="E143" t="s">
        <v>1009</v>
      </c>
      <c r="F143" t="s">
        <v>1151</v>
      </c>
      <c r="G143">
        <v>10.72</v>
      </c>
      <c r="H143">
        <v>2</v>
      </c>
      <c r="I143">
        <v>18.55</v>
      </c>
      <c r="J143">
        <v>39</v>
      </c>
      <c r="K143">
        <v>419.25</v>
      </c>
      <c r="L143">
        <v>22.36</v>
      </c>
      <c r="M143">
        <v>245.92</v>
      </c>
      <c r="N143">
        <v>6</v>
      </c>
      <c r="O143">
        <v>64.2</v>
      </c>
      <c r="P143" s="2">
        <f>(H143 + J143) - (L143 + N143)</f>
        <v>0</v>
      </c>
      <c r="Q143" s="2">
        <f>P143 * G143</f>
        <v>0</v>
      </c>
      <c r="R143">
        <v>13.2</v>
      </c>
      <c r="S143" s="2">
        <f>R143 * G143</f>
        <v>0</v>
      </c>
      <c r="T143" s="2">
        <f>(H143 + J143) - (L143 + N143) - R143</f>
        <v>0</v>
      </c>
      <c r="U143" s="2">
        <f>T143 * G143</f>
        <v>0</v>
      </c>
      <c r="V143" s="2">
        <f>I143 + K143 - S143</f>
        <v>0</v>
      </c>
      <c r="W143" s="2">
        <f>M143 - V143</f>
        <v>0</v>
      </c>
      <c r="X143" s="2">
        <f>IFERROR(W143 / M143 * 100, 0)</f>
        <v>0</v>
      </c>
    </row>
    <row r="144" spans="1:24">
      <c r="A144" t="s">
        <v>165</v>
      </c>
      <c r="B144" t="s">
        <v>512</v>
      </c>
      <c r="C144" t="s">
        <v>657</v>
      </c>
      <c r="D144" t="s">
        <v>1007</v>
      </c>
      <c r="E144" t="s">
        <v>1009</v>
      </c>
      <c r="F144" t="s">
        <v>1152</v>
      </c>
      <c r="G144">
        <v>3.46</v>
      </c>
      <c r="H144">
        <v>0</v>
      </c>
      <c r="I144">
        <v>0</v>
      </c>
      <c r="J144">
        <v>3146.65</v>
      </c>
      <c r="K144">
        <v>4929.2</v>
      </c>
      <c r="L144">
        <v>3176.47</v>
      </c>
      <c r="M144">
        <v>9049.02</v>
      </c>
      <c r="N144">
        <v>36</v>
      </c>
      <c r="O144">
        <v>70.01000000000001</v>
      </c>
      <c r="P144" s="2">
        <f>(H144 + J144) - (L144 + N144)</f>
        <v>0</v>
      </c>
      <c r="Q144" s="2">
        <f>P144 * G144</f>
        <v>0</v>
      </c>
      <c r="R144">
        <v>181.8</v>
      </c>
      <c r="S144" s="2">
        <f>R144 * G144</f>
        <v>0</v>
      </c>
      <c r="T144" s="2">
        <f>(H144 + J144) - (L144 + N144) - R144</f>
        <v>0</v>
      </c>
      <c r="U144" s="2">
        <f>T144 * G144</f>
        <v>0</v>
      </c>
      <c r="V144" s="2">
        <f>I144 + K144 - S144</f>
        <v>0</v>
      </c>
      <c r="W144" s="2">
        <f>M144 - V144</f>
        <v>0</v>
      </c>
      <c r="X144" s="2">
        <f>IFERROR(W144 / M144 * 100, 0)</f>
        <v>0</v>
      </c>
    </row>
    <row r="145" spans="1:24">
      <c r="A145" t="s">
        <v>166</v>
      </c>
      <c r="B145" t="s">
        <v>512</v>
      </c>
      <c r="C145" t="s">
        <v>658</v>
      </c>
      <c r="D145" t="s">
        <v>1008</v>
      </c>
      <c r="E145" t="s">
        <v>1009</v>
      </c>
      <c r="F145" t="s">
        <v>1153</v>
      </c>
      <c r="G145">
        <v>6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8</v>
      </c>
      <c r="N145">
        <v>0</v>
      </c>
      <c r="O145">
        <v>0</v>
      </c>
      <c r="P145" s="2">
        <f>(H145 + J145) - (L145 + N145)</f>
        <v>0</v>
      </c>
      <c r="Q145" s="2">
        <f>P145 * G145</f>
        <v>0</v>
      </c>
      <c r="R145">
        <v>0</v>
      </c>
      <c r="S145" s="2">
        <f>R145 * G145</f>
        <v>0</v>
      </c>
      <c r="T145" s="2">
        <f>(H145 + J145) - (L145 + N145) - R145</f>
        <v>0</v>
      </c>
      <c r="U145" s="2">
        <f>T145 * G145</f>
        <v>0</v>
      </c>
      <c r="V145" s="2">
        <f>I145 + K145 - S145</f>
        <v>0</v>
      </c>
      <c r="W145" s="2">
        <f>M145 - V145</f>
        <v>0</v>
      </c>
      <c r="X145" s="2">
        <f>IFERROR(W145 / M145 * 100, 0)</f>
        <v>0</v>
      </c>
    </row>
    <row r="146" spans="1:24">
      <c r="A146" t="s">
        <v>167</v>
      </c>
      <c r="B146" t="s">
        <v>512</v>
      </c>
      <c r="C146" t="s">
        <v>659</v>
      </c>
      <c r="D146" t="s">
        <v>1007</v>
      </c>
      <c r="E146" t="s">
        <v>1009</v>
      </c>
      <c r="F146" t="s">
        <v>1154</v>
      </c>
      <c r="G146">
        <v>12.45</v>
      </c>
      <c r="H146">
        <v>6</v>
      </c>
      <c r="I146">
        <v>74.69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s="2">
        <f>(H146 + J146) - (L146 + N146)</f>
        <v>0</v>
      </c>
      <c r="Q146" s="2">
        <f>P146 * G146</f>
        <v>0</v>
      </c>
      <c r="R146">
        <v>0</v>
      </c>
      <c r="S146" s="2">
        <f>R146 * G146</f>
        <v>0</v>
      </c>
      <c r="T146" s="2">
        <f>(H146 + J146) - (L146 + N146) - R146</f>
        <v>0</v>
      </c>
      <c r="U146" s="2">
        <f>T146 * G146</f>
        <v>0</v>
      </c>
      <c r="V146" s="2">
        <f>I146 + K146 - S146</f>
        <v>0</v>
      </c>
      <c r="W146" s="2">
        <f>M146 - V146</f>
        <v>0</v>
      </c>
      <c r="X146" s="2">
        <f>IFERROR(W146 / M146 * 100, 0)</f>
        <v>0</v>
      </c>
    </row>
    <row r="147" spans="1:24">
      <c r="A147" t="s">
        <v>168</v>
      </c>
      <c r="B147" t="s">
        <v>512</v>
      </c>
      <c r="C147" t="s">
        <v>660</v>
      </c>
      <c r="D147" t="s">
        <v>1007</v>
      </c>
      <c r="E147" t="s">
        <v>1009</v>
      </c>
      <c r="F147" t="s">
        <v>1155</v>
      </c>
      <c r="G147">
        <v>10</v>
      </c>
      <c r="H147">
        <v>0</v>
      </c>
      <c r="I147">
        <v>0</v>
      </c>
      <c r="J147">
        <v>131.98</v>
      </c>
      <c r="K147">
        <v>1319.62</v>
      </c>
      <c r="L147">
        <v>12.19</v>
      </c>
      <c r="M147">
        <v>162.92</v>
      </c>
      <c r="N147">
        <v>0</v>
      </c>
      <c r="O147">
        <v>0</v>
      </c>
      <c r="P147" s="2">
        <f>(H147 + J147) - (L147 + N147)</f>
        <v>0</v>
      </c>
      <c r="Q147" s="2">
        <f>P147 * G147</f>
        <v>0</v>
      </c>
      <c r="R147">
        <v>0</v>
      </c>
      <c r="S147" s="2">
        <f>R147 * G147</f>
        <v>0</v>
      </c>
      <c r="T147" s="2">
        <f>(H147 + J147) - (L147 + N147) - R147</f>
        <v>0</v>
      </c>
      <c r="U147" s="2">
        <f>T147 * G147</f>
        <v>0</v>
      </c>
      <c r="V147" s="2">
        <f>I147 + K147 - S147</f>
        <v>0</v>
      </c>
      <c r="W147" s="2">
        <f>M147 - V147</f>
        <v>0</v>
      </c>
      <c r="X147" s="2">
        <f>IFERROR(W147 / M147 * 100, 0)</f>
        <v>0</v>
      </c>
    </row>
    <row r="148" spans="1:24">
      <c r="A148" t="s">
        <v>169</v>
      </c>
      <c r="B148" t="s">
        <v>512</v>
      </c>
      <c r="C148" t="s">
        <v>661</v>
      </c>
      <c r="D148" t="s">
        <v>1007</v>
      </c>
      <c r="E148" t="s">
        <v>1009</v>
      </c>
      <c r="F148" t="s">
        <v>1156</v>
      </c>
      <c r="G148">
        <v>6</v>
      </c>
      <c r="H148">
        <v>0</v>
      </c>
      <c r="I148">
        <v>0</v>
      </c>
      <c r="J148">
        <v>0</v>
      </c>
      <c r="K148">
        <v>0</v>
      </c>
      <c r="L148">
        <v>0.16</v>
      </c>
      <c r="M148">
        <v>1.25</v>
      </c>
      <c r="N148">
        <v>0</v>
      </c>
      <c r="O148">
        <v>0</v>
      </c>
      <c r="P148" s="2">
        <f>(H148 + J148) - (L148 + N148)</f>
        <v>0</v>
      </c>
      <c r="Q148" s="2">
        <f>P148 * G148</f>
        <v>0</v>
      </c>
      <c r="R148">
        <v>0</v>
      </c>
      <c r="S148" s="2">
        <f>R148 * G148</f>
        <v>0</v>
      </c>
      <c r="T148" s="2">
        <f>(H148 + J148) - (L148 + N148) - R148</f>
        <v>0</v>
      </c>
      <c r="U148" s="2">
        <f>T148 * G148</f>
        <v>0</v>
      </c>
      <c r="V148" s="2">
        <f>I148 + K148 - S148</f>
        <v>0</v>
      </c>
      <c r="W148" s="2">
        <f>M148 - V148</f>
        <v>0</v>
      </c>
      <c r="X148" s="2">
        <f>IFERROR(W148 / M148 * 100, 0)</f>
        <v>0</v>
      </c>
    </row>
    <row r="149" spans="1:24">
      <c r="A149" t="s">
        <v>170</v>
      </c>
      <c r="B149" t="s">
        <v>512</v>
      </c>
      <c r="C149" t="s">
        <v>662</v>
      </c>
      <c r="D149" t="s">
        <v>1007</v>
      </c>
      <c r="E149" t="s">
        <v>1009</v>
      </c>
      <c r="F149" t="s">
        <v>1157</v>
      </c>
      <c r="G149">
        <v>6.46</v>
      </c>
      <c r="H149">
        <v>137.7</v>
      </c>
      <c r="I149">
        <v>866.72</v>
      </c>
      <c r="J149">
        <v>1229.5</v>
      </c>
      <c r="K149">
        <v>9095.15</v>
      </c>
      <c r="L149">
        <v>1274.92</v>
      </c>
      <c r="M149">
        <v>12017.63</v>
      </c>
      <c r="N149">
        <v>29</v>
      </c>
      <c r="O149">
        <v>182.91</v>
      </c>
      <c r="P149" s="2">
        <f>(H149 + J149) - (L149 + N149)</f>
        <v>0</v>
      </c>
      <c r="Q149" s="2">
        <f>P149 * G149</f>
        <v>0</v>
      </c>
      <c r="R149">
        <v>48</v>
      </c>
      <c r="S149" s="2">
        <f>R149 * G149</f>
        <v>0</v>
      </c>
      <c r="T149" s="2">
        <f>(H149 + J149) - (L149 + N149) - R149</f>
        <v>0</v>
      </c>
      <c r="U149" s="2">
        <f>T149 * G149</f>
        <v>0</v>
      </c>
      <c r="V149" s="2">
        <f>I149 + K149 - S149</f>
        <v>0</v>
      </c>
      <c r="W149" s="2">
        <f>M149 - V149</f>
        <v>0</v>
      </c>
      <c r="X149" s="2">
        <f>IFERROR(W149 / M149 * 100, 0)</f>
        <v>0</v>
      </c>
    </row>
    <row r="150" spans="1:24">
      <c r="A150" t="s">
        <v>171</v>
      </c>
      <c r="B150" t="s">
        <v>512</v>
      </c>
      <c r="C150" t="s">
        <v>663</v>
      </c>
      <c r="D150" t="s">
        <v>1007</v>
      </c>
      <c r="E150" t="s">
        <v>1009</v>
      </c>
      <c r="F150" t="s">
        <v>1158</v>
      </c>
      <c r="G150">
        <v>4</v>
      </c>
      <c r="H150">
        <v>1</v>
      </c>
      <c r="I150">
        <v>3.99</v>
      </c>
      <c r="J150">
        <v>95</v>
      </c>
      <c r="K150">
        <v>376.5</v>
      </c>
      <c r="L150">
        <v>97.73999999999999</v>
      </c>
      <c r="M150">
        <v>537.54</v>
      </c>
      <c r="N150">
        <v>0</v>
      </c>
      <c r="O150">
        <v>0</v>
      </c>
      <c r="P150" s="2">
        <f>(H150 + J150) - (L150 + N150)</f>
        <v>0</v>
      </c>
      <c r="Q150" s="2">
        <f>P150 * G150</f>
        <v>0</v>
      </c>
      <c r="R150">
        <v>2.2</v>
      </c>
      <c r="S150" s="2">
        <f>R150 * G150</f>
        <v>0</v>
      </c>
      <c r="T150" s="2">
        <f>(H150 + J150) - (L150 + N150) - R150</f>
        <v>0</v>
      </c>
      <c r="U150" s="2">
        <f>T150 * G150</f>
        <v>0</v>
      </c>
      <c r="V150" s="2">
        <f>I150 + K150 - S150</f>
        <v>0</v>
      </c>
      <c r="W150" s="2">
        <f>M150 - V150</f>
        <v>0</v>
      </c>
      <c r="X150" s="2">
        <f>IFERROR(W150 / M150 * 100, 0)</f>
        <v>0</v>
      </c>
    </row>
    <row r="151" spans="1:24">
      <c r="A151" t="s">
        <v>172</v>
      </c>
      <c r="B151" t="s">
        <v>512</v>
      </c>
      <c r="C151" t="s">
        <v>664</v>
      </c>
      <c r="D151" t="s">
        <v>1007</v>
      </c>
      <c r="E151" t="s">
        <v>1009</v>
      </c>
      <c r="F151" t="s">
        <v>1159</v>
      </c>
      <c r="G151">
        <v>3.94</v>
      </c>
      <c r="H151">
        <v>1</v>
      </c>
      <c r="I151">
        <v>3.01</v>
      </c>
      <c r="J151">
        <v>6</v>
      </c>
      <c r="K151">
        <v>22</v>
      </c>
      <c r="L151">
        <v>6.82</v>
      </c>
      <c r="M151">
        <v>34.08</v>
      </c>
      <c r="N151">
        <v>0</v>
      </c>
      <c r="O151">
        <v>0</v>
      </c>
      <c r="P151" s="2">
        <f>(H151 + J151) - (L151 + N151)</f>
        <v>0</v>
      </c>
      <c r="Q151" s="2">
        <f>P151 * G151</f>
        <v>0</v>
      </c>
      <c r="R151">
        <v>0</v>
      </c>
      <c r="S151" s="2">
        <f>R151 * G151</f>
        <v>0</v>
      </c>
      <c r="T151" s="2">
        <f>(H151 + J151) - (L151 + N151) - R151</f>
        <v>0</v>
      </c>
      <c r="U151" s="2">
        <f>T151 * G151</f>
        <v>0</v>
      </c>
      <c r="V151" s="2">
        <f>I151 + K151 - S151</f>
        <v>0</v>
      </c>
      <c r="W151" s="2">
        <f>M151 - V151</f>
        <v>0</v>
      </c>
      <c r="X151" s="2">
        <f>IFERROR(W151 / M151 * 100, 0)</f>
        <v>0</v>
      </c>
    </row>
    <row r="152" spans="1:24">
      <c r="A152" t="s">
        <v>173</v>
      </c>
      <c r="B152" t="s">
        <v>512</v>
      </c>
      <c r="C152" t="s">
        <v>665</v>
      </c>
      <c r="D152" t="s">
        <v>1007</v>
      </c>
      <c r="E152" t="s">
        <v>1009</v>
      </c>
      <c r="F152" t="s">
        <v>1160</v>
      </c>
      <c r="G152">
        <v>2.76</v>
      </c>
      <c r="H152">
        <v>0</v>
      </c>
      <c r="I152">
        <v>0</v>
      </c>
      <c r="J152">
        <v>0</v>
      </c>
      <c r="K152">
        <v>0</v>
      </c>
      <c r="L152">
        <v>0.1</v>
      </c>
      <c r="M152">
        <v>0.35</v>
      </c>
      <c r="N152">
        <v>0</v>
      </c>
      <c r="O152">
        <v>0</v>
      </c>
      <c r="P152" s="2">
        <f>(H152 + J152) - (L152 + N152)</f>
        <v>0</v>
      </c>
      <c r="Q152" s="2">
        <f>P152 * G152</f>
        <v>0</v>
      </c>
      <c r="R152">
        <v>0</v>
      </c>
      <c r="S152" s="2">
        <f>R152 * G152</f>
        <v>0</v>
      </c>
      <c r="T152" s="2">
        <f>(H152 + J152) - (L152 + N152) - R152</f>
        <v>0</v>
      </c>
      <c r="U152" s="2">
        <f>T152 * G152</f>
        <v>0</v>
      </c>
      <c r="V152" s="2">
        <f>I152 + K152 - S152</f>
        <v>0</v>
      </c>
      <c r="W152" s="2">
        <f>M152 - V152</f>
        <v>0</v>
      </c>
      <c r="X152" s="2">
        <f>IFERROR(W152 / M152 * 100, 0)</f>
        <v>0</v>
      </c>
    </row>
    <row r="153" spans="1:24">
      <c r="A153" t="s">
        <v>174</v>
      </c>
      <c r="B153" t="s">
        <v>512</v>
      </c>
      <c r="C153" t="s">
        <v>666</v>
      </c>
      <c r="D153" t="s">
        <v>1007</v>
      </c>
      <c r="E153" t="s">
        <v>1009</v>
      </c>
      <c r="F153" t="s">
        <v>1161</v>
      </c>
      <c r="G153">
        <v>5.5</v>
      </c>
      <c r="H153">
        <v>0</v>
      </c>
      <c r="I153">
        <v>0</v>
      </c>
      <c r="J153">
        <v>0</v>
      </c>
      <c r="K153">
        <v>0</v>
      </c>
      <c r="L153">
        <v>16.82</v>
      </c>
      <c r="M153">
        <v>168.19</v>
      </c>
      <c r="N153">
        <v>0</v>
      </c>
      <c r="O153">
        <v>0</v>
      </c>
      <c r="P153" s="2">
        <f>(H153 + J153) - (L153 + N153)</f>
        <v>0</v>
      </c>
      <c r="Q153" s="2">
        <f>P153 * G153</f>
        <v>0</v>
      </c>
      <c r="R153">
        <v>0</v>
      </c>
      <c r="S153" s="2">
        <f>R153 * G153</f>
        <v>0</v>
      </c>
      <c r="T153" s="2">
        <f>(H153 + J153) - (L153 + N153) - R153</f>
        <v>0</v>
      </c>
      <c r="U153" s="2">
        <f>T153 * G153</f>
        <v>0</v>
      </c>
      <c r="V153" s="2">
        <f>I153 + K153 - S153</f>
        <v>0</v>
      </c>
      <c r="W153" s="2">
        <f>M153 - V153</f>
        <v>0</v>
      </c>
      <c r="X153" s="2">
        <f>IFERROR(W153 / M153 * 100, 0)</f>
        <v>0</v>
      </c>
    </row>
    <row r="154" spans="1:24">
      <c r="A154" t="s">
        <v>175</v>
      </c>
      <c r="B154" t="s">
        <v>512</v>
      </c>
      <c r="C154" t="s">
        <v>667</v>
      </c>
      <c r="D154" t="s">
        <v>1007</v>
      </c>
      <c r="E154" t="s">
        <v>1009</v>
      </c>
      <c r="F154" t="s">
        <v>1162</v>
      </c>
      <c r="G154">
        <v>2.25</v>
      </c>
      <c r="H154">
        <v>271.6</v>
      </c>
      <c r="I154">
        <v>611.1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s="2">
        <f>(H154 + J154) - (L154 + N154)</f>
        <v>0</v>
      </c>
      <c r="Q154" s="2">
        <f>P154 * G154</f>
        <v>0</v>
      </c>
      <c r="R154">
        <v>0</v>
      </c>
      <c r="S154" s="2">
        <f>R154 * G154</f>
        <v>0</v>
      </c>
      <c r="T154" s="2">
        <f>(H154 + J154) - (L154 + N154) - R154</f>
        <v>0</v>
      </c>
      <c r="U154" s="2">
        <f>T154 * G154</f>
        <v>0</v>
      </c>
      <c r="V154" s="2">
        <f>I154 + K154 - S154</f>
        <v>0</v>
      </c>
      <c r="W154" s="2">
        <f>M154 - V154</f>
        <v>0</v>
      </c>
      <c r="X154" s="2">
        <f>IFERROR(W154 / M154 * 100, 0)</f>
        <v>0</v>
      </c>
    </row>
    <row r="155" spans="1:24">
      <c r="A155" t="s">
        <v>176</v>
      </c>
      <c r="B155" t="s">
        <v>512</v>
      </c>
      <c r="C155" t="s">
        <v>668</v>
      </c>
      <c r="D155" t="s">
        <v>1007</v>
      </c>
      <c r="E155" t="s">
        <v>1009</v>
      </c>
      <c r="F155" t="s">
        <v>1163</v>
      </c>
      <c r="G155">
        <v>7.38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14</v>
      </c>
      <c r="N155">
        <v>0</v>
      </c>
      <c r="O155">
        <v>0</v>
      </c>
      <c r="P155" s="2">
        <f>(H155 + J155) - (L155 + N155)</f>
        <v>0</v>
      </c>
      <c r="Q155" s="2">
        <f>P155 * G155</f>
        <v>0</v>
      </c>
      <c r="R155">
        <v>0</v>
      </c>
      <c r="S155" s="2">
        <f>R155 * G155</f>
        <v>0</v>
      </c>
      <c r="T155" s="2">
        <f>(H155 + J155) - (L155 + N155) - R155</f>
        <v>0</v>
      </c>
      <c r="U155" s="2">
        <f>T155 * G155</f>
        <v>0</v>
      </c>
      <c r="V155" s="2">
        <f>I155 + K155 - S155</f>
        <v>0</v>
      </c>
      <c r="W155" s="2">
        <f>M155 - V155</f>
        <v>0</v>
      </c>
      <c r="X155" s="2">
        <f>IFERROR(W155 / M155 * 100, 0)</f>
        <v>0</v>
      </c>
    </row>
    <row r="156" spans="1:24">
      <c r="A156" t="s">
        <v>177</v>
      </c>
      <c r="B156" t="s">
        <v>512</v>
      </c>
      <c r="C156" t="s">
        <v>669</v>
      </c>
      <c r="D156" t="s">
        <v>1007</v>
      </c>
      <c r="E156" t="s">
        <v>1009</v>
      </c>
      <c r="F156" t="s">
        <v>1164</v>
      </c>
      <c r="G156">
        <v>8.5</v>
      </c>
      <c r="H156">
        <v>0</v>
      </c>
      <c r="I156">
        <v>0</v>
      </c>
      <c r="J156">
        <v>14.68</v>
      </c>
      <c r="K156">
        <v>124.78</v>
      </c>
      <c r="L156">
        <v>6.44</v>
      </c>
      <c r="M156">
        <v>60.33</v>
      </c>
      <c r="N156">
        <v>0</v>
      </c>
      <c r="O156">
        <v>0</v>
      </c>
      <c r="P156" s="2">
        <f>(H156 + J156) - (L156 + N156)</f>
        <v>0</v>
      </c>
      <c r="Q156" s="2">
        <f>P156 * G156</f>
        <v>0</v>
      </c>
      <c r="R156">
        <v>11.8</v>
      </c>
      <c r="S156" s="2">
        <f>R156 * G156</f>
        <v>0</v>
      </c>
      <c r="T156" s="2">
        <f>(H156 + J156) - (L156 + N156) - R156</f>
        <v>0</v>
      </c>
      <c r="U156" s="2">
        <f>T156 * G156</f>
        <v>0</v>
      </c>
      <c r="V156" s="2">
        <f>I156 + K156 - S156</f>
        <v>0</v>
      </c>
      <c r="W156" s="2">
        <f>M156 - V156</f>
        <v>0</v>
      </c>
      <c r="X156" s="2">
        <f>IFERROR(W156 / M156 * 100, 0)</f>
        <v>0</v>
      </c>
    </row>
    <row r="157" spans="1:24">
      <c r="A157" t="s">
        <v>178</v>
      </c>
      <c r="B157" t="s">
        <v>512</v>
      </c>
      <c r="C157" t="s">
        <v>670</v>
      </c>
      <c r="D157" t="s">
        <v>1007</v>
      </c>
      <c r="E157" t="s">
        <v>1009</v>
      </c>
      <c r="F157" t="s">
        <v>1165</v>
      </c>
      <c r="G157">
        <v>20</v>
      </c>
      <c r="H157">
        <v>0</v>
      </c>
      <c r="I157">
        <v>0</v>
      </c>
      <c r="J157">
        <v>0</v>
      </c>
      <c r="K157">
        <v>0</v>
      </c>
      <c r="L157">
        <v>1.06</v>
      </c>
      <c r="M157">
        <v>26.4</v>
      </c>
      <c r="N157">
        <v>0</v>
      </c>
      <c r="O157">
        <v>0</v>
      </c>
      <c r="P157" s="2">
        <f>(H157 + J157) - (L157 + N157)</f>
        <v>0</v>
      </c>
      <c r="Q157" s="2">
        <f>P157 * G157</f>
        <v>0</v>
      </c>
      <c r="R157">
        <v>0</v>
      </c>
      <c r="S157" s="2">
        <f>R157 * G157</f>
        <v>0</v>
      </c>
      <c r="T157" s="2">
        <f>(H157 + J157) - (L157 + N157) - R157</f>
        <v>0</v>
      </c>
      <c r="U157" s="2">
        <f>T157 * G157</f>
        <v>0</v>
      </c>
      <c r="V157" s="2">
        <f>I157 + K157 - S157</f>
        <v>0</v>
      </c>
      <c r="W157" s="2">
        <f>M157 - V157</f>
        <v>0</v>
      </c>
      <c r="X157" s="2">
        <f>IFERROR(W157 / M157 * 100, 0)</f>
        <v>0</v>
      </c>
    </row>
    <row r="158" spans="1:24">
      <c r="A158" t="s">
        <v>179</v>
      </c>
      <c r="B158" t="s">
        <v>512</v>
      </c>
      <c r="C158" t="s">
        <v>671</v>
      </c>
      <c r="D158" t="s">
        <v>1008</v>
      </c>
      <c r="E158" t="s">
        <v>1009</v>
      </c>
      <c r="F158" t="s">
        <v>1166</v>
      </c>
      <c r="G158">
        <v>5</v>
      </c>
      <c r="H158">
        <v>0</v>
      </c>
      <c r="I158">
        <v>0</v>
      </c>
      <c r="J158">
        <v>192</v>
      </c>
      <c r="K158">
        <v>960</v>
      </c>
      <c r="L158">
        <v>87</v>
      </c>
      <c r="M158">
        <v>565.5</v>
      </c>
      <c r="N158">
        <v>0</v>
      </c>
      <c r="O158">
        <v>0</v>
      </c>
      <c r="P158" s="2">
        <f>(H158 + J158) - (L158 + N158)</f>
        <v>0</v>
      </c>
      <c r="Q158" s="2">
        <f>P158 * G158</f>
        <v>0</v>
      </c>
      <c r="R158">
        <v>107</v>
      </c>
      <c r="S158" s="2">
        <f>R158 * G158</f>
        <v>0</v>
      </c>
      <c r="T158" s="2">
        <f>(H158 + J158) - (L158 + N158) - R158</f>
        <v>0</v>
      </c>
      <c r="U158" s="2">
        <f>T158 * G158</f>
        <v>0</v>
      </c>
      <c r="V158" s="2">
        <f>I158 + K158 - S158</f>
        <v>0</v>
      </c>
      <c r="W158" s="2">
        <f>M158 - V158</f>
        <v>0</v>
      </c>
      <c r="X158" s="2">
        <f>IFERROR(W158 / M158 * 100, 0)</f>
        <v>0</v>
      </c>
    </row>
    <row r="159" spans="1:24">
      <c r="A159" t="s">
        <v>180</v>
      </c>
      <c r="B159" t="s">
        <v>512</v>
      </c>
      <c r="C159" t="s">
        <v>672</v>
      </c>
      <c r="D159" t="s">
        <v>1008</v>
      </c>
      <c r="E159" t="s">
        <v>1009</v>
      </c>
      <c r="F159" t="s">
        <v>1167</v>
      </c>
      <c r="G159">
        <v>4</v>
      </c>
      <c r="H159">
        <v>0</v>
      </c>
      <c r="I159">
        <v>0</v>
      </c>
      <c r="J159">
        <v>216</v>
      </c>
      <c r="K159">
        <v>864</v>
      </c>
      <c r="L159">
        <v>132</v>
      </c>
      <c r="M159">
        <v>660</v>
      </c>
      <c r="N159">
        <v>0</v>
      </c>
      <c r="O159">
        <v>0</v>
      </c>
      <c r="P159" s="2">
        <f>(H159 + J159) - (L159 + N159)</f>
        <v>0</v>
      </c>
      <c r="Q159" s="2">
        <f>P159 * G159</f>
        <v>0</v>
      </c>
      <c r="R159">
        <v>0</v>
      </c>
      <c r="S159" s="2">
        <f>R159 * G159</f>
        <v>0</v>
      </c>
      <c r="T159" s="2">
        <f>(H159 + J159) - (L159 + N159) - R159</f>
        <v>0</v>
      </c>
      <c r="U159" s="2">
        <f>T159 * G159</f>
        <v>0</v>
      </c>
      <c r="V159" s="2">
        <f>I159 + K159 - S159</f>
        <v>0</v>
      </c>
      <c r="W159" s="2">
        <f>M159 - V159</f>
        <v>0</v>
      </c>
      <c r="X159" s="2">
        <f>IFERROR(W159 / M159 * 100, 0)</f>
        <v>0</v>
      </c>
    </row>
    <row r="160" spans="1:24">
      <c r="A160" t="s">
        <v>181</v>
      </c>
      <c r="B160" t="s">
        <v>512</v>
      </c>
      <c r="C160" t="s">
        <v>673</v>
      </c>
      <c r="D160" t="s">
        <v>1008</v>
      </c>
      <c r="E160" t="s">
        <v>1009</v>
      </c>
      <c r="F160" t="s">
        <v>1168</v>
      </c>
      <c r="G160">
        <v>3.5</v>
      </c>
      <c r="H160">
        <v>0</v>
      </c>
      <c r="I160">
        <v>0</v>
      </c>
      <c r="J160">
        <v>160</v>
      </c>
      <c r="K160">
        <v>560</v>
      </c>
      <c r="L160">
        <v>44</v>
      </c>
      <c r="M160">
        <v>198</v>
      </c>
      <c r="N160">
        <v>0</v>
      </c>
      <c r="O160">
        <v>0</v>
      </c>
      <c r="P160" s="2">
        <f>(H160 + J160) - (L160 + N160)</f>
        <v>0</v>
      </c>
      <c r="Q160" s="2">
        <f>P160 * G160</f>
        <v>0</v>
      </c>
      <c r="R160">
        <v>116</v>
      </c>
      <c r="S160" s="2">
        <f>R160 * G160</f>
        <v>0</v>
      </c>
      <c r="T160" s="2">
        <f>(H160 + J160) - (L160 + N160) - R160</f>
        <v>0</v>
      </c>
      <c r="U160" s="2">
        <f>T160 * G160</f>
        <v>0</v>
      </c>
      <c r="V160" s="2">
        <f>I160 + K160 - S160</f>
        <v>0</v>
      </c>
      <c r="W160" s="2">
        <f>M160 - V160</f>
        <v>0</v>
      </c>
      <c r="X160" s="2">
        <f>IFERROR(W160 / M160 * 100, 0)</f>
        <v>0</v>
      </c>
    </row>
    <row r="161" spans="1:24">
      <c r="A161" t="s">
        <v>182</v>
      </c>
      <c r="B161" t="s">
        <v>512</v>
      </c>
      <c r="C161" t="s">
        <v>674</v>
      </c>
      <c r="D161" t="s">
        <v>1007</v>
      </c>
      <c r="E161" t="s">
        <v>1009</v>
      </c>
      <c r="F161" t="s">
        <v>1169</v>
      </c>
      <c r="G161">
        <v>9.1</v>
      </c>
      <c r="H161">
        <v>32.3</v>
      </c>
      <c r="I161">
        <v>274.55</v>
      </c>
      <c r="J161">
        <v>75</v>
      </c>
      <c r="K161">
        <v>682.5</v>
      </c>
      <c r="L161">
        <v>74.91</v>
      </c>
      <c r="M161">
        <v>1124.08</v>
      </c>
      <c r="N161">
        <v>25</v>
      </c>
      <c r="O161">
        <v>227.37</v>
      </c>
      <c r="P161" s="2">
        <f>(H161 + J161) - (L161 + N161)</f>
        <v>0</v>
      </c>
      <c r="Q161" s="2">
        <f>P161 * G161</f>
        <v>0</v>
      </c>
      <c r="R161">
        <v>0</v>
      </c>
      <c r="S161" s="2">
        <f>R161 * G161</f>
        <v>0</v>
      </c>
      <c r="T161" s="2">
        <f>(H161 + J161) - (L161 + N161) - R161</f>
        <v>0</v>
      </c>
      <c r="U161" s="2">
        <f>T161 * G161</f>
        <v>0</v>
      </c>
      <c r="V161" s="2">
        <f>I161 + K161 - S161</f>
        <v>0</v>
      </c>
      <c r="W161" s="2">
        <f>M161 - V161</f>
        <v>0</v>
      </c>
      <c r="X161" s="2">
        <f>IFERROR(W161 / M161 * 100, 0)</f>
        <v>0</v>
      </c>
    </row>
    <row r="162" spans="1:24">
      <c r="A162" t="s">
        <v>183</v>
      </c>
      <c r="B162" t="s">
        <v>512</v>
      </c>
      <c r="C162" t="s">
        <v>675</v>
      </c>
      <c r="D162" t="s">
        <v>1007</v>
      </c>
      <c r="E162" t="s">
        <v>1009</v>
      </c>
      <c r="F162" t="s">
        <v>1170</v>
      </c>
      <c r="G162">
        <v>9</v>
      </c>
      <c r="H162">
        <v>0</v>
      </c>
      <c r="I162">
        <v>0</v>
      </c>
      <c r="J162">
        <v>15.5</v>
      </c>
      <c r="K162">
        <v>139.5</v>
      </c>
      <c r="L162">
        <v>23.51</v>
      </c>
      <c r="M162">
        <v>235.12</v>
      </c>
      <c r="N162">
        <v>0</v>
      </c>
      <c r="O162">
        <v>0</v>
      </c>
      <c r="P162" s="2">
        <f>(H162 + J162) - (L162 + N162)</f>
        <v>0</v>
      </c>
      <c r="Q162" s="2">
        <f>P162 * G162</f>
        <v>0</v>
      </c>
      <c r="R162">
        <v>0</v>
      </c>
      <c r="S162" s="2">
        <f>R162 * G162</f>
        <v>0</v>
      </c>
      <c r="T162" s="2">
        <f>(H162 + J162) - (L162 + N162) - R162</f>
        <v>0</v>
      </c>
      <c r="U162" s="2">
        <f>T162 * G162</f>
        <v>0</v>
      </c>
      <c r="V162" s="2">
        <f>I162 + K162 - S162</f>
        <v>0</v>
      </c>
      <c r="W162" s="2">
        <f>M162 - V162</f>
        <v>0</v>
      </c>
      <c r="X162" s="2">
        <f>IFERROR(W162 / M162 * 100, 0)</f>
        <v>0</v>
      </c>
    </row>
    <row r="163" spans="1:24">
      <c r="A163" t="s">
        <v>184</v>
      </c>
      <c r="B163" t="s">
        <v>512</v>
      </c>
      <c r="C163" t="s">
        <v>676</v>
      </c>
      <c r="D163" t="s">
        <v>1007</v>
      </c>
      <c r="E163" t="s">
        <v>1009</v>
      </c>
      <c r="F163" t="s">
        <v>1171</v>
      </c>
      <c r="G163">
        <v>2.5</v>
      </c>
      <c r="H163">
        <v>581.3</v>
      </c>
      <c r="I163">
        <v>1273.26</v>
      </c>
      <c r="J163">
        <v>6950.95</v>
      </c>
      <c r="K163">
        <v>18083.75</v>
      </c>
      <c r="L163">
        <v>7862.51</v>
      </c>
      <c r="M163">
        <v>31282.97</v>
      </c>
      <c r="N163">
        <v>19</v>
      </c>
      <c r="O163">
        <v>50.06</v>
      </c>
      <c r="P163" s="2">
        <f>(H163 + J163) - (L163 + N163)</f>
        <v>0</v>
      </c>
      <c r="Q163" s="2">
        <f>P163 * G163</f>
        <v>0</v>
      </c>
      <c r="R163">
        <v>655.4</v>
      </c>
      <c r="S163" s="2">
        <f>R163 * G163</f>
        <v>0</v>
      </c>
      <c r="T163" s="2">
        <f>(H163 + J163) - (L163 + N163) - R163</f>
        <v>0</v>
      </c>
      <c r="U163" s="2">
        <f>T163 * G163</f>
        <v>0</v>
      </c>
      <c r="V163" s="2">
        <f>I163 + K163 - S163</f>
        <v>0</v>
      </c>
      <c r="W163" s="2">
        <f>M163 - V163</f>
        <v>0</v>
      </c>
      <c r="X163" s="2">
        <f>IFERROR(W163 / M163 * 100, 0)</f>
        <v>0</v>
      </c>
    </row>
    <row r="164" spans="1:24">
      <c r="A164" t="s">
        <v>185</v>
      </c>
      <c r="B164" t="s">
        <v>512</v>
      </c>
      <c r="C164" t="s">
        <v>677</v>
      </c>
      <c r="D164" t="s">
        <v>1007</v>
      </c>
      <c r="E164" t="s">
        <v>1009</v>
      </c>
      <c r="F164" t="s">
        <v>1172</v>
      </c>
      <c r="G164">
        <v>4.88</v>
      </c>
      <c r="H164">
        <v>0</v>
      </c>
      <c r="I164">
        <v>0</v>
      </c>
      <c r="J164">
        <v>5678.4</v>
      </c>
      <c r="K164">
        <v>27515.37</v>
      </c>
      <c r="L164">
        <v>4889.73</v>
      </c>
      <c r="M164">
        <v>24448.64</v>
      </c>
      <c r="N164">
        <v>30</v>
      </c>
      <c r="O164">
        <v>145.62</v>
      </c>
      <c r="P164" s="2">
        <f>(H164 + J164) - (L164 + N164)</f>
        <v>0</v>
      </c>
      <c r="Q164" s="2">
        <f>P164 * G164</f>
        <v>0</v>
      </c>
      <c r="R164">
        <v>555</v>
      </c>
      <c r="S164" s="2">
        <f>R164 * G164</f>
        <v>0</v>
      </c>
      <c r="T164" s="2">
        <f>(H164 + J164) - (L164 + N164) - R164</f>
        <v>0</v>
      </c>
      <c r="U164" s="2">
        <f>T164 * G164</f>
        <v>0</v>
      </c>
      <c r="V164" s="2">
        <f>I164 + K164 - S164</f>
        <v>0</v>
      </c>
      <c r="W164" s="2">
        <f>M164 - V164</f>
        <v>0</v>
      </c>
      <c r="X164" s="2">
        <f>IFERROR(W164 / M164 * 100, 0)</f>
        <v>0</v>
      </c>
    </row>
    <row r="165" spans="1:24">
      <c r="A165" t="s">
        <v>185</v>
      </c>
      <c r="B165" t="s">
        <v>513</v>
      </c>
      <c r="C165" t="s">
        <v>678</v>
      </c>
      <c r="D165" t="s">
        <v>1007</v>
      </c>
      <c r="E165" t="s">
        <v>1009</v>
      </c>
      <c r="F165" t="s">
        <v>1173</v>
      </c>
      <c r="G165">
        <v>4.88</v>
      </c>
      <c r="H165">
        <v>658.4</v>
      </c>
      <c r="I165">
        <v>3209.7</v>
      </c>
      <c r="J165">
        <v>-0.59</v>
      </c>
      <c r="K165">
        <v>-2.88</v>
      </c>
      <c r="L165">
        <v>1243.48</v>
      </c>
      <c r="M165">
        <v>11996.6</v>
      </c>
      <c r="N165">
        <v>0</v>
      </c>
      <c r="O165">
        <v>0</v>
      </c>
      <c r="P165" s="2">
        <f>(H165 + J165) - (L165 + N165)</f>
        <v>0</v>
      </c>
      <c r="Q165" s="2">
        <f>P165 * G165</f>
        <v>0</v>
      </c>
      <c r="R165">
        <v>0</v>
      </c>
      <c r="S165" s="2">
        <f>R165 * G165</f>
        <v>0</v>
      </c>
      <c r="T165" s="2">
        <f>(H165 + J165) - (L165 + N165) - R165</f>
        <v>0</v>
      </c>
      <c r="U165" s="2">
        <f>T165 * G165</f>
        <v>0</v>
      </c>
      <c r="V165" s="2">
        <f>I165 + K165 - S165</f>
        <v>0</v>
      </c>
      <c r="W165" s="2">
        <f>M165 - V165</f>
        <v>0</v>
      </c>
      <c r="X165" s="2">
        <f>IFERROR(W165 / M165 * 100, 0)</f>
        <v>0</v>
      </c>
    </row>
    <row r="166" spans="1:24">
      <c r="A166" t="s">
        <v>186</v>
      </c>
      <c r="B166" t="s">
        <v>512</v>
      </c>
      <c r="C166" t="s">
        <v>679</v>
      </c>
      <c r="D166" t="s">
        <v>1007</v>
      </c>
      <c r="E166" t="s">
        <v>1009</v>
      </c>
      <c r="F166" t="s">
        <v>1174</v>
      </c>
      <c r="G166">
        <v>11.16</v>
      </c>
      <c r="H166">
        <v>0</v>
      </c>
      <c r="I166">
        <v>0</v>
      </c>
      <c r="J166">
        <v>0</v>
      </c>
      <c r="K166">
        <v>0</v>
      </c>
      <c r="L166">
        <v>0.27</v>
      </c>
      <c r="M166">
        <v>4.26</v>
      </c>
      <c r="N166">
        <v>0</v>
      </c>
      <c r="O166">
        <v>0</v>
      </c>
      <c r="P166" s="2">
        <f>(H166 + J166) - (L166 + N166)</f>
        <v>0</v>
      </c>
      <c r="Q166" s="2">
        <f>P166 * G166</f>
        <v>0</v>
      </c>
      <c r="R166">
        <v>0</v>
      </c>
      <c r="S166" s="2">
        <f>R166 * G166</f>
        <v>0</v>
      </c>
      <c r="T166" s="2">
        <f>(H166 + J166) - (L166 + N166) - R166</f>
        <v>0</v>
      </c>
      <c r="U166" s="2">
        <f>T166 * G166</f>
        <v>0</v>
      </c>
      <c r="V166" s="2">
        <f>I166 + K166 - S166</f>
        <v>0</v>
      </c>
      <c r="W166" s="2">
        <f>M166 - V166</f>
        <v>0</v>
      </c>
      <c r="X166" s="2">
        <f>IFERROR(W166 / M166 * 100, 0)</f>
        <v>0</v>
      </c>
    </row>
    <row r="167" spans="1:24">
      <c r="A167" t="s">
        <v>187</v>
      </c>
      <c r="B167" t="s">
        <v>512</v>
      </c>
      <c r="C167" t="s">
        <v>680</v>
      </c>
      <c r="D167" t="s">
        <v>1007</v>
      </c>
      <c r="E167" t="s">
        <v>1009</v>
      </c>
      <c r="F167" t="s">
        <v>1175</v>
      </c>
      <c r="G167">
        <v>3.97</v>
      </c>
      <c r="H167">
        <v>0</v>
      </c>
      <c r="I167">
        <v>0</v>
      </c>
      <c r="J167">
        <v>0</v>
      </c>
      <c r="K167">
        <v>0</v>
      </c>
      <c r="L167">
        <v>1.49</v>
      </c>
      <c r="M167">
        <v>5.95</v>
      </c>
      <c r="N167">
        <v>0</v>
      </c>
      <c r="O167">
        <v>0</v>
      </c>
      <c r="P167" s="2">
        <f>(H167 + J167) - (L167 + N167)</f>
        <v>0</v>
      </c>
      <c r="Q167" s="2">
        <f>P167 * G167</f>
        <v>0</v>
      </c>
      <c r="R167">
        <v>0</v>
      </c>
      <c r="S167" s="2">
        <f>R167 * G167</f>
        <v>0</v>
      </c>
      <c r="T167" s="2">
        <f>(H167 + J167) - (L167 + N167) - R167</f>
        <v>0</v>
      </c>
      <c r="U167" s="2">
        <f>T167 * G167</f>
        <v>0</v>
      </c>
      <c r="V167" s="2">
        <f>I167 + K167 - S167</f>
        <v>0</v>
      </c>
      <c r="W167" s="2">
        <f>M167 - V167</f>
        <v>0</v>
      </c>
      <c r="X167" s="2">
        <f>IFERROR(W167 / M167 * 100, 0)</f>
        <v>0</v>
      </c>
    </row>
    <row r="168" spans="1:24">
      <c r="A168" t="s">
        <v>188</v>
      </c>
      <c r="B168" t="s">
        <v>512</v>
      </c>
      <c r="C168" t="s">
        <v>681</v>
      </c>
      <c r="D168" t="s">
        <v>1007</v>
      </c>
      <c r="E168" t="s">
        <v>1009</v>
      </c>
      <c r="F168" t="s">
        <v>1176</v>
      </c>
      <c r="G168">
        <v>8.16</v>
      </c>
      <c r="H168">
        <v>0</v>
      </c>
      <c r="I168">
        <v>0</v>
      </c>
      <c r="J168">
        <v>462.5</v>
      </c>
      <c r="K168">
        <v>3520.88</v>
      </c>
      <c r="L168">
        <v>382.91</v>
      </c>
      <c r="M168">
        <v>4118.98</v>
      </c>
      <c r="N168">
        <v>39</v>
      </c>
      <c r="O168">
        <v>296.32</v>
      </c>
      <c r="P168" s="2">
        <f>(H168 + J168) - (L168 + N168)</f>
        <v>0</v>
      </c>
      <c r="Q168" s="2">
        <f>P168 * G168</f>
        <v>0</v>
      </c>
      <c r="R168">
        <v>8.199999999999999</v>
      </c>
      <c r="S168" s="2">
        <f>R168 * G168</f>
        <v>0</v>
      </c>
      <c r="T168" s="2">
        <f>(H168 + J168) - (L168 + N168) - R168</f>
        <v>0</v>
      </c>
      <c r="U168" s="2">
        <f>T168 * G168</f>
        <v>0</v>
      </c>
      <c r="V168" s="2">
        <f>I168 + K168 - S168</f>
        <v>0</v>
      </c>
      <c r="W168" s="2">
        <f>M168 - V168</f>
        <v>0</v>
      </c>
      <c r="X168" s="2">
        <f>IFERROR(W168 / M168 * 100, 0)</f>
        <v>0</v>
      </c>
    </row>
    <row r="169" spans="1:24">
      <c r="A169" t="s">
        <v>189</v>
      </c>
      <c r="B169" t="s">
        <v>512</v>
      </c>
      <c r="C169" t="s">
        <v>682</v>
      </c>
      <c r="D169" t="s">
        <v>1007</v>
      </c>
      <c r="E169" t="s">
        <v>1009</v>
      </c>
      <c r="F169" t="s">
        <v>1177</v>
      </c>
      <c r="G169">
        <v>12.49</v>
      </c>
      <c r="H169">
        <v>59.2</v>
      </c>
      <c r="I169">
        <v>626.59</v>
      </c>
      <c r="J169">
        <v>278.8</v>
      </c>
      <c r="K169">
        <v>3419.35</v>
      </c>
      <c r="L169">
        <v>253.26</v>
      </c>
      <c r="M169">
        <v>3925.76</v>
      </c>
      <c r="N169">
        <v>42.63</v>
      </c>
      <c r="O169">
        <v>540.9400000000001</v>
      </c>
      <c r="P169" s="2">
        <f>(H169 + J169) - (L169 + N169)</f>
        <v>0</v>
      </c>
      <c r="Q169" s="2">
        <f>P169 * G169</f>
        <v>0</v>
      </c>
      <c r="R169">
        <v>39</v>
      </c>
      <c r="S169" s="2">
        <f>R169 * G169</f>
        <v>0</v>
      </c>
      <c r="T169" s="2">
        <f>(H169 + J169) - (L169 + N169) - R169</f>
        <v>0</v>
      </c>
      <c r="U169" s="2">
        <f>T169 * G169</f>
        <v>0</v>
      </c>
      <c r="V169" s="2">
        <f>I169 + K169 - S169</f>
        <v>0</v>
      </c>
      <c r="W169" s="2">
        <f>M169 - V169</f>
        <v>0</v>
      </c>
      <c r="X169" s="2">
        <f>IFERROR(W169 / M169 * 100, 0)</f>
        <v>0</v>
      </c>
    </row>
    <row r="170" spans="1:24">
      <c r="A170" t="s">
        <v>190</v>
      </c>
      <c r="B170" t="s">
        <v>512</v>
      </c>
      <c r="C170" t="s">
        <v>683</v>
      </c>
      <c r="D170" t="s">
        <v>1007</v>
      </c>
      <c r="E170" t="s">
        <v>1009</v>
      </c>
      <c r="F170" t="s">
        <v>1178</v>
      </c>
      <c r="G170">
        <v>13</v>
      </c>
      <c r="H170">
        <v>0</v>
      </c>
      <c r="I170">
        <v>0</v>
      </c>
      <c r="J170">
        <v>0</v>
      </c>
      <c r="K170">
        <v>0</v>
      </c>
      <c r="L170">
        <v>0.99</v>
      </c>
      <c r="M170">
        <v>13.91</v>
      </c>
      <c r="N170">
        <v>0</v>
      </c>
      <c r="O170">
        <v>0</v>
      </c>
      <c r="P170" s="2">
        <f>(H170 + J170) - (L170 + N170)</f>
        <v>0</v>
      </c>
      <c r="Q170" s="2">
        <f>P170 * G170</f>
        <v>0</v>
      </c>
      <c r="R170">
        <v>0</v>
      </c>
      <c r="S170" s="2">
        <f>R170 * G170</f>
        <v>0</v>
      </c>
      <c r="T170" s="2">
        <f>(H170 + J170) - (L170 + N170) - R170</f>
        <v>0</v>
      </c>
      <c r="U170" s="2">
        <f>T170 * G170</f>
        <v>0</v>
      </c>
      <c r="V170" s="2">
        <f>I170 + K170 - S170</f>
        <v>0</v>
      </c>
      <c r="W170" s="2">
        <f>M170 - V170</f>
        <v>0</v>
      </c>
      <c r="X170" s="2">
        <f>IFERROR(W170 / M170 * 100, 0)</f>
        <v>0</v>
      </c>
    </row>
    <row r="171" spans="1:24">
      <c r="A171" t="s">
        <v>191</v>
      </c>
      <c r="B171" t="s">
        <v>512</v>
      </c>
      <c r="C171" t="s">
        <v>684</v>
      </c>
      <c r="D171" t="s">
        <v>1007</v>
      </c>
      <c r="E171" t="s">
        <v>1009</v>
      </c>
      <c r="F171" t="s">
        <v>1179</v>
      </c>
      <c r="G171">
        <v>2.35</v>
      </c>
      <c r="H171">
        <v>916.4</v>
      </c>
      <c r="I171">
        <v>2689.07</v>
      </c>
      <c r="J171">
        <v>19509.73</v>
      </c>
      <c r="K171">
        <v>50060.29</v>
      </c>
      <c r="L171">
        <v>20083.47</v>
      </c>
      <c r="M171">
        <v>71023.07000000001</v>
      </c>
      <c r="N171">
        <v>6</v>
      </c>
      <c r="O171">
        <v>14.93</v>
      </c>
      <c r="P171" s="2">
        <f>(H171 + J171) - (L171 + N171)</f>
        <v>0</v>
      </c>
      <c r="Q171" s="2">
        <f>P171 * G171</f>
        <v>0</v>
      </c>
      <c r="R171">
        <v>320.4</v>
      </c>
      <c r="S171" s="2">
        <f>R171 * G171</f>
        <v>0</v>
      </c>
      <c r="T171" s="2">
        <f>(H171 + J171) - (L171 + N171) - R171</f>
        <v>0</v>
      </c>
      <c r="U171" s="2">
        <f>T171 * G171</f>
        <v>0</v>
      </c>
      <c r="V171" s="2">
        <f>I171 + K171 - S171</f>
        <v>0</v>
      </c>
      <c r="W171" s="2">
        <f>M171 - V171</f>
        <v>0</v>
      </c>
      <c r="X171" s="2">
        <f>IFERROR(W171 / M171 * 100, 0)</f>
        <v>0</v>
      </c>
    </row>
    <row r="172" spans="1:24">
      <c r="A172" t="s">
        <v>192</v>
      </c>
      <c r="B172" t="s">
        <v>512</v>
      </c>
      <c r="C172" t="s">
        <v>685</v>
      </c>
      <c r="D172" t="s">
        <v>1007</v>
      </c>
      <c r="E172" t="s">
        <v>1009</v>
      </c>
      <c r="F172" t="s">
        <v>1180</v>
      </c>
      <c r="G172">
        <v>8.289999999999999</v>
      </c>
      <c r="H172">
        <v>34</v>
      </c>
      <c r="I172">
        <v>299.78</v>
      </c>
      <c r="J172">
        <v>340.5</v>
      </c>
      <c r="K172">
        <v>2614.77</v>
      </c>
      <c r="L172">
        <v>201.99</v>
      </c>
      <c r="M172">
        <v>3130.97</v>
      </c>
      <c r="N172">
        <v>35</v>
      </c>
      <c r="O172">
        <v>277.22</v>
      </c>
      <c r="P172" s="2">
        <f>(H172 + J172) - (L172 + N172)</f>
        <v>0</v>
      </c>
      <c r="Q172" s="2">
        <f>P172 * G172</f>
        <v>0</v>
      </c>
      <c r="R172">
        <v>18.5</v>
      </c>
      <c r="S172" s="2">
        <f>R172 * G172</f>
        <v>0</v>
      </c>
      <c r="T172" s="2">
        <f>(H172 + J172) - (L172 + N172) - R172</f>
        <v>0</v>
      </c>
      <c r="U172" s="2">
        <f>T172 * G172</f>
        <v>0</v>
      </c>
      <c r="V172" s="2">
        <f>I172 + K172 - S172</f>
        <v>0</v>
      </c>
      <c r="W172" s="2">
        <f>M172 - V172</f>
        <v>0</v>
      </c>
      <c r="X172" s="2">
        <f>IFERROR(W172 / M172 * 100, 0)</f>
        <v>0</v>
      </c>
    </row>
    <row r="173" spans="1:24">
      <c r="A173" t="s">
        <v>193</v>
      </c>
      <c r="B173" t="s">
        <v>513</v>
      </c>
      <c r="C173" t="s">
        <v>686</v>
      </c>
      <c r="D173" t="s">
        <v>1007</v>
      </c>
      <c r="E173" t="s">
        <v>1009</v>
      </c>
      <c r="F173" t="s">
        <v>1181</v>
      </c>
      <c r="G173">
        <v>17</v>
      </c>
      <c r="H173">
        <v>0</v>
      </c>
      <c r="I173">
        <v>0</v>
      </c>
      <c r="J173">
        <v>0</v>
      </c>
      <c r="K173">
        <v>0</v>
      </c>
      <c r="L173">
        <v>0.46</v>
      </c>
      <c r="M173">
        <v>4.6</v>
      </c>
      <c r="N173">
        <v>0</v>
      </c>
      <c r="O173">
        <v>0</v>
      </c>
      <c r="P173" s="2">
        <f>(H173 + J173) - (L173 + N173)</f>
        <v>0</v>
      </c>
      <c r="Q173" s="2">
        <f>P173 * G173</f>
        <v>0</v>
      </c>
      <c r="R173">
        <v>0</v>
      </c>
      <c r="S173" s="2">
        <f>R173 * G173</f>
        <v>0</v>
      </c>
      <c r="T173" s="2">
        <f>(H173 + J173) - (L173 + N173) - R173</f>
        <v>0</v>
      </c>
      <c r="U173" s="2">
        <f>T173 * G173</f>
        <v>0</v>
      </c>
      <c r="V173" s="2">
        <f>I173 + K173 - S173</f>
        <v>0</v>
      </c>
      <c r="W173" s="2">
        <f>M173 - V173</f>
        <v>0</v>
      </c>
      <c r="X173" s="2">
        <f>IFERROR(W173 / M173 * 100, 0)</f>
        <v>0</v>
      </c>
    </row>
    <row r="174" spans="1:24">
      <c r="A174" t="s">
        <v>194</v>
      </c>
      <c r="B174" t="s">
        <v>512</v>
      </c>
      <c r="C174" t="s">
        <v>687</v>
      </c>
      <c r="D174" t="s">
        <v>1007</v>
      </c>
      <c r="E174" t="s">
        <v>1009</v>
      </c>
      <c r="F174" t="s">
        <v>1182</v>
      </c>
      <c r="G174">
        <v>5.75</v>
      </c>
      <c r="H174">
        <v>0</v>
      </c>
      <c r="I174">
        <v>0</v>
      </c>
      <c r="J174">
        <v>0</v>
      </c>
      <c r="K174">
        <v>0</v>
      </c>
      <c r="L174">
        <v>4.13</v>
      </c>
      <c r="M174">
        <v>23.75</v>
      </c>
      <c r="N174">
        <v>0</v>
      </c>
      <c r="O174">
        <v>0</v>
      </c>
      <c r="P174" s="2">
        <f>(H174 + J174) - (L174 + N174)</f>
        <v>0</v>
      </c>
      <c r="Q174" s="2">
        <f>P174 * G174</f>
        <v>0</v>
      </c>
      <c r="R174">
        <v>0</v>
      </c>
      <c r="S174" s="2">
        <f>R174 * G174</f>
        <v>0</v>
      </c>
      <c r="T174" s="2">
        <f>(H174 + J174) - (L174 + N174) - R174</f>
        <v>0</v>
      </c>
      <c r="U174" s="2">
        <f>T174 * G174</f>
        <v>0</v>
      </c>
      <c r="V174" s="2">
        <f>I174 + K174 - S174</f>
        <v>0</v>
      </c>
      <c r="W174" s="2">
        <f>M174 - V174</f>
        <v>0</v>
      </c>
      <c r="X174" s="2">
        <f>IFERROR(W174 / M174 * 100, 0)</f>
        <v>0</v>
      </c>
    </row>
    <row r="175" spans="1:24">
      <c r="A175" t="s">
        <v>195</v>
      </c>
      <c r="B175" t="s">
        <v>512</v>
      </c>
      <c r="C175" t="s">
        <v>688</v>
      </c>
      <c r="D175" t="s">
        <v>1007</v>
      </c>
      <c r="E175" t="s">
        <v>1009</v>
      </c>
      <c r="F175" t="s">
        <v>1183</v>
      </c>
      <c r="G175">
        <v>10.19</v>
      </c>
      <c r="H175">
        <v>1.3</v>
      </c>
      <c r="I175">
        <v>13.98</v>
      </c>
      <c r="J175">
        <v>43.5</v>
      </c>
      <c r="K175">
        <v>456.38</v>
      </c>
      <c r="L175">
        <v>9.119999999999999</v>
      </c>
      <c r="M175">
        <v>132.17</v>
      </c>
      <c r="N175">
        <v>6</v>
      </c>
      <c r="O175">
        <v>63.38</v>
      </c>
      <c r="P175" s="2">
        <f>(H175 + J175) - (L175 + N175)</f>
        <v>0</v>
      </c>
      <c r="Q175" s="2">
        <f>P175 * G175</f>
        <v>0</v>
      </c>
      <c r="R175">
        <v>9.800000000000001</v>
      </c>
      <c r="S175" s="2">
        <f>R175 * G175</f>
        <v>0</v>
      </c>
      <c r="T175" s="2">
        <f>(H175 + J175) - (L175 + N175) - R175</f>
        <v>0</v>
      </c>
      <c r="U175" s="2">
        <f>T175 * G175</f>
        <v>0</v>
      </c>
      <c r="V175" s="2">
        <f>I175 + K175 - S175</f>
        <v>0</v>
      </c>
      <c r="W175" s="2">
        <f>M175 - V175</f>
        <v>0</v>
      </c>
      <c r="X175" s="2">
        <f>IFERROR(W175 / M175 * 100, 0)</f>
        <v>0</v>
      </c>
    </row>
    <row r="176" spans="1:24">
      <c r="A176" t="s">
        <v>196</v>
      </c>
      <c r="B176" t="s">
        <v>512</v>
      </c>
      <c r="C176" t="s">
        <v>689</v>
      </c>
      <c r="D176" t="s">
        <v>1007</v>
      </c>
      <c r="E176" t="s">
        <v>1009</v>
      </c>
      <c r="F176" t="s">
        <v>1184</v>
      </c>
      <c r="G176">
        <v>6.14</v>
      </c>
      <c r="H176">
        <v>0</v>
      </c>
      <c r="I176">
        <v>0</v>
      </c>
      <c r="J176">
        <v>21</v>
      </c>
      <c r="K176">
        <v>129</v>
      </c>
      <c r="L176">
        <v>0</v>
      </c>
      <c r="M176">
        <v>0</v>
      </c>
      <c r="N176">
        <v>4</v>
      </c>
      <c r="O176">
        <v>24.57</v>
      </c>
      <c r="P176" s="2">
        <f>(H176 + J176) - (L176 + N176)</f>
        <v>0</v>
      </c>
      <c r="Q176" s="2">
        <f>P176 * G176</f>
        <v>0</v>
      </c>
      <c r="R176">
        <v>0</v>
      </c>
      <c r="S176" s="2">
        <f>R176 * G176</f>
        <v>0</v>
      </c>
      <c r="T176" s="2">
        <f>(H176 + J176) - (L176 + N176) - R176</f>
        <v>0</v>
      </c>
      <c r="U176" s="2">
        <f>T176 * G176</f>
        <v>0</v>
      </c>
      <c r="V176" s="2">
        <f>I176 + K176 - S176</f>
        <v>0</v>
      </c>
      <c r="W176" s="2">
        <f>M176 - V176</f>
        <v>0</v>
      </c>
      <c r="X176" s="2">
        <f>IFERROR(W176 / M176 * 100, 0)</f>
        <v>0</v>
      </c>
    </row>
    <row r="177" spans="1:24">
      <c r="A177" t="s">
        <v>197</v>
      </c>
      <c r="B177" t="s">
        <v>512</v>
      </c>
      <c r="C177" t="s">
        <v>690</v>
      </c>
      <c r="D177" t="s">
        <v>1007</v>
      </c>
      <c r="E177" t="s">
        <v>1009</v>
      </c>
      <c r="F177" t="s">
        <v>1185</v>
      </c>
      <c r="G177">
        <v>11</v>
      </c>
      <c r="H177">
        <v>0</v>
      </c>
      <c r="I177">
        <v>0</v>
      </c>
      <c r="J177">
        <v>27</v>
      </c>
      <c r="K177">
        <v>297</v>
      </c>
      <c r="L177">
        <v>16.83</v>
      </c>
      <c r="M177">
        <v>315.47</v>
      </c>
      <c r="N177">
        <v>0</v>
      </c>
      <c r="O177">
        <v>0</v>
      </c>
      <c r="P177" s="2">
        <f>(H177 + J177) - (L177 + N177)</f>
        <v>0</v>
      </c>
      <c r="Q177" s="2">
        <f>P177 * G177</f>
        <v>0</v>
      </c>
      <c r="R177">
        <v>8</v>
      </c>
      <c r="S177" s="2">
        <f>R177 * G177</f>
        <v>0</v>
      </c>
      <c r="T177" s="2">
        <f>(H177 + J177) - (L177 + N177) - R177</f>
        <v>0</v>
      </c>
      <c r="U177" s="2">
        <f>T177 * G177</f>
        <v>0</v>
      </c>
      <c r="V177" s="2">
        <f>I177 + K177 - S177</f>
        <v>0</v>
      </c>
      <c r="W177" s="2">
        <f>M177 - V177</f>
        <v>0</v>
      </c>
      <c r="X177" s="2">
        <f>IFERROR(W177 / M177 * 100, 0)</f>
        <v>0</v>
      </c>
    </row>
    <row r="178" spans="1:24">
      <c r="A178" t="s">
        <v>198</v>
      </c>
      <c r="B178" t="s">
        <v>512</v>
      </c>
      <c r="C178" t="s">
        <v>691</v>
      </c>
      <c r="D178" t="s">
        <v>1007</v>
      </c>
      <c r="E178" t="s">
        <v>1009</v>
      </c>
      <c r="F178" t="s">
        <v>1186</v>
      </c>
      <c r="G178">
        <v>5.42</v>
      </c>
      <c r="H178">
        <v>53</v>
      </c>
      <c r="I178">
        <v>252.14</v>
      </c>
      <c r="J178">
        <v>312.5</v>
      </c>
      <c r="K178">
        <v>1715.75</v>
      </c>
      <c r="L178">
        <v>216.88</v>
      </c>
      <c r="M178">
        <v>2317.48</v>
      </c>
      <c r="N178">
        <v>35</v>
      </c>
      <c r="O178">
        <v>195.6</v>
      </c>
      <c r="P178" s="2">
        <f>(H178 + J178) - (L178 + N178)</f>
        <v>0</v>
      </c>
      <c r="Q178" s="2">
        <f>P178 * G178</f>
        <v>0</v>
      </c>
      <c r="R178">
        <v>92.8</v>
      </c>
      <c r="S178" s="2">
        <f>R178 * G178</f>
        <v>0</v>
      </c>
      <c r="T178" s="2">
        <f>(H178 + J178) - (L178 + N178) - R178</f>
        <v>0</v>
      </c>
      <c r="U178" s="2">
        <f>T178 * G178</f>
        <v>0</v>
      </c>
      <c r="V178" s="2">
        <f>I178 + K178 - S178</f>
        <v>0</v>
      </c>
      <c r="W178" s="2">
        <f>M178 - V178</f>
        <v>0</v>
      </c>
      <c r="X178" s="2">
        <f>IFERROR(W178 / M178 * 100, 0)</f>
        <v>0</v>
      </c>
    </row>
    <row r="179" spans="1:24">
      <c r="A179" t="s">
        <v>199</v>
      </c>
      <c r="B179" t="s">
        <v>512</v>
      </c>
      <c r="C179" t="s">
        <v>692</v>
      </c>
      <c r="D179" t="s">
        <v>1007</v>
      </c>
      <c r="E179" t="s">
        <v>1009</v>
      </c>
      <c r="F179" t="s">
        <v>1187</v>
      </c>
      <c r="G179">
        <v>7.41</v>
      </c>
      <c r="H179">
        <v>64</v>
      </c>
      <c r="I179">
        <v>474.33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s="2">
        <f>(H179 + J179) - (L179 + N179)</f>
        <v>0</v>
      </c>
      <c r="Q179" s="2">
        <f>P179 * G179</f>
        <v>0</v>
      </c>
      <c r="R179">
        <v>0</v>
      </c>
      <c r="S179" s="2">
        <f>R179 * G179</f>
        <v>0</v>
      </c>
      <c r="T179" s="2">
        <f>(H179 + J179) - (L179 + N179) - R179</f>
        <v>0</v>
      </c>
      <c r="U179" s="2">
        <f>T179 * G179</f>
        <v>0</v>
      </c>
      <c r="V179" s="2">
        <f>I179 + K179 - S179</f>
        <v>0</v>
      </c>
      <c r="W179" s="2">
        <f>M179 - V179</f>
        <v>0</v>
      </c>
      <c r="X179" s="2">
        <f>IFERROR(W179 / M179 * 100, 0)</f>
        <v>0</v>
      </c>
    </row>
    <row r="180" spans="1:24">
      <c r="A180" t="s">
        <v>200</v>
      </c>
      <c r="B180" t="s">
        <v>514</v>
      </c>
      <c r="C180" t="s">
        <v>693</v>
      </c>
      <c r="D180" t="s">
        <v>1007</v>
      </c>
      <c r="E180" t="s">
        <v>1009</v>
      </c>
      <c r="F180" t="s">
        <v>1188</v>
      </c>
      <c r="G180">
        <v>8.5</v>
      </c>
      <c r="H180">
        <v>0</v>
      </c>
      <c r="I180">
        <v>0</v>
      </c>
      <c r="J180">
        <v>0</v>
      </c>
      <c r="K180">
        <v>0</v>
      </c>
      <c r="L180">
        <v>1.96</v>
      </c>
      <c r="M180">
        <v>19.15</v>
      </c>
      <c r="N180">
        <v>0</v>
      </c>
      <c r="O180">
        <v>0</v>
      </c>
      <c r="P180" s="2">
        <f>(H180 + J180) - (L180 + N180)</f>
        <v>0</v>
      </c>
      <c r="Q180" s="2">
        <f>P180 * G180</f>
        <v>0</v>
      </c>
      <c r="R180">
        <v>0</v>
      </c>
      <c r="S180" s="2">
        <f>R180 * G180</f>
        <v>0</v>
      </c>
      <c r="T180" s="2">
        <f>(H180 + J180) - (L180 + N180) - R180</f>
        <v>0</v>
      </c>
      <c r="U180" s="2">
        <f>T180 * G180</f>
        <v>0</v>
      </c>
      <c r="V180" s="2">
        <f>I180 + K180 - S180</f>
        <v>0</v>
      </c>
      <c r="W180" s="2">
        <f>M180 - V180</f>
        <v>0</v>
      </c>
      <c r="X180" s="2">
        <f>IFERROR(W180 / M180 * 100, 0)</f>
        <v>0</v>
      </c>
    </row>
    <row r="181" spans="1:24">
      <c r="A181" t="s">
        <v>201</v>
      </c>
      <c r="B181" t="s">
        <v>512</v>
      </c>
      <c r="C181" t="s">
        <v>694</v>
      </c>
      <c r="D181" t="s">
        <v>1007</v>
      </c>
      <c r="E181" t="s">
        <v>1009</v>
      </c>
      <c r="F181" t="s">
        <v>1189</v>
      </c>
      <c r="G181">
        <v>6.39</v>
      </c>
      <c r="H181">
        <v>0</v>
      </c>
      <c r="I181">
        <v>0</v>
      </c>
      <c r="J181">
        <v>0</v>
      </c>
      <c r="K181">
        <v>0</v>
      </c>
      <c r="L181">
        <v>0.36</v>
      </c>
      <c r="M181">
        <v>4.71</v>
      </c>
      <c r="N181">
        <v>0</v>
      </c>
      <c r="O181">
        <v>0</v>
      </c>
      <c r="P181" s="2">
        <f>(H181 + J181) - (L181 + N181)</f>
        <v>0</v>
      </c>
      <c r="Q181" s="2">
        <f>P181 * G181</f>
        <v>0</v>
      </c>
      <c r="R181">
        <v>0</v>
      </c>
      <c r="S181" s="2">
        <f>R181 * G181</f>
        <v>0</v>
      </c>
      <c r="T181" s="2">
        <f>(H181 + J181) - (L181 + N181) - R181</f>
        <v>0</v>
      </c>
      <c r="U181" s="2">
        <f>T181 * G181</f>
        <v>0</v>
      </c>
      <c r="V181" s="2">
        <f>I181 + K181 - S181</f>
        <v>0</v>
      </c>
      <c r="W181" s="2">
        <f>M181 - V181</f>
        <v>0</v>
      </c>
      <c r="X181" s="2">
        <f>IFERROR(W181 / M181 * 100, 0)</f>
        <v>0</v>
      </c>
    </row>
    <row r="182" spans="1:24">
      <c r="A182" t="s">
        <v>202</v>
      </c>
      <c r="B182" t="s">
        <v>512</v>
      </c>
      <c r="C182" t="s">
        <v>695</v>
      </c>
      <c r="D182" t="s">
        <v>1007</v>
      </c>
      <c r="E182" t="s">
        <v>1009</v>
      </c>
      <c r="F182" t="s">
        <v>1190</v>
      </c>
      <c r="G182">
        <v>9.91</v>
      </c>
      <c r="H182">
        <v>0</v>
      </c>
      <c r="I182">
        <v>0</v>
      </c>
      <c r="J182">
        <v>6</v>
      </c>
      <c r="K182">
        <v>30</v>
      </c>
      <c r="L182">
        <v>6.74</v>
      </c>
      <c r="M182">
        <v>43.99</v>
      </c>
      <c r="N182">
        <v>0</v>
      </c>
      <c r="O182">
        <v>0</v>
      </c>
      <c r="P182" s="2">
        <f>(H182 + J182) - (L182 + N182)</f>
        <v>0</v>
      </c>
      <c r="Q182" s="2">
        <f>P182 * G182</f>
        <v>0</v>
      </c>
      <c r="R182">
        <v>3</v>
      </c>
      <c r="S182" s="2">
        <f>R182 * G182</f>
        <v>0</v>
      </c>
      <c r="T182" s="2">
        <f>(H182 + J182) - (L182 + N182) - R182</f>
        <v>0</v>
      </c>
      <c r="U182" s="2">
        <f>T182 * G182</f>
        <v>0</v>
      </c>
      <c r="V182" s="2">
        <f>I182 + K182 - S182</f>
        <v>0</v>
      </c>
      <c r="W182" s="2">
        <f>M182 - V182</f>
        <v>0</v>
      </c>
      <c r="X182" s="2">
        <f>IFERROR(W182 / M182 * 100, 0)</f>
        <v>0</v>
      </c>
    </row>
    <row r="183" spans="1:24">
      <c r="A183" t="s">
        <v>203</v>
      </c>
      <c r="B183" t="s">
        <v>512</v>
      </c>
      <c r="C183" t="s">
        <v>696</v>
      </c>
      <c r="D183" t="s">
        <v>1007</v>
      </c>
      <c r="E183" t="s">
        <v>1009</v>
      </c>
      <c r="F183" t="s">
        <v>1191</v>
      </c>
      <c r="G183">
        <v>17.26</v>
      </c>
      <c r="H183">
        <v>23</v>
      </c>
      <c r="I183">
        <v>363.27</v>
      </c>
      <c r="J183">
        <v>117.19</v>
      </c>
      <c r="K183">
        <v>2053.44</v>
      </c>
      <c r="L183">
        <v>66.59999999999999</v>
      </c>
      <c r="M183">
        <v>1332.08</v>
      </c>
      <c r="N183">
        <v>5</v>
      </c>
      <c r="O183">
        <v>86.28</v>
      </c>
      <c r="P183" s="2">
        <f>(H183 + J183) - (L183 + N183)</f>
        <v>0</v>
      </c>
      <c r="Q183" s="2">
        <f>P183 * G183</f>
        <v>0</v>
      </c>
      <c r="R183">
        <v>45.5</v>
      </c>
      <c r="S183" s="2">
        <f>R183 * G183</f>
        <v>0</v>
      </c>
      <c r="T183" s="2">
        <f>(H183 + J183) - (L183 + N183) - R183</f>
        <v>0</v>
      </c>
      <c r="U183" s="2">
        <f>T183 * G183</f>
        <v>0</v>
      </c>
      <c r="V183" s="2">
        <f>I183 + K183 - S183</f>
        <v>0</v>
      </c>
      <c r="W183" s="2">
        <f>M183 - V183</f>
        <v>0</v>
      </c>
      <c r="X183" s="2">
        <f>IFERROR(W183 / M183 * 100, 0)</f>
        <v>0</v>
      </c>
    </row>
    <row r="184" spans="1:24">
      <c r="A184" t="s">
        <v>204</v>
      </c>
      <c r="B184" t="s">
        <v>512</v>
      </c>
      <c r="C184" t="s">
        <v>697</v>
      </c>
      <c r="D184" t="s">
        <v>1007</v>
      </c>
      <c r="E184" t="s">
        <v>1009</v>
      </c>
      <c r="F184" t="s">
        <v>1192</v>
      </c>
      <c r="G184">
        <v>8.34</v>
      </c>
      <c r="H184">
        <v>0</v>
      </c>
      <c r="I184">
        <v>0</v>
      </c>
      <c r="J184">
        <v>0</v>
      </c>
      <c r="K184">
        <v>0</v>
      </c>
      <c r="L184">
        <v>0.07000000000000001</v>
      </c>
      <c r="M184">
        <v>0.95</v>
      </c>
      <c r="N184">
        <v>0</v>
      </c>
      <c r="O184">
        <v>0</v>
      </c>
      <c r="P184" s="2">
        <f>(H184 + J184) - (L184 + N184)</f>
        <v>0</v>
      </c>
      <c r="Q184" s="2">
        <f>P184 * G184</f>
        <v>0</v>
      </c>
      <c r="R184">
        <v>0</v>
      </c>
      <c r="S184" s="2">
        <f>R184 * G184</f>
        <v>0</v>
      </c>
      <c r="T184" s="2">
        <f>(H184 + J184) - (L184 + N184) - R184</f>
        <v>0</v>
      </c>
      <c r="U184" s="2">
        <f>T184 * G184</f>
        <v>0</v>
      </c>
      <c r="V184" s="2">
        <f>I184 + K184 - S184</f>
        <v>0</v>
      </c>
      <c r="W184" s="2">
        <f>M184 - V184</f>
        <v>0</v>
      </c>
      <c r="X184" s="2">
        <f>IFERROR(W184 / M184 * 100, 0)</f>
        <v>0</v>
      </c>
    </row>
    <row r="185" spans="1:24">
      <c r="A185" t="s">
        <v>205</v>
      </c>
      <c r="B185" t="s">
        <v>512</v>
      </c>
      <c r="C185" t="s">
        <v>698</v>
      </c>
      <c r="D185" t="s">
        <v>1007</v>
      </c>
      <c r="E185" t="s">
        <v>1009</v>
      </c>
      <c r="F185" t="s">
        <v>1193</v>
      </c>
      <c r="G185">
        <v>6</v>
      </c>
      <c r="H185">
        <v>0</v>
      </c>
      <c r="I185">
        <v>0</v>
      </c>
      <c r="J185">
        <v>0</v>
      </c>
      <c r="K185">
        <v>0</v>
      </c>
      <c r="L185">
        <v>0.32</v>
      </c>
      <c r="M185">
        <v>2.4</v>
      </c>
      <c r="N185">
        <v>0</v>
      </c>
      <c r="O185">
        <v>0</v>
      </c>
      <c r="P185" s="2">
        <f>(H185 + J185) - (L185 + N185)</f>
        <v>0</v>
      </c>
      <c r="Q185" s="2">
        <f>P185 * G185</f>
        <v>0</v>
      </c>
      <c r="R185">
        <v>0</v>
      </c>
      <c r="S185" s="2">
        <f>R185 * G185</f>
        <v>0</v>
      </c>
      <c r="T185" s="2">
        <f>(H185 + J185) - (L185 + N185) - R185</f>
        <v>0</v>
      </c>
      <c r="U185" s="2">
        <f>T185 * G185</f>
        <v>0</v>
      </c>
      <c r="V185" s="2">
        <f>I185 + K185 - S185</f>
        <v>0</v>
      </c>
      <c r="W185" s="2">
        <f>M185 - V185</f>
        <v>0</v>
      </c>
      <c r="X185" s="2">
        <f>IFERROR(W185 / M185 * 100, 0)</f>
        <v>0</v>
      </c>
    </row>
    <row r="186" spans="1:24">
      <c r="A186" t="s">
        <v>206</v>
      </c>
      <c r="B186" t="s">
        <v>512</v>
      </c>
      <c r="C186" t="s">
        <v>699</v>
      </c>
      <c r="D186" t="s">
        <v>1007</v>
      </c>
      <c r="E186" t="s">
        <v>1009</v>
      </c>
      <c r="F186" t="s">
        <v>1194</v>
      </c>
      <c r="G186">
        <v>35.94</v>
      </c>
      <c r="H186">
        <v>5.4</v>
      </c>
      <c r="I186">
        <v>188.95</v>
      </c>
      <c r="J186">
        <v>12</v>
      </c>
      <c r="K186">
        <v>432</v>
      </c>
      <c r="L186">
        <v>11.73</v>
      </c>
      <c r="M186">
        <v>469.32</v>
      </c>
      <c r="N186">
        <v>0</v>
      </c>
      <c r="O186">
        <v>0</v>
      </c>
      <c r="P186" s="2">
        <f>(H186 + J186) - (L186 + N186)</f>
        <v>0</v>
      </c>
      <c r="Q186" s="2">
        <f>P186 * G186</f>
        <v>0</v>
      </c>
      <c r="R186">
        <v>4.1</v>
      </c>
      <c r="S186" s="2">
        <f>R186 * G186</f>
        <v>0</v>
      </c>
      <c r="T186" s="2">
        <f>(H186 + J186) - (L186 + N186) - R186</f>
        <v>0</v>
      </c>
      <c r="U186" s="2">
        <f>T186 * G186</f>
        <v>0</v>
      </c>
      <c r="V186" s="2">
        <f>I186 + K186 - S186</f>
        <v>0</v>
      </c>
      <c r="W186" s="2">
        <f>M186 - V186</f>
        <v>0</v>
      </c>
      <c r="X186" s="2">
        <f>IFERROR(W186 / M186 * 100, 0)</f>
        <v>0</v>
      </c>
    </row>
    <row r="187" spans="1:24">
      <c r="A187" t="s">
        <v>207</v>
      </c>
      <c r="B187" t="s">
        <v>512</v>
      </c>
      <c r="C187" t="s">
        <v>700</v>
      </c>
      <c r="D187" t="s">
        <v>1007</v>
      </c>
      <c r="E187" t="s">
        <v>1009</v>
      </c>
      <c r="F187" t="s">
        <v>1195</v>
      </c>
      <c r="G187">
        <v>8.449999999999999</v>
      </c>
      <c r="H187">
        <v>41.5</v>
      </c>
      <c r="I187">
        <v>315.35</v>
      </c>
      <c r="J187">
        <v>107</v>
      </c>
      <c r="K187">
        <v>913.78</v>
      </c>
      <c r="L187">
        <v>85.83</v>
      </c>
      <c r="M187">
        <v>858.34</v>
      </c>
      <c r="N187">
        <v>27</v>
      </c>
      <c r="O187">
        <v>224.21</v>
      </c>
      <c r="P187" s="2">
        <f>(H187 + J187) - (L187 + N187)</f>
        <v>0</v>
      </c>
      <c r="Q187" s="2">
        <f>P187 * G187</f>
        <v>0</v>
      </c>
      <c r="R187">
        <v>34.5</v>
      </c>
      <c r="S187" s="2">
        <f>R187 * G187</f>
        <v>0</v>
      </c>
      <c r="T187" s="2">
        <f>(H187 + J187) - (L187 + N187) - R187</f>
        <v>0</v>
      </c>
      <c r="U187" s="2">
        <f>T187 * G187</f>
        <v>0</v>
      </c>
      <c r="V187" s="2">
        <f>I187 + K187 - S187</f>
        <v>0</v>
      </c>
      <c r="W187" s="2">
        <f>M187 - V187</f>
        <v>0</v>
      </c>
      <c r="X187" s="2">
        <f>IFERROR(W187 / M187 * 100, 0)</f>
        <v>0</v>
      </c>
    </row>
    <row r="188" spans="1:24">
      <c r="A188" t="s">
        <v>208</v>
      </c>
      <c r="B188" t="s">
        <v>512</v>
      </c>
      <c r="C188" t="s">
        <v>701</v>
      </c>
      <c r="D188" t="s">
        <v>1007</v>
      </c>
      <c r="E188" t="s">
        <v>1009</v>
      </c>
      <c r="F188" t="s">
        <v>1196</v>
      </c>
      <c r="G188">
        <v>2.41</v>
      </c>
      <c r="H188">
        <v>0</v>
      </c>
      <c r="I188">
        <v>0</v>
      </c>
      <c r="J188">
        <v>0</v>
      </c>
      <c r="K188">
        <v>0</v>
      </c>
      <c r="L188">
        <v>0.8100000000000001</v>
      </c>
      <c r="M188">
        <v>3.25</v>
      </c>
      <c r="N188">
        <v>0</v>
      </c>
      <c r="O188">
        <v>0</v>
      </c>
      <c r="P188" s="2">
        <f>(H188 + J188) - (L188 + N188)</f>
        <v>0</v>
      </c>
      <c r="Q188" s="2">
        <f>P188 * G188</f>
        <v>0</v>
      </c>
      <c r="R188">
        <v>0</v>
      </c>
      <c r="S188" s="2">
        <f>R188 * G188</f>
        <v>0</v>
      </c>
      <c r="T188" s="2">
        <f>(H188 + J188) - (L188 + N188) - R188</f>
        <v>0</v>
      </c>
      <c r="U188" s="2">
        <f>T188 * G188</f>
        <v>0</v>
      </c>
      <c r="V188" s="2">
        <f>I188 + K188 - S188</f>
        <v>0</v>
      </c>
      <c r="W188" s="2">
        <f>M188 - V188</f>
        <v>0</v>
      </c>
      <c r="X188" s="2">
        <f>IFERROR(W188 / M188 * 100, 0)</f>
        <v>0</v>
      </c>
    </row>
    <row r="189" spans="1:24">
      <c r="A189" t="s">
        <v>209</v>
      </c>
      <c r="B189" t="s">
        <v>512</v>
      </c>
      <c r="C189" t="s">
        <v>702</v>
      </c>
      <c r="D189" t="s">
        <v>1007</v>
      </c>
      <c r="E189" t="s">
        <v>1009</v>
      </c>
      <c r="F189" t="s">
        <v>1197</v>
      </c>
      <c r="G189">
        <v>32</v>
      </c>
      <c r="H189">
        <v>0</v>
      </c>
      <c r="I189">
        <v>0</v>
      </c>
      <c r="J189">
        <v>0</v>
      </c>
      <c r="K189">
        <v>0</v>
      </c>
      <c r="L189">
        <v>0.62</v>
      </c>
      <c r="M189">
        <v>21.56</v>
      </c>
      <c r="N189">
        <v>0</v>
      </c>
      <c r="O189">
        <v>0</v>
      </c>
      <c r="P189" s="2">
        <f>(H189 + J189) - (L189 + N189)</f>
        <v>0</v>
      </c>
      <c r="Q189" s="2">
        <f>P189 * G189</f>
        <v>0</v>
      </c>
      <c r="R189">
        <v>0</v>
      </c>
      <c r="S189" s="2">
        <f>R189 * G189</f>
        <v>0</v>
      </c>
      <c r="T189" s="2">
        <f>(H189 + J189) - (L189 + N189) - R189</f>
        <v>0</v>
      </c>
      <c r="U189" s="2">
        <f>T189 * G189</f>
        <v>0</v>
      </c>
      <c r="V189" s="2">
        <f>I189 + K189 - S189</f>
        <v>0</v>
      </c>
      <c r="W189" s="2">
        <f>M189 - V189</f>
        <v>0</v>
      </c>
      <c r="X189" s="2">
        <f>IFERROR(W189 / M189 * 100, 0)</f>
        <v>0</v>
      </c>
    </row>
    <row r="190" spans="1:24">
      <c r="A190" t="s">
        <v>210</v>
      </c>
      <c r="B190" t="s">
        <v>512</v>
      </c>
      <c r="C190" t="s">
        <v>703</v>
      </c>
      <c r="D190" t="s">
        <v>1007</v>
      </c>
      <c r="E190" t="s">
        <v>1009</v>
      </c>
      <c r="F190" t="s">
        <v>1198</v>
      </c>
      <c r="G190">
        <v>4.5</v>
      </c>
      <c r="H190">
        <v>0</v>
      </c>
      <c r="I190">
        <v>0</v>
      </c>
      <c r="J190">
        <v>0</v>
      </c>
      <c r="K190">
        <v>0</v>
      </c>
      <c r="L190">
        <v>0.16</v>
      </c>
      <c r="M190">
        <v>0.74</v>
      </c>
      <c r="N190">
        <v>0</v>
      </c>
      <c r="O190">
        <v>0</v>
      </c>
      <c r="P190" s="2">
        <f>(H190 + J190) - (L190 + N190)</f>
        <v>0</v>
      </c>
      <c r="Q190" s="2">
        <f>P190 * G190</f>
        <v>0</v>
      </c>
      <c r="R190">
        <v>0</v>
      </c>
      <c r="S190" s="2">
        <f>R190 * G190</f>
        <v>0</v>
      </c>
      <c r="T190" s="2">
        <f>(H190 + J190) - (L190 + N190) - R190</f>
        <v>0</v>
      </c>
      <c r="U190" s="2">
        <f>T190 * G190</f>
        <v>0</v>
      </c>
      <c r="V190" s="2">
        <f>I190 + K190 - S190</f>
        <v>0</v>
      </c>
      <c r="W190" s="2">
        <f>M190 - V190</f>
        <v>0</v>
      </c>
      <c r="X190" s="2">
        <f>IFERROR(W190 / M190 * 100, 0)</f>
        <v>0</v>
      </c>
    </row>
    <row r="191" spans="1:24">
      <c r="A191" t="s">
        <v>211</v>
      </c>
      <c r="B191" t="s">
        <v>512</v>
      </c>
      <c r="C191" t="s">
        <v>704</v>
      </c>
      <c r="D191" t="s">
        <v>1007</v>
      </c>
      <c r="E191" t="s">
        <v>1009</v>
      </c>
      <c r="F191" t="s">
        <v>1199</v>
      </c>
      <c r="G191">
        <v>4.13</v>
      </c>
      <c r="H191">
        <v>0</v>
      </c>
      <c r="I191">
        <v>0</v>
      </c>
      <c r="J191">
        <v>902.5</v>
      </c>
      <c r="K191">
        <v>3754.88</v>
      </c>
      <c r="L191">
        <v>897.97</v>
      </c>
      <c r="M191">
        <v>3971.81</v>
      </c>
      <c r="N191">
        <v>0</v>
      </c>
      <c r="O191">
        <v>0</v>
      </c>
      <c r="P191" s="2">
        <f>(H191 + J191) - (L191 + N191)</f>
        <v>0</v>
      </c>
      <c r="Q191" s="2">
        <f>P191 * G191</f>
        <v>0</v>
      </c>
      <c r="R191">
        <v>33</v>
      </c>
      <c r="S191" s="2">
        <f>R191 * G191</f>
        <v>0</v>
      </c>
      <c r="T191" s="2">
        <f>(H191 + J191) - (L191 + N191) - R191</f>
        <v>0</v>
      </c>
      <c r="U191" s="2">
        <f>T191 * G191</f>
        <v>0</v>
      </c>
      <c r="V191" s="2">
        <f>I191 + K191 - S191</f>
        <v>0</v>
      </c>
      <c r="W191" s="2">
        <f>M191 - V191</f>
        <v>0</v>
      </c>
      <c r="X191" s="2">
        <f>IFERROR(W191 / M191 * 100, 0)</f>
        <v>0</v>
      </c>
    </row>
    <row r="192" spans="1:24">
      <c r="A192" t="s">
        <v>212</v>
      </c>
      <c r="B192" t="s">
        <v>512</v>
      </c>
      <c r="C192" t="s">
        <v>705</v>
      </c>
      <c r="D192" t="s">
        <v>1007</v>
      </c>
      <c r="E192" t="s">
        <v>1009</v>
      </c>
      <c r="F192" t="s">
        <v>1200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0.64</v>
      </c>
      <c r="M192">
        <v>6.4</v>
      </c>
      <c r="N192">
        <v>0</v>
      </c>
      <c r="O192">
        <v>0</v>
      </c>
      <c r="P192" s="2">
        <f>(H192 + J192) - (L192 + N192)</f>
        <v>0</v>
      </c>
      <c r="Q192" s="2">
        <f>P192 * G192</f>
        <v>0</v>
      </c>
      <c r="R192">
        <v>0</v>
      </c>
      <c r="S192" s="2">
        <f>R192 * G192</f>
        <v>0</v>
      </c>
      <c r="T192" s="2">
        <f>(H192 + J192) - (L192 + N192) - R192</f>
        <v>0</v>
      </c>
      <c r="U192" s="2">
        <f>T192 * G192</f>
        <v>0</v>
      </c>
      <c r="V192" s="2">
        <f>I192 + K192 - S192</f>
        <v>0</v>
      </c>
      <c r="W192" s="2">
        <f>M192 - V192</f>
        <v>0</v>
      </c>
      <c r="X192" s="2">
        <f>IFERROR(W192 / M192 * 100, 0)</f>
        <v>0</v>
      </c>
    </row>
    <row r="193" spans="1:24">
      <c r="A193" t="s">
        <v>213</v>
      </c>
      <c r="B193" t="s">
        <v>512</v>
      </c>
      <c r="C193" t="s">
        <v>706</v>
      </c>
      <c r="D193" t="s">
        <v>1007</v>
      </c>
      <c r="E193" t="s">
        <v>1009</v>
      </c>
      <c r="F193" t="s">
        <v>1201</v>
      </c>
      <c r="G193">
        <v>8.34</v>
      </c>
      <c r="H193">
        <v>26.2</v>
      </c>
      <c r="I193">
        <v>192.42</v>
      </c>
      <c r="J193">
        <v>57.49</v>
      </c>
      <c r="K193">
        <v>452.03</v>
      </c>
      <c r="L193">
        <v>79.06999999999999</v>
      </c>
      <c r="M193">
        <v>790.6799999999999</v>
      </c>
      <c r="N193">
        <v>5</v>
      </c>
      <c r="O193">
        <v>39.04</v>
      </c>
      <c r="P193" s="2">
        <f>(H193 + J193) - (L193 + N193)</f>
        <v>0</v>
      </c>
      <c r="Q193" s="2">
        <f>P193 * G193</f>
        <v>0</v>
      </c>
      <c r="R193">
        <v>0</v>
      </c>
      <c r="S193" s="2">
        <f>R193 * G193</f>
        <v>0</v>
      </c>
      <c r="T193" s="2">
        <f>(H193 + J193) - (L193 + N193) - R193</f>
        <v>0</v>
      </c>
      <c r="U193" s="2">
        <f>T193 * G193</f>
        <v>0</v>
      </c>
      <c r="V193" s="2">
        <f>I193 + K193 - S193</f>
        <v>0</v>
      </c>
      <c r="W193" s="2">
        <f>M193 - V193</f>
        <v>0</v>
      </c>
      <c r="X193" s="2">
        <f>IFERROR(W193 / M193 * 100, 0)</f>
        <v>0</v>
      </c>
    </row>
    <row r="194" spans="1:24">
      <c r="A194" t="s">
        <v>214</v>
      </c>
      <c r="B194" t="s">
        <v>512</v>
      </c>
      <c r="C194" t="s">
        <v>707</v>
      </c>
      <c r="D194" t="s">
        <v>1007</v>
      </c>
      <c r="E194" t="s">
        <v>1009</v>
      </c>
      <c r="F194" t="s">
        <v>1202</v>
      </c>
      <c r="G194">
        <v>6.1</v>
      </c>
      <c r="H194">
        <v>0</v>
      </c>
      <c r="I194">
        <v>0</v>
      </c>
      <c r="J194">
        <v>258</v>
      </c>
      <c r="K194">
        <v>1574.06</v>
      </c>
      <c r="L194">
        <v>219.46</v>
      </c>
      <c r="M194">
        <v>1595.45</v>
      </c>
      <c r="N194">
        <v>26</v>
      </c>
      <c r="O194">
        <v>158.63</v>
      </c>
      <c r="P194" s="2">
        <f>(H194 + J194) - (L194 + N194)</f>
        <v>0</v>
      </c>
      <c r="Q194" s="2">
        <f>P194 * G194</f>
        <v>0</v>
      </c>
      <c r="R194">
        <v>0</v>
      </c>
      <c r="S194" s="2">
        <f>R194 * G194</f>
        <v>0</v>
      </c>
      <c r="T194" s="2">
        <f>(H194 + J194) - (L194 + N194) - R194</f>
        <v>0</v>
      </c>
      <c r="U194" s="2">
        <f>T194 * G194</f>
        <v>0</v>
      </c>
      <c r="V194" s="2">
        <f>I194 + K194 - S194</f>
        <v>0</v>
      </c>
      <c r="W194" s="2">
        <f>M194 - V194</f>
        <v>0</v>
      </c>
      <c r="X194" s="2">
        <f>IFERROR(W194 / M194 * 100, 0)</f>
        <v>0</v>
      </c>
    </row>
    <row r="195" spans="1:24">
      <c r="A195" t="s">
        <v>215</v>
      </c>
      <c r="B195" t="s">
        <v>512</v>
      </c>
      <c r="C195" t="s">
        <v>708</v>
      </c>
      <c r="D195" t="s">
        <v>1007</v>
      </c>
      <c r="E195" t="s">
        <v>1009</v>
      </c>
      <c r="F195" t="s">
        <v>1203</v>
      </c>
      <c r="G195">
        <v>2</v>
      </c>
      <c r="H195">
        <v>164.1</v>
      </c>
      <c r="I195">
        <v>451.28</v>
      </c>
      <c r="J195">
        <v>74</v>
      </c>
      <c r="K195">
        <v>148</v>
      </c>
      <c r="L195">
        <v>98.11</v>
      </c>
      <c r="M195">
        <v>833.98</v>
      </c>
      <c r="N195">
        <v>0</v>
      </c>
      <c r="O195">
        <v>0</v>
      </c>
      <c r="P195" s="2">
        <f>(H195 + J195) - (L195 + N195)</f>
        <v>0</v>
      </c>
      <c r="Q195" s="2">
        <f>P195 * G195</f>
        <v>0</v>
      </c>
      <c r="R195">
        <v>0</v>
      </c>
      <c r="S195" s="2">
        <f>R195 * G195</f>
        <v>0</v>
      </c>
      <c r="T195" s="2">
        <f>(H195 + J195) - (L195 + N195) - R195</f>
        <v>0</v>
      </c>
      <c r="U195" s="2">
        <f>T195 * G195</f>
        <v>0</v>
      </c>
      <c r="V195" s="2">
        <f>I195 + K195 - S195</f>
        <v>0</v>
      </c>
      <c r="W195" s="2">
        <f>M195 - V195</f>
        <v>0</v>
      </c>
      <c r="X195" s="2">
        <f>IFERROR(W195 / M195 * 100, 0)</f>
        <v>0</v>
      </c>
    </row>
    <row r="196" spans="1:24">
      <c r="A196" t="s">
        <v>216</v>
      </c>
      <c r="B196" t="s">
        <v>512</v>
      </c>
      <c r="C196" t="s">
        <v>709</v>
      </c>
      <c r="D196" t="s">
        <v>1008</v>
      </c>
      <c r="E196" t="s">
        <v>1009</v>
      </c>
      <c r="F196" t="s">
        <v>1204</v>
      </c>
      <c r="G196">
        <v>5.75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6</v>
      </c>
      <c r="N196">
        <v>0</v>
      </c>
      <c r="O196">
        <v>0</v>
      </c>
      <c r="P196" s="2">
        <f>(H196 + J196) - (L196 + N196)</f>
        <v>0</v>
      </c>
      <c r="Q196" s="2">
        <f>P196 * G196</f>
        <v>0</v>
      </c>
      <c r="R196">
        <v>0</v>
      </c>
      <c r="S196" s="2">
        <f>R196 * G196</f>
        <v>0</v>
      </c>
      <c r="T196" s="2">
        <f>(H196 + J196) - (L196 + N196) - R196</f>
        <v>0</v>
      </c>
      <c r="U196" s="2">
        <f>T196 * G196</f>
        <v>0</v>
      </c>
      <c r="V196" s="2">
        <f>I196 + K196 - S196</f>
        <v>0</v>
      </c>
      <c r="W196" s="2">
        <f>M196 - V196</f>
        <v>0</v>
      </c>
      <c r="X196" s="2">
        <f>IFERROR(W196 / M196 * 100, 0)</f>
        <v>0</v>
      </c>
    </row>
    <row r="197" spans="1:24">
      <c r="A197" t="s">
        <v>217</v>
      </c>
      <c r="B197" t="s">
        <v>512</v>
      </c>
      <c r="C197" t="s">
        <v>710</v>
      </c>
      <c r="D197" t="s">
        <v>1007</v>
      </c>
      <c r="E197" t="s">
        <v>1009</v>
      </c>
      <c r="F197" t="s">
        <v>1205</v>
      </c>
      <c r="G197">
        <v>67.5</v>
      </c>
      <c r="H197">
        <v>0</v>
      </c>
      <c r="I197">
        <v>0</v>
      </c>
      <c r="J197">
        <v>2</v>
      </c>
      <c r="K197">
        <v>135</v>
      </c>
      <c r="L197">
        <v>1.83</v>
      </c>
      <c r="M197">
        <v>137.1</v>
      </c>
      <c r="N197">
        <v>0</v>
      </c>
      <c r="O197">
        <v>0</v>
      </c>
      <c r="P197" s="2">
        <f>(H197 + J197) - (L197 + N197)</f>
        <v>0</v>
      </c>
      <c r="Q197" s="2">
        <f>P197 * G197</f>
        <v>0</v>
      </c>
      <c r="R197">
        <v>0</v>
      </c>
      <c r="S197" s="2">
        <f>R197 * G197</f>
        <v>0</v>
      </c>
      <c r="T197" s="2">
        <f>(H197 + J197) - (L197 + N197) - R197</f>
        <v>0</v>
      </c>
      <c r="U197" s="2">
        <f>T197 * G197</f>
        <v>0</v>
      </c>
      <c r="V197" s="2">
        <f>I197 + K197 - S197</f>
        <v>0</v>
      </c>
      <c r="W197" s="2">
        <f>M197 - V197</f>
        <v>0</v>
      </c>
      <c r="X197" s="2">
        <f>IFERROR(W197 / M197 * 100, 0)</f>
        <v>0</v>
      </c>
    </row>
    <row r="198" spans="1:24">
      <c r="A198" t="s">
        <v>218</v>
      </c>
      <c r="B198" t="s">
        <v>512</v>
      </c>
      <c r="C198" t="s">
        <v>711</v>
      </c>
      <c r="D198" t="s">
        <v>1007</v>
      </c>
      <c r="E198" t="s">
        <v>1009</v>
      </c>
      <c r="F198" t="s">
        <v>1206</v>
      </c>
      <c r="G198">
        <v>25</v>
      </c>
      <c r="H198">
        <v>80.5</v>
      </c>
      <c r="I198">
        <v>2012.5</v>
      </c>
      <c r="J198">
        <v>51</v>
      </c>
      <c r="K198">
        <v>1275</v>
      </c>
      <c r="L198">
        <v>131.5</v>
      </c>
      <c r="M198">
        <v>4274.63</v>
      </c>
      <c r="N198">
        <v>0</v>
      </c>
      <c r="O198">
        <v>0</v>
      </c>
      <c r="P198" s="2">
        <f>(H198 + J198) - (L198 + N198)</f>
        <v>0</v>
      </c>
      <c r="Q198" s="2">
        <f>P198 * G198</f>
        <v>0</v>
      </c>
      <c r="R198">
        <v>0</v>
      </c>
      <c r="S198" s="2">
        <f>R198 * G198</f>
        <v>0</v>
      </c>
      <c r="T198" s="2">
        <f>(H198 + J198) - (L198 + N198) - R198</f>
        <v>0</v>
      </c>
      <c r="U198" s="2">
        <f>T198 * G198</f>
        <v>0</v>
      </c>
      <c r="V198" s="2">
        <f>I198 + K198 - S198</f>
        <v>0</v>
      </c>
      <c r="W198" s="2">
        <f>M198 - V198</f>
        <v>0</v>
      </c>
      <c r="X198" s="2">
        <f>IFERROR(W198 / M198 * 100, 0)</f>
        <v>0</v>
      </c>
    </row>
    <row r="199" spans="1:24">
      <c r="A199" t="s">
        <v>219</v>
      </c>
      <c r="B199" t="s">
        <v>512</v>
      </c>
      <c r="C199" t="s">
        <v>712</v>
      </c>
      <c r="D199" t="s">
        <v>1007</v>
      </c>
      <c r="E199" t="s">
        <v>1009</v>
      </c>
      <c r="F199" t="s">
        <v>1207</v>
      </c>
      <c r="G199">
        <v>38.25</v>
      </c>
      <c r="H199">
        <v>0</v>
      </c>
      <c r="I199">
        <v>0</v>
      </c>
      <c r="J199">
        <v>0</v>
      </c>
      <c r="K199">
        <v>0</v>
      </c>
      <c r="L199">
        <v>0.25</v>
      </c>
      <c r="M199">
        <v>10.62</v>
      </c>
      <c r="N199">
        <v>0</v>
      </c>
      <c r="O199">
        <v>0</v>
      </c>
      <c r="P199" s="2">
        <f>(H199 + J199) - (L199 + N199)</f>
        <v>0</v>
      </c>
      <c r="Q199" s="2">
        <f>P199 * G199</f>
        <v>0</v>
      </c>
      <c r="R199">
        <v>0</v>
      </c>
      <c r="S199" s="2">
        <f>R199 * G199</f>
        <v>0</v>
      </c>
      <c r="T199" s="2">
        <f>(H199 + J199) - (L199 + N199) - R199</f>
        <v>0</v>
      </c>
      <c r="U199" s="2">
        <f>T199 * G199</f>
        <v>0</v>
      </c>
      <c r="V199" s="2">
        <f>I199 + K199 - S199</f>
        <v>0</v>
      </c>
      <c r="W199" s="2">
        <f>M199 - V199</f>
        <v>0</v>
      </c>
      <c r="X199" s="2">
        <f>IFERROR(W199 / M199 * 100, 0)</f>
        <v>0</v>
      </c>
    </row>
    <row r="200" spans="1:24">
      <c r="A200" t="s">
        <v>220</v>
      </c>
      <c r="B200" t="s">
        <v>512</v>
      </c>
      <c r="C200" t="s">
        <v>713</v>
      </c>
      <c r="D200" t="s">
        <v>1007</v>
      </c>
      <c r="E200" t="s">
        <v>1009</v>
      </c>
      <c r="F200" t="s">
        <v>1208</v>
      </c>
      <c r="G200">
        <v>12</v>
      </c>
      <c r="H200">
        <v>0</v>
      </c>
      <c r="I200">
        <v>0</v>
      </c>
      <c r="J200">
        <v>23.5</v>
      </c>
      <c r="K200">
        <v>282</v>
      </c>
      <c r="L200">
        <v>1</v>
      </c>
      <c r="M200">
        <v>15</v>
      </c>
      <c r="N200">
        <v>0</v>
      </c>
      <c r="O200">
        <v>0</v>
      </c>
      <c r="P200" s="2">
        <f>(H200 + J200) - (L200 + N200)</f>
        <v>0</v>
      </c>
      <c r="Q200" s="2">
        <f>P200 * G200</f>
        <v>0</v>
      </c>
      <c r="R200">
        <v>0</v>
      </c>
      <c r="S200" s="2">
        <f>R200 * G200</f>
        <v>0</v>
      </c>
      <c r="T200" s="2">
        <f>(H200 + J200) - (L200 + N200) - R200</f>
        <v>0</v>
      </c>
      <c r="U200" s="2">
        <f>T200 * G200</f>
        <v>0</v>
      </c>
      <c r="V200" s="2">
        <f>I200 + K200 - S200</f>
        <v>0</v>
      </c>
      <c r="W200" s="2">
        <f>M200 - V200</f>
        <v>0</v>
      </c>
      <c r="X200" s="2">
        <f>IFERROR(W200 / M200 * 100, 0)</f>
        <v>0</v>
      </c>
    </row>
    <row r="201" spans="1:24">
      <c r="A201" t="s">
        <v>221</v>
      </c>
      <c r="B201" t="s">
        <v>512</v>
      </c>
      <c r="C201" t="s">
        <v>714</v>
      </c>
      <c r="D201" t="s">
        <v>1007</v>
      </c>
      <c r="E201" t="s">
        <v>1009</v>
      </c>
      <c r="F201" t="s">
        <v>1209</v>
      </c>
      <c r="G201">
        <v>2.24</v>
      </c>
      <c r="H201">
        <v>0</v>
      </c>
      <c r="I201">
        <v>0</v>
      </c>
      <c r="J201">
        <v>0.76</v>
      </c>
      <c r="K201">
        <v>1.8</v>
      </c>
      <c r="L201">
        <v>0</v>
      </c>
      <c r="M201">
        <v>0</v>
      </c>
      <c r="N201">
        <v>0</v>
      </c>
      <c r="O201">
        <v>0</v>
      </c>
      <c r="P201" s="2">
        <f>(H201 + J201) - (L201 + N201)</f>
        <v>0</v>
      </c>
      <c r="Q201" s="2">
        <f>P201 * G201</f>
        <v>0</v>
      </c>
      <c r="R201">
        <v>0</v>
      </c>
      <c r="S201" s="2">
        <f>R201 * G201</f>
        <v>0</v>
      </c>
      <c r="T201" s="2">
        <f>(H201 + J201) - (L201 + N201) - R201</f>
        <v>0</v>
      </c>
      <c r="U201" s="2">
        <f>T201 * G201</f>
        <v>0</v>
      </c>
      <c r="V201" s="2">
        <f>I201 + K201 - S201</f>
        <v>0</v>
      </c>
      <c r="W201" s="2">
        <f>M201 - V201</f>
        <v>0</v>
      </c>
      <c r="X201" s="2">
        <f>IFERROR(W201 / M201 * 100, 0)</f>
        <v>0</v>
      </c>
    </row>
    <row r="202" spans="1:24">
      <c r="A202" t="s">
        <v>222</v>
      </c>
      <c r="B202" t="s">
        <v>512</v>
      </c>
      <c r="C202" t="s">
        <v>715</v>
      </c>
      <c r="D202" t="s">
        <v>1007</v>
      </c>
      <c r="E202" t="s">
        <v>1009</v>
      </c>
      <c r="F202" t="s">
        <v>1210</v>
      </c>
      <c r="G202">
        <v>10.75</v>
      </c>
      <c r="H202">
        <v>0</v>
      </c>
      <c r="I202">
        <v>0</v>
      </c>
      <c r="J202">
        <v>37.5</v>
      </c>
      <c r="K202">
        <v>403.13</v>
      </c>
      <c r="L202">
        <v>14.15</v>
      </c>
      <c r="M202">
        <v>212.25</v>
      </c>
      <c r="N202">
        <v>10</v>
      </c>
      <c r="O202">
        <v>107.5</v>
      </c>
      <c r="P202" s="2">
        <f>(H202 + J202) - (L202 + N202)</f>
        <v>0</v>
      </c>
      <c r="Q202" s="2">
        <f>P202 * G202</f>
        <v>0</v>
      </c>
      <c r="R202">
        <v>0</v>
      </c>
      <c r="S202" s="2">
        <f>R202 * G202</f>
        <v>0</v>
      </c>
      <c r="T202" s="2">
        <f>(H202 + J202) - (L202 + N202) - R202</f>
        <v>0</v>
      </c>
      <c r="U202" s="2">
        <f>T202 * G202</f>
        <v>0</v>
      </c>
      <c r="V202" s="2">
        <f>I202 + K202 - S202</f>
        <v>0</v>
      </c>
      <c r="W202" s="2">
        <f>M202 - V202</f>
        <v>0</v>
      </c>
      <c r="X202" s="2">
        <f>IFERROR(W202 / M202 * 100, 0)</f>
        <v>0</v>
      </c>
    </row>
    <row r="203" spans="1:24">
      <c r="A203" t="s">
        <v>223</v>
      </c>
      <c r="B203" t="s">
        <v>512</v>
      </c>
      <c r="C203" t="s">
        <v>716</v>
      </c>
      <c r="D203" t="s">
        <v>1007</v>
      </c>
      <c r="E203" t="s">
        <v>1009</v>
      </c>
      <c r="F203" t="s">
        <v>1211</v>
      </c>
      <c r="G203">
        <v>3.54</v>
      </c>
      <c r="H203">
        <v>0</v>
      </c>
      <c r="I203">
        <v>0</v>
      </c>
      <c r="J203">
        <v>-13.7</v>
      </c>
      <c r="K203">
        <v>-48.47</v>
      </c>
      <c r="L203">
        <v>212.5</v>
      </c>
      <c r="M203">
        <v>1168.75</v>
      </c>
      <c r="N203">
        <v>0</v>
      </c>
      <c r="O203">
        <v>0</v>
      </c>
      <c r="P203" s="2">
        <f>(H203 + J203) - (L203 + N203)</f>
        <v>0</v>
      </c>
      <c r="Q203" s="2">
        <f>P203 * G203</f>
        <v>0</v>
      </c>
      <c r="R203">
        <v>0</v>
      </c>
      <c r="S203" s="2">
        <f>R203 * G203</f>
        <v>0</v>
      </c>
      <c r="T203" s="2">
        <f>(H203 + J203) - (L203 + N203) - R203</f>
        <v>0</v>
      </c>
      <c r="U203" s="2">
        <f>T203 * G203</f>
        <v>0</v>
      </c>
      <c r="V203" s="2">
        <f>I203 + K203 - S203</f>
        <v>0</v>
      </c>
      <c r="W203" s="2">
        <f>M203 - V203</f>
        <v>0</v>
      </c>
      <c r="X203" s="2">
        <f>IFERROR(W203 / M203 * 100, 0)</f>
        <v>0</v>
      </c>
    </row>
    <row r="204" spans="1:24">
      <c r="A204" t="s">
        <v>224</v>
      </c>
      <c r="B204" t="s">
        <v>512</v>
      </c>
      <c r="C204" t="s">
        <v>717</v>
      </c>
      <c r="D204" t="s">
        <v>1007</v>
      </c>
      <c r="E204" t="s">
        <v>1009</v>
      </c>
      <c r="F204" t="s">
        <v>1212</v>
      </c>
      <c r="G204">
        <v>2.6</v>
      </c>
      <c r="H204">
        <v>0</v>
      </c>
      <c r="I204">
        <v>0</v>
      </c>
      <c r="J204">
        <v>0</v>
      </c>
      <c r="K204">
        <v>0</v>
      </c>
      <c r="L204">
        <v>0.55</v>
      </c>
      <c r="M204">
        <v>1.1</v>
      </c>
      <c r="N204">
        <v>0</v>
      </c>
      <c r="O204">
        <v>0</v>
      </c>
      <c r="P204" s="2">
        <f>(H204 + J204) - (L204 + N204)</f>
        <v>0</v>
      </c>
      <c r="Q204" s="2">
        <f>P204 * G204</f>
        <v>0</v>
      </c>
      <c r="R204">
        <v>0</v>
      </c>
      <c r="S204" s="2">
        <f>R204 * G204</f>
        <v>0</v>
      </c>
      <c r="T204" s="2">
        <f>(H204 + J204) - (L204 + N204) - R204</f>
        <v>0</v>
      </c>
      <c r="U204" s="2">
        <f>T204 * G204</f>
        <v>0</v>
      </c>
      <c r="V204" s="2">
        <f>I204 + K204 - S204</f>
        <v>0</v>
      </c>
      <c r="W204" s="2">
        <f>M204 - V204</f>
        <v>0</v>
      </c>
      <c r="X204" s="2">
        <f>IFERROR(W204 / M204 * 100, 0)</f>
        <v>0</v>
      </c>
    </row>
    <row r="205" spans="1:24">
      <c r="A205" t="s">
        <v>225</v>
      </c>
      <c r="B205" t="s">
        <v>512</v>
      </c>
      <c r="C205" t="s">
        <v>718</v>
      </c>
      <c r="D205" t="s">
        <v>1007</v>
      </c>
      <c r="E205" t="s">
        <v>1009</v>
      </c>
      <c r="F205" t="s">
        <v>1213</v>
      </c>
      <c r="G205">
        <v>26.21</v>
      </c>
      <c r="H205">
        <v>31.4</v>
      </c>
      <c r="I205">
        <v>797.91</v>
      </c>
      <c r="J205">
        <v>92.59</v>
      </c>
      <c r="K205">
        <v>2283.1</v>
      </c>
      <c r="L205">
        <v>89.56999999999999</v>
      </c>
      <c r="M205">
        <v>3252.57</v>
      </c>
      <c r="N205">
        <v>8</v>
      </c>
      <c r="O205">
        <v>187.97</v>
      </c>
      <c r="P205" s="2">
        <f>(H205 + J205) - (L205 + N205)</f>
        <v>0</v>
      </c>
      <c r="Q205" s="2">
        <f>P205 * G205</f>
        <v>0</v>
      </c>
      <c r="R205">
        <v>0</v>
      </c>
      <c r="S205" s="2">
        <f>R205 * G205</f>
        <v>0</v>
      </c>
      <c r="T205" s="2">
        <f>(H205 + J205) - (L205 + N205) - R205</f>
        <v>0</v>
      </c>
      <c r="U205" s="2">
        <f>T205 * G205</f>
        <v>0</v>
      </c>
      <c r="V205" s="2">
        <f>I205 + K205 - S205</f>
        <v>0</v>
      </c>
      <c r="W205" s="2">
        <f>M205 - V205</f>
        <v>0</v>
      </c>
      <c r="X205" s="2">
        <f>IFERROR(W205 / M205 * 100, 0)</f>
        <v>0</v>
      </c>
    </row>
    <row r="206" spans="1:24">
      <c r="A206" t="s">
        <v>226</v>
      </c>
      <c r="B206" t="s">
        <v>512</v>
      </c>
      <c r="C206" t="s">
        <v>719</v>
      </c>
      <c r="D206" t="s">
        <v>1007</v>
      </c>
      <c r="E206" t="s">
        <v>1009</v>
      </c>
      <c r="F206" t="s">
        <v>1214</v>
      </c>
      <c r="G206">
        <v>9.08</v>
      </c>
      <c r="H206">
        <v>0</v>
      </c>
      <c r="I206">
        <v>0</v>
      </c>
      <c r="J206">
        <v>146</v>
      </c>
      <c r="K206">
        <v>1398.5</v>
      </c>
      <c r="L206">
        <v>64.72</v>
      </c>
      <c r="M206">
        <v>1132.7</v>
      </c>
      <c r="N206">
        <v>0</v>
      </c>
      <c r="O206">
        <v>0</v>
      </c>
      <c r="P206" s="2">
        <f>(H206 + J206) - (L206 + N206)</f>
        <v>0</v>
      </c>
      <c r="Q206" s="2">
        <f>P206 * G206</f>
        <v>0</v>
      </c>
      <c r="R206">
        <v>0</v>
      </c>
      <c r="S206" s="2">
        <f>R206 * G206</f>
        <v>0</v>
      </c>
      <c r="T206" s="2">
        <f>(H206 + J206) - (L206 + N206) - R206</f>
        <v>0</v>
      </c>
      <c r="U206" s="2">
        <f>T206 * G206</f>
        <v>0</v>
      </c>
      <c r="V206" s="2">
        <f>I206 + K206 - S206</f>
        <v>0</v>
      </c>
      <c r="W206" s="2">
        <f>M206 - V206</f>
        <v>0</v>
      </c>
      <c r="X206" s="2">
        <f>IFERROR(W206 / M206 * 100, 0)</f>
        <v>0</v>
      </c>
    </row>
    <row r="207" spans="1:24">
      <c r="A207" t="s">
        <v>227</v>
      </c>
      <c r="B207" t="s">
        <v>512</v>
      </c>
      <c r="C207" t="s">
        <v>720</v>
      </c>
      <c r="D207" t="s">
        <v>1007</v>
      </c>
      <c r="E207" t="s">
        <v>1009</v>
      </c>
      <c r="F207" t="s">
        <v>1215</v>
      </c>
      <c r="G207">
        <v>2.6</v>
      </c>
      <c r="H207">
        <v>27.1</v>
      </c>
      <c r="I207">
        <v>73.64</v>
      </c>
      <c r="J207">
        <v>133</v>
      </c>
      <c r="K207">
        <v>303.25</v>
      </c>
      <c r="L207">
        <v>100.61</v>
      </c>
      <c r="M207">
        <v>452.73</v>
      </c>
      <c r="N207">
        <v>12</v>
      </c>
      <c r="O207">
        <v>29.88</v>
      </c>
      <c r="P207" s="2">
        <f>(H207 + J207) - (L207 + N207)</f>
        <v>0</v>
      </c>
      <c r="Q207" s="2">
        <f>P207 * G207</f>
        <v>0</v>
      </c>
      <c r="R207">
        <v>20.6</v>
      </c>
      <c r="S207" s="2">
        <f>R207 * G207</f>
        <v>0</v>
      </c>
      <c r="T207" s="2">
        <f>(H207 + J207) - (L207 + N207) - R207</f>
        <v>0</v>
      </c>
      <c r="U207" s="2">
        <f>T207 * G207</f>
        <v>0</v>
      </c>
      <c r="V207" s="2">
        <f>I207 + K207 - S207</f>
        <v>0</v>
      </c>
      <c r="W207" s="2">
        <f>M207 - V207</f>
        <v>0</v>
      </c>
      <c r="X207" s="2">
        <f>IFERROR(W207 / M207 * 100, 0)</f>
        <v>0</v>
      </c>
    </row>
    <row r="208" spans="1:24">
      <c r="A208" t="s">
        <v>228</v>
      </c>
      <c r="B208" t="s">
        <v>512</v>
      </c>
      <c r="C208" t="s">
        <v>721</v>
      </c>
      <c r="D208" t="s">
        <v>1007</v>
      </c>
      <c r="E208" t="s">
        <v>1009</v>
      </c>
      <c r="F208" t="s">
        <v>1216</v>
      </c>
      <c r="G208">
        <v>4.41</v>
      </c>
      <c r="H208">
        <v>0</v>
      </c>
      <c r="I208">
        <v>0</v>
      </c>
      <c r="J208">
        <v>1752.5</v>
      </c>
      <c r="K208">
        <v>7556.48</v>
      </c>
      <c r="L208">
        <v>1476.25</v>
      </c>
      <c r="M208">
        <v>7078.6</v>
      </c>
      <c r="N208">
        <v>5</v>
      </c>
      <c r="O208">
        <v>22.06</v>
      </c>
      <c r="P208" s="2">
        <f>(H208 + J208) - (L208 + N208)</f>
        <v>0</v>
      </c>
      <c r="Q208" s="2">
        <f>P208 * G208</f>
        <v>0</v>
      </c>
      <c r="R208">
        <v>274.1</v>
      </c>
      <c r="S208" s="2">
        <f>R208 * G208</f>
        <v>0</v>
      </c>
      <c r="T208" s="2">
        <f>(H208 + J208) - (L208 + N208) - R208</f>
        <v>0</v>
      </c>
      <c r="U208" s="2">
        <f>T208 * G208</f>
        <v>0</v>
      </c>
      <c r="V208" s="2">
        <f>I208 + K208 - S208</f>
        <v>0</v>
      </c>
      <c r="W208" s="2">
        <f>M208 - V208</f>
        <v>0</v>
      </c>
      <c r="X208" s="2">
        <f>IFERROR(W208 / M208 * 100, 0)</f>
        <v>0</v>
      </c>
    </row>
    <row r="209" spans="1:24">
      <c r="A209" t="s">
        <v>229</v>
      </c>
      <c r="B209" t="s">
        <v>512</v>
      </c>
      <c r="C209" t="s">
        <v>722</v>
      </c>
      <c r="D209" t="s">
        <v>1008</v>
      </c>
      <c r="E209" t="s">
        <v>1009</v>
      </c>
      <c r="F209" t="s">
        <v>1217</v>
      </c>
      <c r="G209">
        <v>3.5</v>
      </c>
      <c r="H209">
        <v>0</v>
      </c>
      <c r="I209">
        <v>0</v>
      </c>
      <c r="J209">
        <v>10</v>
      </c>
      <c r="K209">
        <v>35</v>
      </c>
      <c r="L209">
        <v>9</v>
      </c>
      <c r="M209">
        <v>45</v>
      </c>
      <c r="N209">
        <v>0</v>
      </c>
      <c r="O209">
        <v>0</v>
      </c>
      <c r="P209" s="2">
        <f>(H209 + J209) - (L209 + N209)</f>
        <v>0</v>
      </c>
      <c r="Q209" s="2">
        <f>P209 * G209</f>
        <v>0</v>
      </c>
      <c r="R209">
        <v>0</v>
      </c>
      <c r="S209" s="2">
        <f>R209 * G209</f>
        <v>0</v>
      </c>
      <c r="T209" s="2">
        <f>(H209 + J209) - (L209 + N209) - R209</f>
        <v>0</v>
      </c>
      <c r="U209" s="2">
        <f>T209 * G209</f>
        <v>0</v>
      </c>
      <c r="V209" s="2">
        <f>I209 + K209 - S209</f>
        <v>0</v>
      </c>
      <c r="W209" s="2">
        <f>M209 - V209</f>
        <v>0</v>
      </c>
      <c r="X209" s="2">
        <f>IFERROR(W209 / M209 * 100, 0)</f>
        <v>0</v>
      </c>
    </row>
    <row r="210" spans="1:24">
      <c r="A210" t="s">
        <v>230</v>
      </c>
      <c r="B210" t="s">
        <v>512</v>
      </c>
      <c r="C210" t="s">
        <v>723</v>
      </c>
      <c r="D210" t="s">
        <v>1007</v>
      </c>
      <c r="E210" t="s">
        <v>1009</v>
      </c>
      <c r="F210" t="s">
        <v>1218</v>
      </c>
      <c r="G210">
        <v>5.25</v>
      </c>
      <c r="H210">
        <v>0</v>
      </c>
      <c r="I210">
        <v>0</v>
      </c>
      <c r="J210">
        <v>28</v>
      </c>
      <c r="K210">
        <v>147</v>
      </c>
      <c r="L210">
        <v>25.44</v>
      </c>
      <c r="M210">
        <v>190.76</v>
      </c>
      <c r="N210">
        <v>0</v>
      </c>
      <c r="O210">
        <v>0</v>
      </c>
      <c r="P210" s="2">
        <f>(H210 + J210) - (L210 + N210)</f>
        <v>0</v>
      </c>
      <c r="Q210" s="2">
        <f>P210 * G210</f>
        <v>0</v>
      </c>
      <c r="R210">
        <v>3</v>
      </c>
      <c r="S210" s="2">
        <f>R210 * G210</f>
        <v>0</v>
      </c>
      <c r="T210" s="2">
        <f>(H210 + J210) - (L210 + N210) - R210</f>
        <v>0</v>
      </c>
      <c r="U210" s="2">
        <f>T210 * G210</f>
        <v>0</v>
      </c>
      <c r="V210" s="2">
        <f>I210 + K210 - S210</f>
        <v>0</v>
      </c>
      <c r="W210" s="2">
        <f>M210 - V210</f>
        <v>0</v>
      </c>
      <c r="X210" s="2">
        <f>IFERROR(W210 / M210 * 100, 0)</f>
        <v>0</v>
      </c>
    </row>
    <row r="211" spans="1:24">
      <c r="A211" t="s">
        <v>231</v>
      </c>
      <c r="B211" t="s">
        <v>512</v>
      </c>
      <c r="C211" t="s">
        <v>724</v>
      </c>
      <c r="D211" t="s">
        <v>1007</v>
      </c>
      <c r="E211" t="s">
        <v>1009</v>
      </c>
      <c r="F211" t="s">
        <v>1219</v>
      </c>
      <c r="G211">
        <v>3.25</v>
      </c>
      <c r="H211">
        <v>0</v>
      </c>
      <c r="I211">
        <v>0</v>
      </c>
      <c r="J211">
        <v>5.5</v>
      </c>
      <c r="K211">
        <v>17.88</v>
      </c>
      <c r="L211">
        <v>0</v>
      </c>
      <c r="M211">
        <v>0</v>
      </c>
      <c r="N211">
        <v>0</v>
      </c>
      <c r="O211">
        <v>0</v>
      </c>
      <c r="P211" s="2">
        <f>(H211 + J211) - (L211 + N211)</f>
        <v>0</v>
      </c>
      <c r="Q211" s="2">
        <f>P211 * G211</f>
        <v>0</v>
      </c>
      <c r="R211">
        <v>0</v>
      </c>
      <c r="S211" s="2">
        <f>R211 * G211</f>
        <v>0</v>
      </c>
      <c r="T211" s="2">
        <f>(H211 + J211) - (L211 + N211) - R211</f>
        <v>0</v>
      </c>
      <c r="U211" s="2">
        <f>T211 * G211</f>
        <v>0</v>
      </c>
      <c r="V211" s="2">
        <f>I211 + K211 - S211</f>
        <v>0</v>
      </c>
      <c r="W211" s="2">
        <f>M211 - V211</f>
        <v>0</v>
      </c>
      <c r="X211" s="2">
        <f>IFERROR(W211 / M211 * 100, 0)</f>
        <v>0</v>
      </c>
    </row>
    <row r="212" spans="1:24">
      <c r="A212" t="s">
        <v>232</v>
      </c>
      <c r="B212" t="s">
        <v>512</v>
      </c>
      <c r="C212" t="s">
        <v>725</v>
      </c>
      <c r="D212" t="s">
        <v>1007</v>
      </c>
      <c r="E212" t="s">
        <v>1009</v>
      </c>
      <c r="F212" t="s">
        <v>1220</v>
      </c>
      <c r="G212">
        <v>10</v>
      </c>
      <c r="H212">
        <v>0</v>
      </c>
      <c r="I212">
        <v>0</v>
      </c>
      <c r="J212">
        <v>0</v>
      </c>
      <c r="K212">
        <v>0</v>
      </c>
      <c r="L212">
        <v>0.5600000000000001</v>
      </c>
      <c r="M212">
        <v>7.84</v>
      </c>
      <c r="N212">
        <v>0</v>
      </c>
      <c r="O212">
        <v>0</v>
      </c>
      <c r="P212" s="2">
        <f>(H212 + J212) - (L212 + N212)</f>
        <v>0</v>
      </c>
      <c r="Q212" s="2">
        <f>P212 * G212</f>
        <v>0</v>
      </c>
      <c r="R212">
        <v>0</v>
      </c>
      <c r="S212" s="2">
        <f>R212 * G212</f>
        <v>0</v>
      </c>
      <c r="T212" s="2">
        <f>(H212 + J212) - (L212 + N212) - R212</f>
        <v>0</v>
      </c>
      <c r="U212" s="2">
        <f>T212 * G212</f>
        <v>0</v>
      </c>
      <c r="V212" s="2">
        <f>I212 + K212 - S212</f>
        <v>0</v>
      </c>
      <c r="W212" s="2">
        <f>M212 - V212</f>
        <v>0</v>
      </c>
      <c r="X212" s="2">
        <f>IFERROR(W212 / M212 * 100, 0)</f>
        <v>0</v>
      </c>
    </row>
    <row r="213" spans="1:24">
      <c r="A213" t="s">
        <v>233</v>
      </c>
      <c r="B213" t="s">
        <v>512</v>
      </c>
      <c r="C213" t="s">
        <v>726</v>
      </c>
      <c r="D213" t="s">
        <v>1007</v>
      </c>
      <c r="E213" t="s">
        <v>1009</v>
      </c>
      <c r="F213" t="s">
        <v>1221</v>
      </c>
      <c r="G213">
        <v>2.24</v>
      </c>
      <c r="H213">
        <v>0</v>
      </c>
      <c r="I213">
        <v>0</v>
      </c>
      <c r="J213">
        <v>36.5</v>
      </c>
      <c r="K213">
        <v>83.13</v>
      </c>
      <c r="L213">
        <v>0</v>
      </c>
      <c r="M213">
        <v>0</v>
      </c>
      <c r="N213">
        <v>0</v>
      </c>
      <c r="O213">
        <v>0</v>
      </c>
      <c r="P213" s="2">
        <f>(H213 + J213) - (L213 + N213)</f>
        <v>0</v>
      </c>
      <c r="Q213" s="2">
        <f>P213 * G213</f>
        <v>0</v>
      </c>
      <c r="R213">
        <v>0</v>
      </c>
      <c r="S213" s="2">
        <f>R213 * G213</f>
        <v>0</v>
      </c>
      <c r="T213" s="2">
        <f>(H213 + J213) - (L213 + N213) - R213</f>
        <v>0</v>
      </c>
      <c r="U213" s="2">
        <f>T213 * G213</f>
        <v>0</v>
      </c>
      <c r="V213" s="2">
        <f>I213 + K213 - S213</f>
        <v>0</v>
      </c>
      <c r="W213" s="2">
        <f>M213 - V213</f>
        <v>0</v>
      </c>
      <c r="X213" s="2">
        <f>IFERROR(W213 / M213 * 100, 0)</f>
        <v>0</v>
      </c>
    </row>
    <row r="214" spans="1:24">
      <c r="A214" t="s">
        <v>234</v>
      </c>
      <c r="B214" t="s">
        <v>512</v>
      </c>
      <c r="C214" t="s">
        <v>727</v>
      </c>
      <c r="D214" t="s">
        <v>1007</v>
      </c>
      <c r="E214" t="s">
        <v>1009</v>
      </c>
      <c r="F214" t="s">
        <v>1222</v>
      </c>
      <c r="G214">
        <v>7.2</v>
      </c>
      <c r="H214">
        <v>0</v>
      </c>
      <c r="I214">
        <v>0</v>
      </c>
      <c r="J214">
        <v>905.02</v>
      </c>
      <c r="K214">
        <v>6294.5</v>
      </c>
      <c r="L214">
        <v>245.78</v>
      </c>
      <c r="M214">
        <v>2581.09</v>
      </c>
      <c r="N214">
        <v>21</v>
      </c>
      <c r="O214">
        <v>151.11</v>
      </c>
      <c r="P214" s="2">
        <f>(H214 + J214) - (L214 + N214)</f>
        <v>0</v>
      </c>
      <c r="Q214" s="2">
        <f>P214 * G214</f>
        <v>0</v>
      </c>
      <c r="R214">
        <v>246.2</v>
      </c>
      <c r="S214" s="2">
        <f>R214 * G214</f>
        <v>0</v>
      </c>
      <c r="T214" s="2">
        <f>(H214 + J214) - (L214 + N214) - R214</f>
        <v>0</v>
      </c>
      <c r="U214" s="2">
        <f>T214 * G214</f>
        <v>0</v>
      </c>
      <c r="V214" s="2">
        <f>I214 + K214 - S214</f>
        <v>0</v>
      </c>
      <c r="W214" s="2">
        <f>M214 - V214</f>
        <v>0</v>
      </c>
      <c r="X214" s="2">
        <f>IFERROR(W214 / M214 * 100, 0)</f>
        <v>0</v>
      </c>
    </row>
    <row r="215" spans="1:24">
      <c r="A215" t="s">
        <v>235</v>
      </c>
      <c r="B215" t="s">
        <v>513</v>
      </c>
      <c r="C215" t="s">
        <v>728</v>
      </c>
      <c r="D215" t="s">
        <v>1007</v>
      </c>
      <c r="E215" t="s">
        <v>1009</v>
      </c>
      <c r="F215" t="s">
        <v>1223</v>
      </c>
      <c r="G215">
        <v>11</v>
      </c>
      <c r="H215">
        <v>0</v>
      </c>
      <c r="I215">
        <v>0</v>
      </c>
      <c r="J215">
        <v>0</v>
      </c>
      <c r="K215">
        <v>0</v>
      </c>
      <c r="L215">
        <v>2.84</v>
      </c>
      <c r="M215">
        <v>7.1</v>
      </c>
      <c r="N215">
        <v>0</v>
      </c>
      <c r="O215">
        <v>0</v>
      </c>
      <c r="P215" s="2">
        <f>(H215 + J215) - (L215 + N215)</f>
        <v>0</v>
      </c>
      <c r="Q215" s="2">
        <f>P215 * G215</f>
        <v>0</v>
      </c>
      <c r="R215">
        <v>0</v>
      </c>
      <c r="S215" s="2">
        <f>R215 * G215</f>
        <v>0</v>
      </c>
      <c r="T215" s="2">
        <f>(H215 + J215) - (L215 + N215) - R215</f>
        <v>0</v>
      </c>
      <c r="U215" s="2">
        <f>T215 * G215</f>
        <v>0</v>
      </c>
      <c r="V215" s="2">
        <f>I215 + K215 - S215</f>
        <v>0</v>
      </c>
      <c r="W215" s="2">
        <f>M215 - V215</f>
        <v>0</v>
      </c>
      <c r="X215" s="2">
        <f>IFERROR(W215 / M215 * 100, 0)</f>
        <v>0</v>
      </c>
    </row>
    <row r="216" spans="1:24">
      <c r="A216" t="s">
        <v>236</v>
      </c>
      <c r="B216" t="s">
        <v>512</v>
      </c>
      <c r="C216" t="s">
        <v>729</v>
      </c>
      <c r="D216" t="s">
        <v>1007</v>
      </c>
      <c r="E216" t="s">
        <v>1009</v>
      </c>
      <c r="F216" t="s">
        <v>1224</v>
      </c>
      <c r="G216">
        <v>29</v>
      </c>
      <c r="H216">
        <v>0</v>
      </c>
      <c r="I216">
        <v>0</v>
      </c>
      <c r="J216">
        <v>27.3</v>
      </c>
      <c r="K216">
        <v>791.7</v>
      </c>
      <c r="L216">
        <v>26.8</v>
      </c>
      <c r="M216">
        <v>937.9299999999999</v>
      </c>
      <c r="N216">
        <v>0</v>
      </c>
      <c r="O216">
        <v>0</v>
      </c>
      <c r="P216" s="2">
        <f>(H216 + J216) - (L216 + N216)</f>
        <v>0</v>
      </c>
      <c r="Q216" s="2">
        <f>P216 * G216</f>
        <v>0</v>
      </c>
      <c r="R216">
        <v>0</v>
      </c>
      <c r="S216" s="2">
        <f>R216 * G216</f>
        <v>0</v>
      </c>
      <c r="T216" s="2">
        <f>(H216 + J216) - (L216 + N216) - R216</f>
        <v>0</v>
      </c>
      <c r="U216" s="2">
        <f>T216 * G216</f>
        <v>0</v>
      </c>
      <c r="V216" s="2">
        <f>I216 + K216 - S216</f>
        <v>0</v>
      </c>
      <c r="W216" s="2">
        <f>M216 - V216</f>
        <v>0</v>
      </c>
      <c r="X216" s="2">
        <f>IFERROR(W216 / M216 * 100, 0)</f>
        <v>0</v>
      </c>
    </row>
    <row r="217" spans="1:24">
      <c r="A217" t="s">
        <v>237</v>
      </c>
      <c r="B217" t="s">
        <v>512</v>
      </c>
      <c r="C217" t="s">
        <v>730</v>
      </c>
      <c r="D217" t="s">
        <v>1008</v>
      </c>
      <c r="E217" t="s">
        <v>1009</v>
      </c>
      <c r="F217" t="s">
        <v>1225</v>
      </c>
      <c r="G217">
        <v>5.52</v>
      </c>
      <c r="H217">
        <v>11</v>
      </c>
      <c r="I217">
        <v>65.23</v>
      </c>
      <c r="J217">
        <v>60</v>
      </c>
      <c r="K217">
        <v>334.2</v>
      </c>
      <c r="L217">
        <v>68</v>
      </c>
      <c r="M217">
        <v>544</v>
      </c>
      <c r="N217">
        <v>0</v>
      </c>
      <c r="O217">
        <v>0</v>
      </c>
      <c r="P217" s="2">
        <f>(H217 + J217) - (L217 + N217)</f>
        <v>0</v>
      </c>
      <c r="Q217" s="2">
        <f>P217 * G217</f>
        <v>0</v>
      </c>
      <c r="R217">
        <v>0</v>
      </c>
      <c r="S217" s="2">
        <f>R217 * G217</f>
        <v>0</v>
      </c>
      <c r="T217" s="2">
        <f>(H217 + J217) - (L217 + N217) - R217</f>
        <v>0</v>
      </c>
      <c r="U217" s="2">
        <f>T217 * G217</f>
        <v>0</v>
      </c>
      <c r="V217" s="2">
        <f>I217 + K217 - S217</f>
        <v>0</v>
      </c>
      <c r="W217" s="2">
        <f>M217 - V217</f>
        <v>0</v>
      </c>
      <c r="X217" s="2">
        <f>IFERROR(W217 / M217 * 100, 0)</f>
        <v>0</v>
      </c>
    </row>
    <row r="218" spans="1:24">
      <c r="A218" t="s">
        <v>238</v>
      </c>
      <c r="B218" t="s">
        <v>512</v>
      </c>
      <c r="C218" t="s">
        <v>731</v>
      </c>
      <c r="D218" t="s">
        <v>1007</v>
      </c>
      <c r="E218" t="s">
        <v>1009</v>
      </c>
      <c r="F218" t="s">
        <v>1226</v>
      </c>
      <c r="G218">
        <v>10</v>
      </c>
      <c r="H218">
        <v>0</v>
      </c>
      <c r="I218">
        <v>0</v>
      </c>
      <c r="J218">
        <v>0</v>
      </c>
      <c r="K218">
        <v>0</v>
      </c>
      <c r="L218">
        <v>36.54</v>
      </c>
      <c r="M218">
        <v>475.1</v>
      </c>
      <c r="N218">
        <v>0</v>
      </c>
      <c r="O218">
        <v>0</v>
      </c>
      <c r="P218" s="2">
        <f>(H218 + J218) - (L218 + N218)</f>
        <v>0</v>
      </c>
      <c r="Q218" s="2">
        <f>P218 * G218</f>
        <v>0</v>
      </c>
      <c r="R218">
        <v>0</v>
      </c>
      <c r="S218" s="2">
        <f>R218 * G218</f>
        <v>0</v>
      </c>
      <c r="T218" s="2">
        <f>(H218 + J218) - (L218 + N218) - R218</f>
        <v>0</v>
      </c>
      <c r="U218" s="2">
        <f>T218 * G218</f>
        <v>0</v>
      </c>
      <c r="V218" s="2">
        <f>I218 + K218 - S218</f>
        <v>0</v>
      </c>
      <c r="W218" s="2">
        <f>M218 - V218</f>
        <v>0</v>
      </c>
      <c r="X218" s="2">
        <f>IFERROR(W218 / M218 * 100, 0)</f>
        <v>0</v>
      </c>
    </row>
    <row r="219" spans="1:24">
      <c r="A219" t="s">
        <v>239</v>
      </c>
      <c r="B219" t="s">
        <v>512</v>
      </c>
      <c r="C219" t="s">
        <v>732</v>
      </c>
      <c r="D219" t="s">
        <v>1007</v>
      </c>
      <c r="E219" t="s">
        <v>1009</v>
      </c>
      <c r="F219" t="s">
        <v>1227</v>
      </c>
      <c r="G219">
        <v>5.5</v>
      </c>
      <c r="H219">
        <v>0</v>
      </c>
      <c r="I219">
        <v>0</v>
      </c>
      <c r="J219">
        <v>213</v>
      </c>
      <c r="K219">
        <v>1171.5</v>
      </c>
      <c r="L219">
        <v>219.9</v>
      </c>
      <c r="M219">
        <v>1649.38</v>
      </c>
      <c r="N219">
        <v>0</v>
      </c>
      <c r="O219">
        <v>0</v>
      </c>
      <c r="P219" s="2">
        <f>(H219 + J219) - (L219 + N219)</f>
        <v>0</v>
      </c>
      <c r="Q219" s="2">
        <f>P219 * G219</f>
        <v>0</v>
      </c>
      <c r="R219">
        <v>0</v>
      </c>
      <c r="S219" s="2">
        <f>R219 * G219</f>
        <v>0</v>
      </c>
      <c r="T219" s="2">
        <f>(H219 + J219) - (L219 + N219) - R219</f>
        <v>0</v>
      </c>
      <c r="U219" s="2">
        <f>T219 * G219</f>
        <v>0</v>
      </c>
      <c r="V219" s="2">
        <f>I219 + K219 - S219</f>
        <v>0</v>
      </c>
      <c r="W219" s="2">
        <f>M219 - V219</f>
        <v>0</v>
      </c>
      <c r="X219" s="2">
        <f>IFERROR(W219 / M219 * 100, 0)</f>
        <v>0</v>
      </c>
    </row>
    <row r="220" spans="1:24">
      <c r="A220" t="s">
        <v>240</v>
      </c>
      <c r="B220" t="s">
        <v>512</v>
      </c>
      <c r="C220" t="s">
        <v>733</v>
      </c>
      <c r="D220" t="s">
        <v>1007</v>
      </c>
      <c r="E220" t="s">
        <v>1009</v>
      </c>
      <c r="F220" t="s">
        <v>1228</v>
      </c>
      <c r="G220">
        <v>11.5</v>
      </c>
      <c r="H220">
        <v>51.6</v>
      </c>
      <c r="I220">
        <v>591.03</v>
      </c>
      <c r="J220">
        <v>163</v>
      </c>
      <c r="K220">
        <v>1897.75</v>
      </c>
      <c r="L220">
        <v>118.63</v>
      </c>
      <c r="M220">
        <v>1631.36</v>
      </c>
      <c r="N220">
        <v>82</v>
      </c>
      <c r="O220">
        <v>953.98</v>
      </c>
      <c r="P220" s="2">
        <f>(H220 + J220) - (L220 + N220)</f>
        <v>0</v>
      </c>
      <c r="Q220" s="2">
        <f>P220 * G220</f>
        <v>0</v>
      </c>
      <c r="R220">
        <v>16.2</v>
      </c>
      <c r="S220" s="2">
        <f>R220 * G220</f>
        <v>0</v>
      </c>
      <c r="T220" s="2">
        <f>(H220 + J220) - (L220 + N220) - R220</f>
        <v>0</v>
      </c>
      <c r="U220" s="2">
        <f>T220 * G220</f>
        <v>0</v>
      </c>
      <c r="V220" s="2">
        <f>I220 + K220 - S220</f>
        <v>0</v>
      </c>
      <c r="W220" s="2">
        <f>M220 - V220</f>
        <v>0</v>
      </c>
      <c r="X220" s="2">
        <f>IFERROR(W220 / M220 * 100, 0)</f>
        <v>0</v>
      </c>
    </row>
    <row r="221" spans="1:24">
      <c r="A221" t="s">
        <v>241</v>
      </c>
      <c r="B221" t="s">
        <v>512</v>
      </c>
      <c r="C221" t="s">
        <v>734</v>
      </c>
      <c r="D221" t="s">
        <v>1007</v>
      </c>
      <c r="E221" t="s">
        <v>1009</v>
      </c>
      <c r="F221" t="s">
        <v>1229</v>
      </c>
      <c r="G221">
        <v>8.75</v>
      </c>
      <c r="H221">
        <v>21.7</v>
      </c>
      <c r="I221">
        <v>208.19</v>
      </c>
      <c r="J221">
        <v>0</v>
      </c>
      <c r="K221">
        <v>0</v>
      </c>
      <c r="L221">
        <v>109.13</v>
      </c>
      <c r="M221">
        <v>1637.5</v>
      </c>
      <c r="N221">
        <v>3</v>
      </c>
      <c r="O221">
        <v>28.78</v>
      </c>
      <c r="P221" s="2">
        <f>(H221 + J221) - (L221 + N221)</f>
        <v>0</v>
      </c>
      <c r="Q221" s="2">
        <f>P221 * G221</f>
        <v>0</v>
      </c>
      <c r="R221">
        <v>0</v>
      </c>
      <c r="S221" s="2">
        <f>R221 * G221</f>
        <v>0</v>
      </c>
      <c r="T221" s="2">
        <f>(H221 + J221) - (L221 + N221) - R221</f>
        <v>0</v>
      </c>
      <c r="U221" s="2">
        <f>T221 * G221</f>
        <v>0</v>
      </c>
      <c r="V221" s="2">
        <f>I221 + K221 - S221</f>
        <v>0</v>
      </c>
      <c r="W221" s="2">
        <f>M221 - V221</f>
        <v>0</v>
      </c>
      <c r="X221" s="2">
        <f>IFERROR(W221 / M221 * 100, 0)</f>
        <v>0</v>
      </c>
    </row>
    <row r="222" spans="1:24">
      <c r="A222" t="s">
        <v>242</v>
      </c>
      <c r="B222" t="s">
        <v>512</v>
      </c>
      <c r="C222" t="s">
        <v>735</v>
      </c>
      <c r="D222" t="s">
        <v>1007</v>
      </c>
      <c r="E222" t="s">
        <v>1009</v>
      </c>
      <c r="F222" t="s">
        <v>1230</v>
      </c>
      <c r="G222">
        <v>7</v>
      </c>
      <c r="H222">
        <v>0</v>
      </c>
      <c r="I222">
        <v>0</v>
      </c>
      <c r="J222">
        <v>0</v>
      </c>
      <c r="K222">
        <v>0</v>
      </c>
      <c r="L222">
        <v>1.42</v>
      </c>
      <c r="M222">
        <v>14.16</v>
      </c>
      <c r="N222">
        <v>0</v>
      </c>
      <c r="O222">
        <v>0</v>
      </c>
      <c r="P222" s="2">
        <f>(H222 + J222) - (L222 + N222)</f>
        <v>0</v>
      </c>
      <c r="Q222" s="2">
        <f>P222 * G222</f>
        <v>0</v>
      </c>
      <c r="R222">
        <v>0</v>
      </c>
      <c r="S222" s="2">
        <f>R222 * G222</f>
        <v>0</v>
      </c>
      <c r="T222" s="2">
        <f>(H222 + J222) - (L222 + N222) - R222</f>
        <v>0</v>
      </c>
      <c r="U222" s="2">
        <f>T222 * G222</f>
        <v>0</v>
      </c>
      <c r="V222" s="2">
        <f>I222 + K222 - S222</f>
        <v>0</v>
      </c>
      <c r="W222" s="2">
        <f>M222 - V222</f>
        <v>0</v>
      </c>
      <c r="X222" s="2">
        <f>IFERROR(W222 / M222 * 100, 0)</f>
        <v>0</v>
      </c>
    </row>
    <row r="223" spans="1:24">
      <c r="A223" t="s">
        <v>243</v>
      </c>
      <c r="B223" t="s">
        <v>512</v>
      </c>
      <c r="C223" t="s">
        <v>736</v>
      </c>
      <c r="D223" t="s">
        <v>1007</v>
      </c>
      <c r="E223" t="s">
        <v>1009</v>
      </c>
      <c r="F223" t="s">
        <v>1231</v>
      </c>
      <c r="G223">
        <v>3.67</v>
      </c>
      <c r="H223">
        <v>25.3</v>
      </c>
      <c r="I223">
        <v>92.83</v>
      </c>
      <c r="J223">
        <v>0</v>
      </c>
      <c r="K223">
        <v>0</v>
      </c>
      <c r="L223">
        <v>16.25</v>
      </c>
      <c r="M223">
        <v>58.71</v>
      </c>
      <c r="N223">
        <v>0</v>
      </c>
      <c r="O223">
        <v>0</v>
      </c>
      <c r="P223" s="2">
        <f>(H223 + J223) - (L223 + N223)</f>
        <v>0</v>
      </c>
      <c r="Q223" s="2">
        <f>P223 * G223</f>
        <v>0</v>
      </c>
      <c r="R223">
        <v>0</v>
      </c>
      <c r="S223" s="2">
        <f>R223 * G223</f>
        <v>0</v>
      </c>
      <c r="T223" s="2">
        <f>(H223 + J223) - (L223 + N223) - R223</f>
        <v>0</v>
      </c>
      <c r="U223" s="2">
        <f>T223 * G223</f>
        <v>0</v>
      </c>
      <c r="V223" s="2">
        <f>I223 + K223 - S223</f>
        <v>0</v>
      </c>
      <c r="W223" s="2">
        <f>M223 - V223</f>
        <v>0</v>
      </c>
      <c r="X223" s="2">
        <f>IFERROR(W223 / M223 * 100, 0)</f>
        <v>0</v>
      </c>
    </row>
    <row r="224" spans="1:24">
      <c r="A224" t="s">
        <v>244</v>
      </c>
      <c r="B224" t="s">
        <v>512</v>
      </c>
      <c r="C224" t="s">
        <v>737</v>
      </c>
      <c r="D224" t="s">
        <v>1008</v>
      </c>
      <c r="E224" t="s">
        <v>1009</v>
      </c>
      <c r="F224" t="s">
        <v>1232</v>
      </c>
      <c r="G224">
        <v>5</v>
      </c>
      <c r="H224">
        <v>3</v>
      </c>
      <c r="I224">
        <v>15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s="2">
        <f>(H224 + J224) - (L224 + N224)</f>
        <v>0</v>
      </c>
      <c r="Q224" s="2">
        <f>P224 * G224</f>
        <v>0</v>
      </c>
      <c r="R224">
        <v>0</v>
      </c>
      <c r="S224" s="2">
        <f>R224 * G224</f>
        <v>0</v>
      </c>
      <c r="T224" s="2">
        <f>(H224 + J224) - (L224 + N224) - R224</f>
        <v>0</v>
      </c>
      <c r="U224" s="2">
        <f>T224 * G224</f>
        <v>0</v>
      </c>
      <c r="V224" s="2">
        <f>I224 + K224 - S224</f>
        <v>0</v>
      </c>
      <c r="W224" s="2">
        <f>M224 - V224</f>
        <v>0</v>
      </c>
      <c r="X224" s="2">
        <f>IFERROR(W224 / M224 * 100, 0)</f>
        <v>0</v>
      </c>
    </row>
    <row r="225" spans="1:24">
      <c r="A225" t="s">
        <v>245</v>
      </c>
      <c r="B225" t="s">
        <v>512</v>
      </c>
      <c r="C225" t="s">
        <v>738</v>
      </c>
      <c r="D225" t="s">
        <v>1007</v>
      </c>
      <c r="E225" t="s">
        <v>1009</v>
      </c>
      <c r="F225" t="s">
        <v>1233</v>
      </c>
      <c r="G225">
        <v>2.35</v>
      </c>
      <c r="H225">
        <v>0</v>
      </c>
      <c r="I225">
        <v>0</v>
      </c>
      <c r="J225">
        <v>0</v>
      </c>
      <c r="K225">
        <v>0</v>
      </c>
      <c r="L225">
        <v>1.36</v>
      </c>
      <c r="M225">
        <v>3.4</v>
      </c>
      <c r="N225">
        <v>0</v>
      </c>
      <c r="O225">
        <v>0</v>
      </c>
      <c r="P225" s="2">
        <f>(H225 + J225) - (L225 + N225)</f>
        <v>0</v>
      </c>
      <c r="Q225" s="2">
        <f>P225 * G225</f>
        <v>0</v>
      </c>
      <c r="R225">
        <v>0</v>
      </c>
      <c r="S225" s="2">
        <f>R225 * G225</f>
        <v>0</v>
      </c>
      <c r="T225" s="2">
        <f>(H225 + J225) - (L225 + N225) - R225</f>
        <v>0</v>
      </c>
      <c r="U225" s="2">
        <f>T225 * G225</f>
        <v>0</v>
      </c>
      <c r="V225" s="2">
        <f>I225 + K225 - S225</f>
        <v>0</v>
      </c>
      <c r="W225" s="2">
        <f>M225 - V225</f>
        <v>0</v>
      </c>
      <c r="X225" s="2">
        <f>IFERROR(W225 / M225 * 100, 0)</f>
        <v>0</v>
      </c>
    </row>
    <row r="226" spans="1:24">
      <c r="A226" t="s">
        <v>246</v>
      </c>
      <c r="B226" t="s">
        <v>512</v>
      </c>
      <c r="C226" t="s">
        <v>739</v>
      </c>
      <c r="D226" t="s">
        <v>1007</v>
      </c>
      <c r="E226" t="s">
        <v>1009</v>
      </c>
      <c r="F226" t="s">
        <v>1234</v>
      </c>
      <c r="G226">
        <v>3.75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2.5</v>
      </c>
      <c r="N226">
        <v>0</v>
      </c>
      <c r="O226">
        <v>0</v>
      </c>
      <c r="P226" s="2">
        <f>(H226 + J226) - (L226 + N226)</f>
        <v>0</v>
      </c>
      <c r="Q226" s="2">
        <f>P226 * G226</f>
        <v>0</v>
      </c>
      <c r="R226">
        <v>0</v>
      </c>
      <c r="S226" s="2">
        <f>R226 * G226</f>
        <v>0</v>
      </c>
      <c r="T226" s="2">
        <f>(H226 + J226) - (L226 + N226) - R226</f>
        <v>0</v>
      </c>
      <c r="U226" s="2">
        <f>T226 * G226</f>
        <v>0</v>
      </c>
      <c r="V226" s="2">
        <f>I226 + K226 - S226</f>
        <v>0</v>
      </c>
      <c r="W226" s="2">
        <f>M226 - V226</f>
        <v>0</v>
      </c>
      <c r="X226" s="2">
        <f>IFERROR(W226 / M226 * 100, 0)</f>
        <v>0</v>
      </c>
    </row>
    <row r="227" spans="1:24">
      <c r="A227" t="s">
        <v>247</v>
      </c>
      <c r="B227" t="s">
        <v>512</v>
      </c>
      <c r="C227" t="s">
        <v>740</v>
      </c>
      <c r="D227" t="s">
        <v>1007</v>
      </c>
      <c r="E227" t="s">
        <v>1009</v>
      </c>
      <c r="F227" t="s">
        <v>1235</v>
      </c>
      <c r="G227">
        <v>5</v>
      </c>
      <c r="H227">
        <v>0</v>
      </c>
      <c r="I227">
        <v>0</v>
      </c>
      <c r="J227">
        <v>0</v>
      </c>
      <c r="K227">
        <v>0</v>
      </c>
      <c r="L227">
        <v>1.77</v>
      </c>
      <c r="M227">
        <v>8.85</v>
      </c>
      <c r="N227">
        <v>0</v>
      </c>
      <c r="O227">
        <v>0</v>
      </c>
      <c r="P227" s="2">
        <f>(H227 + J227) - (L227 + N227)</f>
        <v>0</v>
      </c>
      <c r="Q227" s="2">
        <f>P227 * G227</f>
        <v>0</v>
      </c>
      <c r="R227">
        <v>0</v>
      </c>
      <c r="S227" s="2">
        <f>R227 * G227</f>
        <v>0</v>
      </c>
      <c r="T227" s="2">
        <f>(H227 + J227) - (L227 + N227) - R227</f>
        <v>0</v>
      </c>
      <c r="U227" s="2">
        <f>T227 * G227</f>
        <v>0</v>
      </c>
      <c r="V227" s="2">
        <f>I227 + K227 - S227</f>
        <v>0</v>
      </c>
      <c r="W227" s="2">
        <f>M227 - V227</f>
        <v>0</v>
      </c>
      <c r="X227" s="2">
        <f>IFERROR(W227 / M227 * 100, 0)</f>
        <v>0</v>
      </c>
    </row>
    <row r="228" spans="1:24">
      <c r="A228" t="s">
        <v>248</v>
      </c>
      <c r="B228" t="s">
        <v>512</v>
      </c>
      <c r="C228" t="s">
        <v>741</v>
      </c>
      <c r="D228" t="s">
        <v>1008</v>
      </c>
      <c r="E228" t="s">
        <v>1009</v>
      </c>
      <c r="F228" t="s">
        <v>1236</v>
      </c>
      <c r="G228">
        <v>4.23</v>
      </c>
      <c r="H228">
        <v>4</v>
      </c>
      <c r="I228">
        <v>17.2</v>
      </c>
      <c r="J228">
        <v>6</v>
      </c>
      <c r="K228">
        <v>25.2</v>
      </c>
      <c r="L228">
        <v>2</v>
      </c>
      <c r="M228">
        <v>12</v>
      </c>
      <c r="N228">
        <v>0</v>
      </c>
      <c r="O228">
        <v>0</v>
      </c>
      <c r="P228" s="2">
        <f>(H228 + J228) - (L228 + N228)</f>
        <v>0</v>
      </c>
      <c r="Q228" s="2">
        <f>P228 * G228</f>
        <v>0</v>
      </c>
      <c r="R228">
        <v>4</v>
      </c>
      <c r="S228" s="2">
        <f>R228 * G228</f>
        <v>0</v>
      </c>
      <c r="T228" s="2">
        <f>(H228 + J228) - (L228 + N228) - R228</f>
        <v>0</v>
      </c>
      <c r="U228" s="2">
        <f>T228 * G228</f>
        <v>0</v>
      </c>
      <c r="V228" s="2">
        <f>I228 + K228 - S228</f>
        <v>0</v>
      </c>
      <c r="W228" s="2">
        <f>M228 - V228</f>
        <v>0</v>
      </c>
      <c r="X228" s="2">
        <f>IFERROR(W228 / M228 * 100, 0)</f>
        <v>0</v>
      </c>
    </row>
    <row r="229" spans="1:24">
      <c r="A229" t="s">
        <v>249</v>
      </c>
      <c r="B229" t="s">
        <v>512</v>
      </c>
      <c r="C229" t="s">
        <v>742</v>
      </c>
      <c r="D229" t="s">
        <v>1008</v>
      </c>
      <c r="E229" t="s">
        <v>1009</v>
      </c>
      <c r="F229" t="s">
        <v>1237</v>
      </c>
      <c r="G229">
        <v>2.25</v>
      </c>
      <c r="H229">
        <v>0</v>
      </c>
      <c r="I229">
        <v>0</v>
      </c>
      <c r="J229">
        <v>0</v>
      </c>
      <c r="K229">
        <v>0</v>
      </c>
      <c r="L229">
        <v>2</v>
      </c>
      <c r="M229">
        <v>22</v>
      </c>
      <c r="N229">
        <v>0</v>
      </c>
      <c r="O229">
        <v>0</v>
      </c>
      <c r="P229" s="2">
        <f>(H229 + J229) - (L229 + N229)</f>
        <v>0</v>
      </c>
      <c r="Q229" s="2">
        <f>P229 * G229</f>
        <v>0</v>
      </c>
      <c r="R229">
        <v>0</v>
      </c>
      <c r="S229" s="2">
        <f>R229 * G229</f>
        <v>0</v>
      </c>
      <c r="T229" s="2">
        <f>(H229 + J229) - (L229 + N229) - R229</f>
        <v>0</v>
      </c>
      <c r="U229" s="2">
        <f>T229 * G229</f>
        <v>0</v>
      </c>
      <c r="V229" s="2">
        <f>I229 + K229 - S229</f>
        <v>0</v>
      </c>
      <c r="W229" s="2">
        <f>M229 - V229</f>
        <v>0</v>
      </c>
      <c r="X229" s="2">
        <f>IFERROR(W229 / M229 * 100, 0)</f>
        <v>0</v>
      </c>
    </row>
    <row r="230" spans="1:24">
      <c r="A230" t="s">
        <v>250</v>
      </c>
      <c r="B230" t="s">
        <v>512</v>
      </c>
      <c r="C230" t="s">
        <v>743</v>
      </c>
      <c r="D230" t="s">
        <v>1007</v>
      </c>
      <c r="E230" t="s">
        <v>1009</v>
      </c>
      <c r="F230" t="s">
        <v>1238</v>
      </c>
      <c r="G230">
        <v>6.5</v>
      </c>
      <c r="H230">
        <v>0</v>
      </c>
      <c r="I230">
        <v>0</v>
      </c>
      <c r="J230">
        <v>0</v>
      </c>
      <c r="K230">
        <v>0</v>
      </c>
      <c r="L230">
        <v>1.4</v>
      </c>
      <c r="M230">
        <v>9.1</v>
      </c>
      <c r="N230">
        <v>0</v>
      </c>
      <c r="O230">
        <v>0</v>
      </c>
      <c r="P230" s="2">
        <f>(H230 + J230) - (L230 + N230)</f>
        <v>0</v>
      </c>
      <c r="Q230" s="2">
        <f>P230 * G230</f>
        <v>0</v>
      </c>
      <c r="R230">
        <v>0</v>
      </c>
      <c r="S230" s="2">
        <f>R230 * G230</f>
        <v>0</v>
      </c>
      <c r="T230" s="2">
        <f>(H230 + J230) - (L230 + N230) - R230</f>
        <v>0</v>
      </c>
      <c r="U230" s="2">
        <f>T230 * G230</f>
        <v>0</v>
      </c>
      <c r="V230" s="2">
        <f>I230 + K230 - S230</f>
        <v>0</v>
      </c>
      <c r="W230" s="2">
        <f>M230 - V230</f>
        <v>0</v>
      </c>
      <c r="X230" s="2">
        <f>IFERROR(W230 / M230 * 100, 0)</f>
        <v>0</v>
      </c>
    </row>
    <row r="231" spans="1:24">
      <c r="A231" t="s">
        <v>251</v>
      </c>
      <c r="B231" t="s">
        <v>512</v>
      </c>
      <c r="C231" t="s">
        <v>744</v>
      </c>
      <c r="D231" t="s">
        <v>1008</v>
      </c>
      <c r="E231" t="s">
        <v>1009</v>
      </c>
      <c r="F231" t="s">
        <v>1239</v>
      </c>
      <c r="G231">
        <v>16.92</v>
      </c>
      <c r="H231">
        <v>2</v>
      </c>
      <c r="I231">
        <v>37.76</v>
      </c>
      <c r="J231">
        <v>5</v>
      </c>
      <c r="K231">
        <v>80.65000000000001</v>
      </c>
      <c r="L231">
        <v>3</v>
      </c>
      <c r="M231">
        <v>57</v>
      </c>
      <c r="N231">
        <v>0</v>
      </c>
      <c r="O231">
        <v>0</v>
      </c>
      <c r="P231" s="2">
        <f>(H231 + J231) - (L231 + N231)</f>
        <v>0</v>
      </c>
      <c r="Q231" s="2">
        <f>P231 * G231</f>
        <v>0</v>
      </c>
      <c r="R231">
        <v>3</v>
      </c>
      <c r="S231" s="2">
        <f>R231 * G231</f>
        <v>0</v>
      </c>
      <c r="T231" s="2">
        <f>(H231 + J231) - (L231 + N231) - R231</f>
        <v>0</v>
      </c>
      <c r="U231" s="2">
        <f>T231 * G231</f>
        <v>0</v>
      </c>
      <c r="V231" s="2">
        <f>I231 + K231 - S231</f>
        <v>0</v>
      </c>
      <c r="W231" s="2">
        <f>M231 - V231</f>
        <v>0</v>
      </c>
      <c r="X231" s="2">
        <f>IFERROR(W231 / M231 * 100, 0)</f>
        <v>0</v>
      </c>
    </row>
    <row r="232" spans="1:24">
      <c r="A232" t="s">
        <v>252</v>
      </c>
      <c r="B232" t="s">
        <v>512</v>
      </c>
      <c r="C232" t="s">
        <v>745</v>
      </c>
      <c r="D232" t="s">
        <v>1008</v>
      </c>
      <c r="E232" t="s">
        <v>1009</v>
      </c>
      <c r="F232" t="s">
        <v>1240</v>
      </c>
      <c r="G232">
        <v>11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4.75</v>
      </c>
      <c r="N232">
        <v>0</v>
      </c>
      <c r="O232">
        <v>0</v>
      </c>
      <c r="P232" s="2">
        <f>(H232 + J232) - (L232 + N232)</f>
        <v>0</v>
      </c>
      <c r="Q232" s="2">
        <f>P232 * G232</f>
        <v>0</v>
      </c>
      <c r="R232">
        <v>0</v>
      </c>
      <c r="S232" s="2">
        <f>R232 * G232</f>
        <v>0</v>
      </c>
      <c r="T232" s="2">
        <f>(H232 + J232) - (L232 + N232) - R232</f>
        <v>0</v>
      </c>
      <c r="U232" s="2">
        <f>T232 * G232</f>
        <v>0</v>
      </c>
      <c r="V232" s="2">
        <f>I232 + K232 - S232</f>
        <v>0</v>
      </c>
      <c r="W232" s="2">
        <f>M232 - V232</f>
        <v>0</v>
      </c>
      <c r="X232" s="2">
        <f>IFERROR(W232 / M232 * 100, 0)</f>
        <v>0</v>
      </c>
    </row>
    <row r="233" spans="1:24">
      <c r="A233" t="s">
        <v>253</v>
      </c>
      <c r="B233" t="s">
        <v>512</v>
      </c>
      <c r="C233" t="s">
        <v>746</v>
      </c>
      <c r="D233" t="s">
        <v>1007</v>
      </c>
      <c r="E233" t="s">
        <v>1009</v>
      </c>
      <c r="F233" t="s">
        <v>1241</v>
      </c>
      <c r="G233">
        <v>6.63</v>
      </c>
      <c r="H233">
        <v>0</v>
      </c>
      <c r="I233">
        <v>0</v>
      </c>
      <c r="J233">
        <v>0</v>
      </c>
      <c r="K233">
        <v>0</v>
      </c>
      <c r="L233">
        <v>5.85</v>
      </c>
      <c r="M233">
        <v>43.85</v>
      </c>
      <c r="N233">
        <v>0</v>
      </c>
      <c r="O233">
        <v>0</v>
      </c>
      <c r="P233" s="2">
        <f>(H233 + J233) - (L233 + N233)</f>
        <v>0</v>
      </c>
      <c r="Q233" s="2">
        <f>P233 * G233</f>
        <v>0</v>
      </c>
      <c r="R233">
        <v>0</v>
      </c>
      <c r="S233" s="2">
        <f>R233 * G233</f>
        <v>0</v>
      </c>
      <c r="T233" s="2">
        <f>(H233 + J233) - (L233 + N233) - R233</f>
        <v>0</v>
      </c>
      <c r="U233" s="2">
        <f>T233 * G233</f>
        <v>0</v>
      </c>
      <c r="V233" s="2">
        <f>I233 + K233 - S233</f>
        <v>0</v>
      </c>
      <c r="W233" s="2">
        <f>M233 - V233</f>
        <v>0</v>
      </c>
      <c r="X233" s="2">
        <f>IFERROR(W233 / M233 * 100, 0)</f>
        <v>0</v>
      </c>
    </row>
    <row r="234" spans="1:24">
      <c r="A234" t="s">
        <v>254</v>
      </c>
      <c r="B234" t="s">
        <v>513</v>
      </c>
      <c r="C234" t="s">
        <v>747</v>
      </c>
      <c r="D234" t="s">
        <v>1007</v>
      </c>
      <c r="E234" t="s">
        <v>1009</v>
      </c>
      <c r="F234" t="s">
        <v>1242</v>
      </c>
      <c r="G234">
        <v>5.5</v>
      </c>
      <c r="H234">
        <v>0</v>
      </c>
      <c r="I234">
        <v>0</v>
      </c>
      <c r="J234">
        <v>0</v>
      </c>
      <c r="K234">
        <v>0</v>
      </c>
      <c r="L234">
        <v>0.86</v>
      </c>
      <c r="M234">
        <v>6.43</v>
      </c>
      <c r="N234">
        <v>0</v>
      </c>
      <c r="O234">
        <v>0</v>
      </c>
      <c r="P234" s="2">
        <f>(H234 + J234) - (L234 + N234)</f>
        <v>0</v>
      </c>
      <c r="Q234" s="2">
        <f>P234 * G234</f>
        <v>0</v>
      </c>
      <c r="R234">
        <v>0</v>
      </c>
      <c r="S234" s="2">
        <f>R234 * G234</f>
        <v>0</v>
      </c>
      <c r="T234" s="2">
        <f>(H234 + J234) - (L234 + N234) - R234</f>
        <v>0</v>
      </c>
      <c r="U234" s="2">
        <f>T234 * G234</f>
        <v>0</v>
      </c>
      <c r="V234" s="2">
        <f>I234 + K234 - S234</f>
        <v>0</v>
      </c>
      <c r="W234" s="2">
        <f>M234 - V234</f>
        <v>0</v>
      </c>
      <c r="X234" s="2">
        <f>IFERROR(W234 / M234 * 100, 0)</f>
        <v>0</v>
      </c>
    </row>
    <row r="235" spans="1:24">
      <c r="A235" t="s">
        <v>255</v>
      </c>
      <c r="B235" t="s">
        <v>512</v>
      </c>
      <c r="C235" t="s">
        <v>748</v>
      </c>
      <c r="D235" t="s">
        <v>1007</v>
      </c>
      <c r="E235" t="s">
        <v>1009</v>
      </c>
      <c r="F235" t="s">
        <v>1243</v>
      </c>
      <c r="G235">
        <v>7.27</v>
      </c>
      <c r="H235">
        <v>62.4</v>
      </c>
      <c r="I235">
        <v>278.88</v>
      </c>
      <c r="J235">
        <v>104</v>
      </c>
      <c r="K235">
        <v>769.75</v>
      </c>
      <c r="L235">
        <v>100.83</v>
      </c>
      <c r="M235">
        <v>957.91</v>
      </c>
      <c r="N235">
        <v>23</v>
      </c>
      <c r="O235">
        <v>162.37</v>
      </c>
      <c r="P235" s="2">
        <f>(H235 + J235) - (L235 + N235)</f>
        <v>0</v>
      </c>
      <c r="Q235" s="2">
        <f>P235 * G235</f>
        <v>0</v>
      </c>
      <c r="R235">
        <v>12.4</v>
      </c>
      <c r="S235" s="2">
        <f>R235 * G235</f>
        <v>0</v>
      </c>
      <c r="T235" s="2">
        <f>(H235 + J235) - (L235 + N235) - R235</f>
        <v>0</v>
      </c>
      <c r="U235" s="2">
        <f>T235 * G235</f>
        <v>0</v>
      </c>
      <c r="V235" s="2">
        <f>I235 + K235 - S235</f>
        <v>0</v>
      </c>
      <c r="W235" s="2">
        <f>M235 - V235</f>
        <v>0</v>
      </c>
      <c r="X235" s="2">
        <f>IFERROR(W235 / M235 * 100, 0)</f>
        <v>0</v>
      </c>
    </row>
    <row r="236" spans="1:24">
      <c r="A236" t="s">
        <v>256</v>
      </c>
      <c r="B236" t="s">
        <v>512</v>
      </c>
      <c r="C236" t="s">
        <v>749</v>
      </c>
      <c r="D236" t="s">
        <v>1008</v>
      </c>
      <c r="E236" t="s">
        <v>1009</v>
      </c>
      <c r="F236" t="s">
        <v>1244</v>
      </c>
      <c r="G236">
        <v>5.6</v>
      </c>
      <c r="H236">
        <v>14</v>
      </c>
      <c r="I236">
        <v>82.98999999999999</v>
      </c>
      <c r="J236">
        <v>17</v>
      </c>
      <c r="K236">
        <v>93.5</v>
      </c>
      <c r="L236">
        <v>2</v>
      </c>
      <c r="M236">
        <v>20</v>
      </c>
      <c r="N236">
        <v>6</v>
      </c>
      <c r="O236">
        <v>35.7</v>
      </c>
      <c r="P236" s="2">
        <f>(H236 + J236) - (L236 + N236)</f>
        <v>0</v>
      </c>
      <c r="Q236" s="2">
        <f>P236 * G236</f>
        <v>0</v>
      </c>
      <c r="R236">
        <v>11</v>
      </c>
      <c r="S236" s="2">
        <f>R236 * G236</f>
        <v>0</v>
      </c>
      <c r="T236" s="2">
        <f>(H236 + J236) - (L236 + N236) - R236</f>
        <v>0</v>
      </c>
      <c r="U236" s="2">
        <f>T236 * G236</f>
        <v>0</v>
      </c>
      <c r="V236" s="2">
        <f>I236 + K236 - S236</f>
        <v>0</v>
      </c>
      <c r="W236" s="2">
        <f>M236 - V236</f>
        <v>0</v>
      </c>
      <c r="X236" s="2">
        <f>IFERROR(W236 / M236 * 100, 0)</f>
        <v>0</v>
      </c>
    </row>
    <row r="237" spans="1:24">
      <c r="A237" t="s">
        <v>257</v>
      </c>
      <c r="B237" t="s">
        <v>512</v>
      </c>
      <c r="C237" t="s">
        <v>750</v>
      </c>
      <c r="D237" t="s">
        <v>1008</v>
      </c>
      <c r="E237" t="s">
        <v>1009</v>
      </c>
      <c r="F237" t="s">
        <v>1245</v>
      </c>
      <c r="G237">
        <v>9.800000000000001</v>
      </c>
      <c r="H237">
        <v>0</v>
      </c>
      <c r="I237">
        <v>0</v>
      </c>
      <c r="J237">
        <v>1</v>
      </c>
      <c r="K237">
        <v>9.800000000000001</v>
      </c>
      <c r="L237">
        <v>0</v>
      </c>
      <c r="M237">
        <v>0</v>
      </c>
      <c r="N237">
        <v>0</v>
      </c>
      <c r="O237">
        <v>0</v>
      </c>
      <c r="P237" s="2">
        <f>(H237 + J237) - (L237 + N237)</f>
        <v>0</v>
      </c>
      <c r="Q237" s="2">
        <f>P237 * G237</f>
        <v>0</v>
      </c>
      <c r="R237">
        <v>0</v>
      </c>
      <c r="S237" s="2">
        <f>R237 * G237</f>
        <v>0</v>
      </c>
      <c r="T237" s="2">
        <f>(H237 + J237) - (L237 + N237) - R237</f>
        <v>0</v>
      </c>
      <c r="U237" s="2">
        <f>T237 * G237</f>
        <v>0</v>
      </c>
      <c r="V237" s="2">
        <f>I237 + K237 - S237</f>
        <v>0</v>
      </c>
      <c r="W237" s="2">
        <f>M237 - V237</f>
        <v>0</v>
      </c>
      <c r="X237" s="2">
        <f>IFERROR(W237 / M237 * 100, 0)</f>
        <v>0</v>
      </c>
    </row>
    <row r="238" spans="1:24">
      <c r="A238" t="s">
        <v>258</v>
      </c>
      <c r="B238" t="s">
        <v>512</v>
      </c>
      <c r="C238" t="s">
        <v>751</v>
      </c>
      <c r="D238" t="s">
        <v>1007</v>
      </c>
      <c r="E238" t="s">
        <v>1009</v>
      </c>
      <c r="F238" t="s">
        <v>1246</v>
      </c>
      <c r="G238">
        <v>10</v>
      </c>
      <c r="H238">
        <v>0</v>
      </c>
      <c r="I238">
        <v>0</v>
      </c>
      <c r="J238">
        <v>0</v>
      </c>
      <c r="K238">
        <v>0</v>
      </c>
      <c r="L238">
        <v>1.95</v>
      </c>
      <c r="M238">
        <v>15.6</v>
      </c>
      <c r="N238">
        <v>0</v>
      </c>
      <c r="O238">
        <v>0</v>
      </c>
      <c r="P238" s="2">
        <f>(H238 + J238) - (L238 + N238)</f>
        <v>0</v>
      </c>
      <c r="Q238" s="2">
        <f>P238 * G238</f>
        <v>0</v>
      </c>
      <c r="R238">
        <v>0</v>
      </c>
      <c r="S238" s="2">
        <f>R238 * G238</f>
        <v>0</v>
      </c>
      <c r="T238" s="2">
        <f>(H238 + J238) - (L238 + N238) - R238</f>
        <v>0</v>
      </c>
      <c r="U238" s="2">
        <f>T238 * G238</f>
        <v>0</v>
      </c>
      <c r="V238" s="2">
        <f>I238 + K238 - S238</f>
        <v>0</v>
      </c>
      <c r="W238" s="2">
        <f>M238 - V238</f>
        <v>0</v>
      </c>
      <c r="X238" s="2">
        <f>IFERROR(W238 / M238 * 100, 0)</f>
        <v>0</v>
      </c>
    </row>
    <row r="239" spans="1:24">
      <c r="A239" t="s">
        <v>259</v>
      </c>
      <c r="B239" t="s">
        <v>512</v>
      </c>
      <c r="C239" t="s">
        <v>752</v>
      </c>
      <c r="D239" t="s">
        <v>1008</v>
      </c>
      <c r="E239" t="s">
        <v>1009</v>
      </c>
      <c r="F239" t="s">
        <v>1247</v>
      </c>
      <c r="G239">
        <v>7.25</v>
      </c>
      <c r="H239">
        <v>0</v>
      </c>
      <c r="I239">
        <v>0</v>
      </c>
      <c r="J239">
        <v>70</v>
      </c>
      <c r="K239">
        <v>502.5</v>
      </c>
      <c r="L239">
        <v>162</v>
      </c>
      <c r="M239">
        <v>1215</v>
      </c>
      <c r="N239">
        <v>0</v>
      </c>
      <c r="O239">
        <v>0</v>
      </c>
      <c r="P239" s="2">
        <f>(H239 + J239) - (L239 + N239)</f>
        <v>0</v>
      </c>
      <c r="Q239" s="2">
        <f>P239 * G239</f>
        <v>0</v>
      </c>
      <c r="R239">
        <v>0</v>
      </c>
      <c r="S239" s="2">
        <f>R239 * G239</f>
        <v>0</v>
      </c>
      <c r="T239" s="2">
        <f>(H239 + J239) - (L239 + N239) - R239</f>
        <v>0</v>
      </c>
      <c r="U239" s="2">
        <f>T239 * G239</f>
        <v>0</v>
      </c>
      <c r="V239" s="2">
        <f>I239 + K239 - S239</f>
        <v>0</v>
      </c>
      <c r="W239" s="2">
        <f>M239 - V239</f>
        <v>0</v>
      </c>
      <c r="X239" s="2">
        <f>IFERROR(W239 / M239 * 100, 0)</f>
        <v>0</v>
      </c>
    </row>
    <row r="240" spans="1:24">
      <c r="A240" t="s">
        <v>260</v>
      </c>
      <c r="B240" t="s">
        <v>512</v>
      </c>
      <c r="C240" t="s">
        <v>753</v>
      </c>
      <c r="D240" t="s">
        <v>1008</v>
      </c>
      <c r="E240" t="s">
        <v>1009</v>
      </c>
      <c r="F240" t="s">
        <v>1248</v>
      </c>
      <c r="G240">
        <v>14</v>
      </c>
      <c r="H240">
        <v>0</v>
      </c>
      <c r="I240">
        <v>0</v>
      </c>
      <c r="J240">
        <v>0</v>
      </c>
      <c r="K240">
        <v>0</v>
      </c>
      <c r="L240">
        <v>2</v>
      </c>
      <c r="M240">
        <v>24</v>
      </c>
      <c r="N240">
        <v>0</v>
      </c>
      <c r="O240">
        <v>0</v>
      </c>
      <c r="P240" s="2">
        <f>(H240 + J240) - (L240 + N240)</f>
        <v>0</v>
      </c>
      <c r="Q240" s="2">
        <f>P240 * G240</f>
        <v>0</v>
      </c>
      <c r="R240">
        <v>0</v>
      </c>
      <c r="S240" s="2">
        <f>R240 * G240</f>
        <v>0</v>
      </c>
      <c r="T240" s="2">
        <f>(H240 + J240) - (L240 + N240) - R240</f>
        <v>0</v>
      </c>
      <c r="U240" s="2">
        <f>T240 * G240</f>
        <v>0</v>
      </c>
      <c r="V240" s="2">
        <f>I240 + K240 - S240</f>
        <v>0</v>
      </c>
      <c r="W240" s="2">
        <f>M240 - V240</f>
        <v>0</v>
      </c>
      <c r="X240" s="2">
        <f>IFERROR(W240 / M240 * 100, 0)</f>
        <v>0</v>
      </c>
    </row>
    <row r="241" spans="1:24">
      <c r="A241" t="s">
        <v>261</v>
      </c>
      <c r="B241" t="s">
        <v>512</v>
      </c>
      <c r="C241" t="s">
        <v>754</v>
      </c>
      <c r="D241" t="s">
        <v>1007</v>
      </c>
      <c r="E241" t="s">
        <v>1009</v>
      </c>
      <c r="F241" t="s">
        <v>1249</v>
      </c>
      <c r="G241">
        <v>3</v>
      </c>
      <c r="H241">
        <v>0</v>
      </c>
      <c r="I241">
        <v>0</v>
      </c>
      <c r="J241">
        <v>1696</v>
      </c>
      <c r="K241">
        <v>4465</v>
      </c>
      <c r="L241">
        <v>3332.23</v>
      </c>
      <c r="M241">
        <v>11175.79</v>
      </c>
      <c r="N241">
        <v>0</v>
      </c>
      <c r="O241">
        <v>0</v>
      </c>
      <c r="P241" s="2">
        <f>(H241 + J241) - (L241 + N241)</f>
        <v>0</v>
      </c>
      <c r="Q241" s="2">
        <f>P241 * G241</f>
        <v>0</v>
      </c>
      <c r="R241">
        <v>0</v>
      </c>
      <c r="S241" s="2">
        <f>R241 * G241</f>
        <v>0</v>
      </c>
      <c r="T241" s="2">
        <f>(H241 + J241) - (L241 + N241) - R241</f>
        <v>0</v>
      </c>
      <c r="U241" s="2">
        <f>T241 * G241</f>
        <v>0</v>
      </c>
      <c r="V241" s="2">
        <f>I241 + K241 - S241</f>
        <v>0</v>
      </c>
      <c r="W241" s="2">
        <f>M241 - V241</f>
        <v>0</v>
      </c>
      <c r="X241" s="2">
        <f>IFERROR(W241 / M241 * 100, 0)</f>
        <v>0</v>
      </c>
    </row>
    <row r="242" spans="1:24">
      <c r="A242" t="s">
        <v>262</v>
      </c>
      <c r="B242" t="s">
        <v>512</v>
      </c>
      <c r="C242" t="s">
        <v>755</v>
      </c>
      <c r="D242" t="s">
        <v>1007</v>
      </c>
      <c r="E242" t="s">
        <v>1009</v>
      </c>
      <c r="F242" t="s">
        <v>1250</v>
      </c>
      <c r="G242">
        <v>2.52</v>
      </c>
      <c r="H242">
        <v>93.5</v>
      </c>
      <c r="I242">
        <v>250.05</v>
      </c>
      <c r="J242">
        <v>77</v>
      </c>
      <c r="K242">
        <v>160</v>
      </c>
      <c r="L242">
        <v>122.26</v>
      </c>
      <c r="M242">
        <v>359.36</v>
      </c>
      <c r="N242">
        <v>6</v>
      </c>
      <c r="O242">
        <v>15.14</v>
      </c>
      <c r="P242" s="2">
        <f>(H242 + J242) - (L242 + N242)</f>
        <v>0</v>
      </c>
      <c r="Q242" s="2">
        <f>P242 * G242</f>
        <v>0</v>
      </c>
      <c r="R242">
        <v>0</v>
      </c>
      <c r="S242" s="2">
        <f>R242 * G242</f>
        <v>0</v>
      </c>
      <c r="T242" s="2">
        <f>(H242 + J242) - (L242 + N242) - R242</f>
        <v>0</v>
      </c>
      <c r="U242" s="2">
        <f>T242 * G242</f>
        <v>0</v>
      </c>
      <c r="V242" s="2">
        <f>I242 + K242 - S242</f>
        <v>0</v>
      </c>
      <c r="W242" s="2">
        <f>M242 - V242</f>
        <v>0</v>
      </c>
      <c r="X242" s="2">
        <f>IFERROR(W242 / M242 * 100, 0)</f>
        <v>0</v>
      </c>
    </row>
    <row r="243" spans="1:24">
      <c r="A243" t="s">
        <v>263</v>
      </c>
      <c r="B243" t="s">
        <v>512</v>
      </c>
      <c r="C243" t="s">
        <v>756</v>
      </c>
      <c r="D243" t="s">
        <v>1007</v>
      </c>
      <c r="E243" t="s">
        <v>1009</v>
      </c>
      <c r="F243" t="s">
        <v>1251</v>
      </c>
      <c r="G243">
        <v>1.25</v>
      </c>
      <c r="H243">
        <v>0</v>
      </c>
      <c r="I243">
        <v>0</v>
      </c>
      <c r="J243">
        <v>0</v>
      </c>
      <c r="K243">
        <v>0</v>
      </c>
      <c r="L243">
        <v>1.89</v>
      </c>
      <c r="M243">
        <v>2.83</v>
      </c>
      <c r="N243">
        <v>0</v>
      </c>
      <c r="O243">
        <v>0</v>
      </c>
      <c r="P243" s="2">
        <f>(H243 + J243) - (L243 + N243)</f>
        <v>0</v>
      </c>
      <c r="Q243" s="2">
        <f>P243 * G243</f>
        <v>0</v>
      </c>
      <c r="R243">
        <v>0</v>
      </c>
      <c r="S243" s="2">
        <f>R243 * G243</f>
        <v>0</v>
      </c>
      <c r="T243" s="2">
        <f>(H243 + J243) - (L243 + N243) - R243</f>
        <v>0</v>
      </c>
      <c r="U243" s="2">
        <f>T243 * G243</f>
        <v>0</v>
      </c>
      <c r="V243" s="2">
        <f>I243 + K243 - S243</f>
        <v>0</v>
      </c>
      <c r="W243" s="2">
        <f>M243 - V243</f>
        <v>0</v>
      </c>
      <c r="X243" s="2">
        <f>IFERROR(W243 / M243 * 100, 0)</f>
        <v>0</v>
      </c>
    </row>
    <row r="244" spans="1:24">
      <c r="A244" t="s">
        <v>264</v>
      </c>
      <c r="B244" t="s">
        <v>512</v>
      </c>
      <c r="C244" t="s">
        <v>757</v>
      </c>
      <c r="D244" t="s">
        <v>1007</v>
      </c>
      <c r="E244" t="s">
        <v>1009</v>
      </c>
      <c r="F244" t="s">
        <v>1252</v>
      </c>
      <c r="G244">
        <v>5</v>
      </c>
      <c r="H244">
        <v>0</v>
      </c>
      <c r="I244">
        <v>0</v>
      </c>
      <c r="J244">
        <v>0</v>
      </c>
      <c r="K244">
        <v>0</v>
      </c>
      <c r="L244">
        <v>1.58</v>
      </c>
      <c r="M244">
        <v>15.75</v>
      </c>
      <c r="N244">
        <v>0</v>
      </c>
      <c r="O244">
        <v>0</v>
      </c>
      <c r="P244" s="2">
        <f>(H244 + J244) - (L244 + N244)</f>
        <v>0</v>
      </c>
      <c r="Q244" s="2">
        <f>P244 * G244</f>
        <v>0</v>
      </c>
      <c r="R244">
        <v>0</v>
      </c>
      <c r="S244" s="2">
        <f>R244 * G244</f>
        <v>0</v>
      </c>
      <c r="T244" s="2">
        <f>(H244 + J244) - (L244 + N244) - R244</f>
        <v>0</v>
      </c>
      <c r="U244" s="2">
        <f>T244 * G244</f>
        <v>0</v>
      </c>
      <c r="V244" s="2">
        <f>I244 + K244 - S244</f>
        <v>0</v>
      </c>
      <c r="W244" s="2">
        <f>M244 - V244</f>
        <v>0</v>
      </c>
      <c r="X244" s="2">
        <f>IFERROR(W244 / M244 * 100, 0)</f>
        <v>0</v>
      </c>
    </row>
    <row r="245" spans="1:24">
      <c r="A245" t="s">
        <v>265</v>
      </c>
      <c r="B245" t="s">
        <v>512</v>
      </c>
      <c r="C245" t="s">
        <v>758</v>
      </c>
      <c r="D245" t="s">
        <v>1007</v>
      </c>
      <c r="E245" t="s">
        <v>1009</v>
      </c>
      <c r="F245" t="s">
        <v>1253</v>
      </c>
      <c r="G245">
        <v>6.38</v>
      </c>
      <c r="H245">
        <v>3.2</v>
      </c>
      <c r="I245">
        <v>15.2</v>
      </c>
      <c r="J245">
        <v>23.5</v>
      </c>
      <c r="K245">
        <v>147.75</v>
      </c>
      <c r="L245">
        <v>9.75</v>
      </c>
      <c r="M245">
        <v>102.44</v>
      </c>
      <c r="N245">
        <v>3</v>
      </c>
      <c r="O245">
        <v>18</v>
      </c>
      <c r="P245" s="2">
        <f>(H245 + J245) - (L245 + N245)</f>
        <v>0</v>
      </c>
      <c r="Q245" s="2">
        <f>P245 * G245</f>
        <v>0</v>
      </c>
      <c r="R245">
        <v>14</v>
      </c>
      <c r="S245" s="2">
        <f>R245 * G245</f>
        <v>0</v>
      </c>
      <c r="T245" s="2">
        <f>(H245 + J245) - (L245 + N245) - R245</f>
        <v>0</v>
      </c>
      <c r="U245" s="2">
        <f>T245 * G245</f>
        <v>0</v>
      </c>
      <c r="V245" s="2">
        <f>I245 + K245 - S245</f>
        <v>0</v>
      </c>
      <c r="W245" s="2">
        <f>M245 - V245</f>
        <v>0</v>
      </c>
      <c r="X245" s="2">
        <f>IFERROR(W245 / M245 * 100, 0)</f>
        <v>0</v>
      </c>
    </row>
    <row r="246" spans="1:24">
      <c r="A246" t="s">
        <v>266</v>
      </c>
      <c r="B246" t="s">
        <v>512</v>
      </c>
      <c r="C246" t="s">
        <v>759</v>
      </c>
      <c r="D246" t="s">
        <v>1008</v>
      </c>
      <c r="E246" t="s">
        <v>1009</v>
      </c>
      <c r="F246" t="s">
        <v>1254</v>
      </c>
      <c r="G246">
        <v>16.7</v>
      </c>
      <c r="H246">
        <v>0</v>
      </c>
      <c r="I246">
        <v>0</v>
      </c>
      <c r="J246">
        <v>21</v>
      </c>
      <c r="K246">
        <v>366</v>
      </c>
      <c r="L246">
        <v>14</v>
      </c>
      <c r="M246">
        <v>280</v>
      </c>
      <c r="N246">
        <v>1</v>
      </c>
      <c r="O246">
        <v>16.05</v>
      </c>
      <c r="P246" s="2">
        <f>(H246 + J246) - (L246 + N246)</f>
        <v>0</v>
      </c>
      <c r="Q246" s="2">
        <f>P246 * G246</f>
        <v>0</v>
      </c>
      <c r="R246">
        <v>0</v>
      </c>
      <c r="S246" s="2">
        <f>R246 * G246</f>
        <v>0</v>
      </c>
      <c r="T246" s="2">
        <f>(H246 + J246) - (L246 + N246) - R246</f>
        <v>0</v>
      </c>
      <c r="U246" s="2">
        <f>T246 * G246</f>
        <v>0</v>
      </c>
      <c r="V246" s="2">
        <f>I246 + K246 - S246</f>
        <v>0</v>
      </c>
      <c r="W246" s="2">
        <f>M246 - V246</f>
        <v>0</v>
      </c>
      <c r="X246" s="2">
        <f>IFERROR(W246 / M246 * 100, 0)</f>
        <v>0</v>
      </c>
    </row>
    <row r="247" spans="1:24">
      <c r="A247" t="s">
        <v>267</v>
      </c>
      <c r="B247" t="s">
        <v>512</v>
      </c>
      <c r="C247" t="s">
        <v>760</v>
      </c>
      <c r="D247" t="s">
        <v>1007</v>
      </c>
      <c r="E247" t="s">
        <v>1009</v>
      </c>
      <c r="F247" t="s">
        <v>1255</v>
      </c>
      <c r="G247">
        <v>8.67</v>
      </c>
      <c r="H247">
        <v>0</v>
      </c>
      <c r="I247">
        <v>0</v>
      </c>
      <c r="J247">
        <v>36.2</v>
      </c>
      <c r="K247">
        <v>291.19</v>
      </c>
      <c r="L247">
        <v>0.26</v>
      </c>
      <c r="M247">
        <v>1.9</v>
      </c>
      <c r="N247">
        <v>7</v>
      </c>
      <c r="O247">
        <v>38.5</v>
      </c>
      <c r="P247" s="2">
        <f>(H247 + J247) - (L247 + N247)</f>
        <v>0</v>
      </c>
      <c r="Q247" s="2">
        <f>P247 * G247</f>
        <v>0</v>
      </c>
      <c r="R247">
        <v>23.8</v>
      </c>
      <c r="S247" s="2">
        <f>R247 * G247</f>
        <v>0</v>
      </c>
      <c r="T247" s="2">
        <f>(H247 + J247) - (L247 + N247) - R247</f>
        <v>0</v>
      </c>
      <c r="U247" s="2">
        <f>T247 * G247</f>
        <v>0</v>
      </c>
      <c r="V247" s="2">
        <f>I247 + K247 - S247</f>
        <v>0</v>
      </c>
      <c r="W247" s="2">
        <f>M247 - V247</f>
        <v>0</v>
      </c>
      <c r="X247" s="2">
        <f>IFERROR(W247 / M247 * 100, 0)</f>
        <v>0</v>
      </c>
    </row>
    <row r="248" spans="1:24">
      <c r="A248" t="s">
        <v>268</v>
      </c>
      <c r="B248" t="s">
        <v>512</v>
      </c>
      <c r="C248" t="s">
        <v>761</v>
      </c>
      <c r="D248" t="s">
        <v>1007</v>
      </c>
      <c r="E248" t="s">
        <v>1009</v>
      </c>
      <c r="F248" t="s">
        <v>1256</v>
      </c>
      <c r="G248">
        <v>8.619999999999999</v>
      </c>
      <c r="H248">
        <v>67.3</v>
      </c>
      <c r="I248">
        <v>647.14</v>
      </c>
      <c r="J248">
        <v>499.5</v>
      </c>
      <c r="K248">
        <v>4423.91</v>
      </c>
      <c r="L248">
        <v>435.77</v>
      </c>
      <c r="M248">
        <v>5229.27</v>
      </c>
      <c r="N248">
        <v>47</v>
      </c>
      <c r="O248">
        <v>415.17</v>
      </c>
      <c r="P248" s="2">
        <f>(H248 + J248) - (L248 + N248)</f>
        <v>0</v>
      </c>
      <c r="Q248" s="2">
        <f>P248 * G248</f>
        <v>0</v>
      </c>
      <c r="R248">
        <v>65.2</v>
      </c>
      <c r="S248" s="2">
        <f>R248 * G248</f>
        <v>0</v>
      </c>
      <c r="T248" s="2">
        <f>(H248 + J248) - (L248 + N248) - R248</f>
        <v>0</v>
      </c>
      <c r="U248" s="2">
        <f>T248 * G248</f>
        <v>0</v>
      </c>
      <c r="V248" s="2">
        <f>I248 + K248 - S248</f>
        <v>0</v>
      </c>
      <c r="W248" s="2">
        <f>M248 - V248</f>
        <v>0</v>
      </c>
      <c r="X248" s="2">
        <f>IFERROR(W248 / M248 * 100, 0)</f>
        <v>0</v>
      </c>
    </row>
    <row r="249" spans="1:24">
      <c r="A249" t="s">
        <v>269</v>
      </c>
      <c r="B249" t="s">
        <v>512</v>
      </c>
      <c r="C249" t="s">
        <v>762</v>
      </c>
      <c r="D249" t="s">
        <v>1007</v>
      </c>
      <c r="E249" t="s">
        <v>1009</v>
      </c>
      <c r="F249" t="s">
        <v>1257</v>
      </c>
      <c r="G249">
        <v>4.62</v>
      </c>
      <c r="H249">
        <v>31.2</v>
      </c>
      <c r="I249">
        <v>163.8</v>
      </c>
      <c r="J249">
        <v>141.5</v>
      </c>
      <c r="K249">
        <v>628.75</v>
      </c>
      <c r="L249">
        <v>105.82</v>
      </c>
      <c r="M249">
        <v>538.42</v>
      </c>
      <c r="N249">
        <v>5</v>
      </c>
      <c r="O249">
        <v>25.35</v>
      </c>
      <c r="P249" s="2">
        <f>(H249 + J249) - (L249 + N249)</f>
        <v>0</v>
      </c>
      <c r="Q249" s="2">
        <f>P249 * G249</f>
        <v>0</v>
      </c>
      <c r="R249">
        <v>64</v>
      </c>
      <c r="S249" s="2">
        <f>R249 * G249</f>
        <v>0</v>
      </c>
      <c r="T249" s="2">
        <f>(H249 + J249) - (L249 + N249) - R249</f>
        <v>0</v>
      </c>
      <c r="U249" s="2">
        <f>T249 * G249</f>
        <v>0</v>
      </c>
      <c r="V249" s="2">
        <f>I249 + K249 - S249</f>
        <v>0</v>
      </c>
      <c r="W249" s="2">
        <f>M249 - V249</f>
        <v>0</v>
      </c>
      <c r="X249" s="2">
        <f>IFERROR(W249 / M249 * 100, 0)</f>
        <v>0</v>
      </c>
    </row>
    <row r="250" spans="1:24">
      <c r="A250" t="s">
        <v>270</v>
      </c>
      <c r="B250" t="s">
        <v>512</v>
      </c>
      <c r="C250" t="s">
        <v>763</v>
      </c>
      <c r="D250" t="s">
        <v>1008</v>
      </c>
      <c r="E250" t="s">
        <v>1009</v>
      </c>
      <c r="F250" t="s">
        <v>1258</v>
      </c>
      <c r="G250">
        <v>1.6</v>
      </c>
      <c r="H250">
        <v>1043</v>
      </c>
      <c r="I250">
        <v>2292.15</v>
      </c>
      <c r="J250">
        <v>6928</v>
      </c>
      <c r="K250">
        <v>10764.32</v>
      </c>
      <c r="L250">
        <v>3323</v>
      </c>
      <c r="M250">
        <v>8383</v>
      </c>
      <c r="N250">
        <v>35</v>
      </c>
      <c r="O250">
        <v>58.22</v>
      </c>
      <c r="P250" s="2">
        <f>(H250 + J250) - (L250 + N250)</f>
        <v>0</v>
      </c>
      <c r="Q250" s="2">
        <f>P250 * G250</f>
        <v>0</v>
      </c>
      <c r="R250">
        <v>2210</v>
      </c>
      <c r="S250" s="2">
        <f>R250 * G250</f>
        <v>0</v>
      </c>
      <c r="T250" s="2">
        <f>(H250 + J250) - (L250 + N250) - R250</f>
        <v>0</v>
      </c>
      <c r="U250" s="2">
        <f>T250 * G250</f>
        <v>0</v>
      </c>
      <c r="V250" s="2">
        <f>I250 + K250 - S250</f>
        <v>0</v>
      </c>
      <c r="W250" s="2">
        <f>M250 - V250</f>
        <v>0</v>
      </c>
      <c r="X250" s="2">
        <f>IFERROR(W250 / M250 * 100, 0)</f>
        <v>0</v>
      </c>
    </row>
    <row r="251" spans="1:24">
      <c r="A251" t="s">
        <v>271</v>
      </c>
      <c r="B251" t="s">
        <v>512</v>
      </c>
      <c r="C251" t="s">
        <v>764</v>
      </c>
      <c r="D251" t="s">
        <v>1007</v>
      </c>
      <c r="E251" t="s">
        <v>1009</v>
      </c>
      <c r="F251" t="s">
        <v>1259</v>
      </c>
      <c r="G251">
        <v>5.5</v>
      </c>
      <c r="H251">
        <v>0</v>
      </c>
      <c r="I251">
        <v>0</v>
      </c>
      <c r="J251">
        <v>39</v>
      </c>
      <c r="K251">
        <v>214.5</v>
      </c>
      <c r="L251">
        <v>0</v>
      </c>
      <c r="M251">
        <v>0</v>
      </c>
      <c r="N251">
        <v>0</v>
      </c>
      <c r="O251">
        <v>0</v>
      </c>
      <c r="P251" s="2">
        <f>(H251 + J251) - (L251 + N251)</f>
        <v>0</v>
      </c>
      <c r="Q251" s="2">
        <f>P251 * G251</f>
        <v>0</v>
      </c>
      <c r="R251">
        <v>40</v>
      </c>
      <c r="S251" s="2">
        <f>R251 * G251</f>
        <v>0</v>
      </c>
      <c r="T251" s="2">
        <f>(H251 + J251) - (L251 + N251) - R251</f>
        <v>0</v>
      </c>
      <c r="U251" s="2">
        <f>T251 * G251</f>
        <v>0</v>
      </c>
      <c r="V251" s="2">
        <f>I251 + K251 - S251</f>
        <v>0</v>
      </c>
      <c r="W251" s="2">
        <f>M251 - V251</f>
        <v>0</v>
      </c>
      <c r="X251" s="2">
        <f>IFERROR(W251 / M251 * 100, 0)</f>
        <v>0</v>
      </c>
    </row>
    <row r="252" spans="1:24">
      <c r="A252" t="s">
        <v>272</v>
      </c>
      <c r="B252" t="s">
        <v>512</v>
      </c>
      <c r="C252" t="s">
        <v>765</v>
      </c>
      <c r="D252" t="s">
        <v>1007</v>
      </c>
      <c r="E252" t="s">
        <v>1009</v>
      </c>
      <c r="F252" t="s">
        <v>1260</v>
      </c>
      <c r="G252">
        <v>1.59</v>
      </c>
      <c r="H252">
        <v>0</v>
      </c>
      <c r="I252">
        <v>0</v>
      </c>
      <c r="J252">
        <v>0</v>
      </c>
      <c r="K252">
        <v>0</v>
      </c>
      <c r="L252">
        <v>0.4</v>
      </c>
      <c r="M252">
        <v>0.6</v>
      </c>
      <c r="N252">
        <v>0</v>
      </c>
      <c r="O252">
        <v>0</v>
      </c>
      <c r="P252" s="2">
        <f>(H252 + J252) - (L252 + N252)</f>
        <v>0</v>
      </c>
      <c r="Q252" s="2">
        <f>P252 * G252</f>
        <v>0</v>
      </c>
      <c r="R252">
        <v>0</v>
      </c>
      <c r="S252" s="2">
        <f>R252 * G252</f>
        <v>0</v>
      </c>
      <c r="T252" s="2">
        <f>(H252 + J252) - (L252 + N252) - R252</f>
        <v>0</v>
      </c>
      <c r="U252" s="2">
        <f>T252 * G252</f>
        <v>0</v>
      </c>
      <c r="V252" s="2">
        <f>I252 + K252 - S252</f>
        <v>0</v>
      </c>
      <c r="W252" s="2">
        <f>M252 - V252</f>
        <v>0</v>
      </c>
      <c r="X252" s="2">
        <f>IFERROR(W252 / M252 * 100, 0)</f>
        <v>0</v>
      </c>
    </row>
    <row r="253" spans="1:24">
      <c r="A253" t="s">
        <v>273</v>
      </c>
      <c r="B253" t="s">
        <v>512</v>
      </c>
      <c r="C253" t="s">
        <v>766</v>
      </c>
      <c r="D253" t="s">
        <v>1008</v>
      </c>
      <c r="E253" t="s">
        <v>1009</v>
      </c>
      <c r="F253" t="s">
        <v>1261</v>
      </c>
      <c r="G253">
        <v>4.52</v>
      </c>
      <c r="H253">
        <v>3</v>
      </c>
      <c r="I253">
        <v>15</v>
      </c>
      <c r="J253">
        <v>11</v>
      </c>
      <c r="K253">
        <v>49.5</v>
      </c>
      <c r="L253">
        <v>10</v>
      </c>
      <c r="M253">
        <v>65</v>
      </c>
      <c r="N253">
        <v>0</v>
      </c>
      <c r="O253">
        <v>0</v>
      </c>
      <c r="P253" s="2">
        <f>(H253 + J253) - (L253 + N253)</f>
        <v>0</v>
      </c>
      <c r="Q253" s="2">
        <f>P253 * G253</f>
        <v>0</v>
      </c>
      <c r="R253">
        <v>1</v>
      </c>
      <c r="S253" s="2">
        <f>R253 * G253</f>
        <v>0</v>
      </c>
      <c r="T253" s="2">
        <f>(H253 + J253) - (L253 + N253) - R253</f>
        <v>0</v>
      </c>
      <c r="U253" s="2">
        <f>T253 * G253</f>
        <v>0</v>
      </c>
      <c r="V253" s="2">
        <f>I253 + K253 - S253</f>
        <v>0</v>
      </c>
      <c r="W253" s="2">
        <f>M253 - V253</f>
        <v>0</v>
      </c>
      <c r="X253" s="2">
        <f>IFERROR(W253 / M253 * 100, 0)</f>
        <v>0</v>
      </c>
    </row>
    <row r="254" spans="1:24">
      <c r="A254" t="s">
        <v>274</v>
      </c>
      <c r="B254" t="s">
        <v>512</v>
      </c>
      <c r="C254" t="s">
        <v>767</v>
      </c>
      <c r="D254" t="s">
        <v>1008</v>
      </c>
      <c r="E254" t="s">
        <v>1009</v>
      </c>
      <c r="F254" t="s">
        <v>1262</v>
      </c>
      <c r="G254">
        <v>4.75</v>
      </c>
      <c r="H254">
        <v>0</v>
      </c>
      <c r="I254">
        <v>0</v>
      </c>
      <c r="J254">
        <v>5</v>
      </c>
      <c r="K254">
        <v>23.75</v>
      </c>
      <c r="L254">
        <v>1</v>
      </c>
      <c r="M254">
        <v>6.5</v>
      </c>
      <c r="N254">
        <v>0</v>
      </c>
      <c r="O254">
        <v>0</v>
      </c>
      <c r="P254" s="2">
        <f>(H254 + J254) - (L254 + N254)</f>
        <v>0</v>
      </c>
      <c r="Q254" s="2">
        <f>P254 * G254</f>
        <v>0</v>
      </c>
      <c r="R254">
        <v>3</v>
      </c>
      <c r="S254" s="2">
        <f>R254 * G254</f>
        <v>0</v>
      </c>
      <c r="T254" s="2">
        <f>(H254 + J254) - (L254 + N254) - R254</f>
        <v>0</v>
      </c>
      <c r="U254" s="2">
        <f>T254 * G254</f>
        <v>0</v>
      </c>
      <c r="V254" s="2">
        <f>I254 + K254 - S254</f>
        <v>0</v>
      </c>
      <c r="W254" s="2">
        <f>M254 - V254</f>
        <v>0</v>
      </c>
      <c r="X254" s="2">
        <f>IFERROR(W254 / M254 * 100, 0)</f>
        <v>0</v>
      </c>
    </row>
    <row r="255" spans="1:24">
      <c r="A255" t="s">
        <v>275</v>
      </c>
      <c r="B255" t="s">
        <v>512</v>
      </c>
      <c r="C255" t="s">
        <v>768</v>
      </c>
      <c r="D255" t="s">
        <v>1008</v>
      </c>
      <c r="E255" t="s">
        <v>1009</v>
      </c>
      <c r="F255" t="s">
        <v>1263</v>
      </c>
      <c r="G255">
        <v>3.5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4</v>
      </c>
      <c r="N255">
        <v>0</v>
      </c>
      <c r="O255">
        <v>0</v>
      </c>
      <c r="P255" s="2">
        <f>(H255 + J255) - (L255 + N255)</f>
        <v>0</v>
      </c>
      <c r="Q255" s="2">
        <f>P255 * G255</f>
        <v>0</v>
      </c>
      <c r="R255">
        <v>0</v>
      </c>
      <c r="S255" s="2">
        <f>R255 * G255</f>
        <v>0</v>
      </c>
      <c r="T255" s="2">
        <f>(H255 + J255) - (L255 + N255) - R255</f>
        <v>0</v>
      </c>
      <c r="U255" s="2">
        <f>T255 * G255</f>
        <v>0</v>
      </c>
      <c r="V255" s="2">
        <f>I255 + K255 - S255</f>
        <v>0</v>
      </c>
      <c r="W255" s="2">
        <f>M255 - V255</f>
        <v>0</v>
      </c>
      <c r="X255" s="2">
        <f>IFERROR(W255 / M255 * 100, 0)</f>
        <v>0</v>
      </c>
    </row>
    <row r="256" spans="1:24">
      <c r="A256" t="s">
        <v>276</v>
      </c>
      <c r="B256" t="s">
        <v>512</v>
      </c>
      <c r="C256" t="s">
        <v>769</v>
      </c>
      <c r="D256" t="s">
        <v>1007</v>
      </c>
      <c r="E256" t="s">
        <v>1009</v>
      </c>
      <c r="F256" t="s">
        <v>1264</v>
      </c>
      <c r="G256">
        <v>6</v>
      </c>
      <c r="H256">
        <v>0</v>
      </c>
      <c r="I256">
        <v>0</v>
      </c>
      <c r="J256">
        <v>0</v>
      </c>
      <c r="K256">
        <v>0</v>
      </c>
      <c r="L256">
        <v>2.1</v>
      </c>
      <c r="M256">
        <v>12.6</v>
      </c>
      <c r="N256">
        <v>0</v>
      </c>
      <c r="O256">
        <v>0</v>
      </c>
      <c r="P256" s="2">
        <f>(H256 + J256) - (L256 + N256)</f>
        <v>0</v>
      </c>
      <c r="Q256" s="2">
        <f>P256 * G256</f>
        <v>0</v>
      </c>
      <c r="R256">
        <v>0</v>
      </c>
      <c r="S256" s="2">
        <f>R256 * G256</f>
        <v>0</v>
      </c>
      <c r="T256" s="2">
        <f>(H256 + J256) - (L256 + N256) - R256</f>
        <v>0</v>
      </c>
      <c r="U256" s="2">
        <f>T256 * G256</f>
        <v>0</v>
      </c>
      <c r="V256" s="2">
        <f>I256 + K256 - S256</f>
        <v>0</v>
      </c>
      <c r="W256" s="2">
        <f>M256 - V256</f>
        <v>0</v>
      </c>
      <c r="X256" s="2">
        <f>IFERROR(W256 / M256 * 100, 0)</f>
        <v>0</v>
      </c>
    </row>
    <row r="257" spans="1:24">
      <c r="A257" t="s">
        <v>277</v>
      </c>
      <c r="B257" t="s">
        <v>512</v>
      </c>
      <c r="C257" t="s">
        <v>770</v>
      </c>
      <c r="D257" t="s">
        <v>1007</v>
      </c>
      <c r="E257" t="s">
        <v>1009</v>
      </c>
      <c r="F257" t="s">
        <v>1265</v>
      </c>
      <c r="G257">
        <v>6</v>
      </c>
      <c r="H257">
        <v>50.2</v>
      </c>
      <c r="I257">
        <v>301.2</v>
      </c>
      <c r="J257">
        <v>424</v>
      </c>
      <c r="K257">
        <v>2544</v>
      </c>
      <c r="L257">
        <v>385.04</v>
      </c>
      <c r="M257">
        <v>3079.37</v>
      </c>
      <c r="N257">
        <v>0</v>
      </c>
      <c r="O257">
        <v>0</v>
      </c>
      <c r="P257" s="2">
        <f>(H257 + J257) - (L257 + N257)</f>
        <v>0</v>
      </c>
      <c r="Q257" s="2">
        <f>P257 * G257</f>
        <v>0</v>
      </c>
      <c r="R257">
        <v>48.8</v>
      </c>
      <c r="S257" s="2">
        <f>R257 * G257</f>
        <v>0</v>
      </c>
      <c r="T257" s="2">
        <f>(H257 + J257) - (L257 + N257) - R257</f>
        <v>0</v>
      </c>
      <c r="U257" s="2">
        <f>T257 * G257</f>
        <v>0</v>
      </c>
      <c r="V257" s="2">
        <f>I257 + K257 - S257</f>
        <v>0</v>
      </c>
      <c r="W257" s="2">
        <f>M257 - V257</f>
        <v>0</v>
      </c>
      <c r="X257" s="2">
        <f>IFERROR(W257 / M257 * 100, 0)</f>
        <v>0</v>
      </c>
    </row>
    <row r="258" spans="1:24">
      <c r="A258" t="s">
        <v>278</v>
      </c>
      <c r="B258" t="s">
        <v>512</v>
      </c>
      <c r="C258" t="s">
        <v>771</v>
      </c>
      <c r="D258" t="s">
        <v>1007</v>
      </c>
      <c r="E258" t="s">
        <v>1009</v>
      </c>
      <c r="F258" t="s">
        <v>1266</v>
      </c>
      <c r="G258">
        <v>3.95</v>
      </c>
      <c r="H258">
        <v>0</v>
      </c>
      <c r="I258">
        <v>0</v>
      </c>
      <c r="J258">
        <v>3115.24</v>
      </c>
      <c r="K258">
        <v>12305.2</v>
      </c>
      <c r="L258">
        <v>2388.79</v>
      </c>
      <c r="M258">
        <v>9552.059999999999</v>
      </c>
      <c r="N258">
        <v>12</v>
      </c>
      <c r="O258">
        <v>47.4</v>
      </c>
      <c r="P258" s="2">
        <f>(H258 + J258) - (L258 + N258)</f>
        <v>0</v>
      </c>
      <c r="Q258" s="2">
        <f>P258 * G258</f>
        <v>0</v>
      </c>
      <c r="R258">
        <v>712.6</v>
      </c>
      <c r="S258" s="2">
        <f>R258 * G258</f>
        <v>0</v>
      </c>
      <c r="T258" s="2">
        <f>(H258 + J258) - (L258 + N258) - R258</f>
        <v>0</v>
      </c>
      <c r="U258" s="2">
        <f>T258 * G258</f>
        <v>0</v>
      </c>
      <c r="V258" s="2">
        <f>I258 + K258 - S258</f>
        <v>0</v>
      </c>
      <c r="W258" s="2">
        <f>M258 - V258</f>
        <v>0</v>
      </c>
      <c r="X258" s="2">
        <f>IFERROR(W258 / M258 * 100, 0)</f>
        <v>0</v>
      </c>
    </row>
    <row r="259" spans="1:24">
      <c r="A259" t="s">
        <v>279</v>
      </c>
      <c r="B259" t="s">
        <v>512</v>
      </c>
      <c r="C259" t="s">
        <v>772</v>
      </c>
      <c r="D259" t="s">
        <v>1007</v>
      </c>
      <c r="E259" t="s">
        <v>1009</v>
      </c>
      <c r="F259" t="s">
        <v>1267</v>
      </c>
      <c r="G259">
        <v>5.5</v>
      </c>
      <c r="H259">
        <v>0</v>
      </c>
      <c r="I259">
        <v>0</v>
      </c>
      <c r="J259">
        <v>14</v>
      </c>
      <c r="K259">
        <v>77</v>
      </c>
      <c r="L259">
        <v>2.53</v>
      </c>
      <c r="M259">
        <v>12.66</v>
      </c>
      <c r="N259">
        <v>0</v>
      </c>
      <c r="O259">
        <v>0</v>
      </c>
      <c r="P259" s="2">
        <f>(H259 + J259) - (L259 + N259)</f>
        <v>0</v>
      </c>
      <c r="Q259" s="2">
        <f>P259 * G259</f>
        <v>0</v>
      </c>
      <c r="R259">
        <v>0</v>
      </c>
      <c r="S259" s="2">
        <f>R259 * G259</f>
        <v>0</v>
      </c>
      <c r="T259" s="2">
        <f>(H259 + J259) - (L259 + N259) - R259</f>
        <v>0</v>
      </c>
      <c r="U259" s="2">
        <f>T259 * G259</f>
        <v>0</v>
      </c>
      <c r="V259" s="2">
        <f>I259 + K259 - S259</f>
        <v>0</v>
      </c>
      <c r="W259" s="2">
        <f>M259 - V259</f>
        <v>0</v>
      </c>
      <c r="X259" s="2">
        <f>IFERROR(W259 / M259 * 100, 0)</f>
        <v>0</v>
      </c>
    </row>
    <row r="260" spans="1:24">
      <c r="A260" t="s">
        <v>280</v>
      </c>
      <c r="B260" t="s">
        <v>512</v>
      </c>
      <c r="C260" t="s">
        <v>773</v>
      </c>
      <c r="D260" t="s">
        <v>1008</v>
      </c>
      <c r="E260" t="s">
        <v>1009</v>
      </c>
      <c r="F260" t="s">
        <v>1268</v>
      </c>
      <c r="G260">
        <v>5.46</v>
      </c>
      <c r="H260">
        <v>23</v>
      </c>
      <c r="I260">
        <v>135.85</v>
      </c>
      <c r="J260">
        <v>30</v>
      </c>
      <c r="K260">
        <v>159.6</v>
      </c>
      <c r="L260">
        <v>41</v>
      </c>
      <c r="M260">
        <v>328</v>
      </c>
      <c r="N260">
        <v>2</v>
      </c>
      <c r="O260">
        <v>11.3</v>
      </c>
      <c r="P260" s="2">
        <f>(H260 + J260) - (L260 + N260)</f>
        <v>0</v>
      </c>
      <c r="Q260" s="2">
        <f>P260 * G260</f>
        <v>0</v>
      </c>
      <c r="R260">
        <v>6</v>
      </c>
      <c r="S260" s="2">
        <f>R260 * G260</f>
        <v>0</v>
      </c>
      <c r="T260" s="2">
        <f>(H260 + J260) - (L260 + N260) - R260</f>
        <v>0</v>
      </c>
      <c r="U260" s="2">
        <f>T260 * G260</f>
        <v>0</v>
      </c>
      <c r="V260" s="2">
        <f>I260 + K260 - S260</f>
        <v>0</v>
      </c>
      <c r="W260" s="2">
        <f>M260 - V260</f>
        <v>0</v>
      </c>
      <c r="X260" s="2">
        <f>IFERROR(W260 / M260 * 100, 0)</f>
        <v>0</v>
      </c>
    </row>
    <row r="261" spans="1:24">
      <c r="A261" t="s">
        <v>281</v>
      </c>
      <c r="B261" t="s">
        <v>512</v>
      </c>
      <c r="C261" t="s">
        <v>774</v>
      </c>
      <c r="D261" t="s">
        <v>1007</v>
      </c>
      <c r="E261" t="s">
        <v>1009</v>
      </c>
      <c r="F261" t="s">
        <v>1269</v>
      </c>
      <c r="G261">
        <v>14.5</v>
      </c>
      <c r="H261">
        <v>0</v>
      </c>
      <c r="I261">
        <v>0</v>
      </c>
      <c r="J261">
        <v>129</v>
      </c>
      <c r="K261">
        <v>1940</v>
      </c>
      <c r="L261">
        <v>154.36</v>
      </c>
      <c r="M261">
        <v>2701.47</v>
      </c>
      <c r="N261">
        <v>4</v>
      </c>
      <c r="O261">
        <v>61.47</v>
      </c>
      <c r="P261" s="2">
        <f>(H261 + J261) - (L261 + N261)</f>
        <v>0</v>
      </c>
      <c r="Q261" s="2">
        <f>P261 * G261</f>
        <v>0</v>
      </c>
      <c r="R261">
        <v>28.5</v>
      </c>
      <c r="S261" s="2">
        <f>R261 * G261</f>
        <v>0</v>
      </c>
      <c r="T261" s="2">
        <f>(H261 + J261) - (L261 + N261) - R261</f>
        <v>0</v>
      </c>
      <c r="U261" s="2">
        <f>T261 * G261</f>
        <v>0</v>
      </c>
      <c r="V261" s="2">
        <f>I261 + K261 - S261</f>
        <v>0</v>
      </c>
      <c r="W261" s="2">
        <f>M261 - V261</f>
        <v>0</v>
      </c>
      <c r="X261" s="2">
        <f>IFERROR(W261 / M261 * 100, 0)</f>
        <v>0</v>
      </c>
    </row>
    <row r="262" spans="1:24">
      <c r="A262" t="s">
        <v>282</v>
      </c>
      <c r="B262" t="s">
        <v>512</v>
      </c>
      <c r="C262" t="s">
        <v>775</v>
      </c>
      <c r="D262" t="s">
        <v>1007</v>
      </c>
      <c r="E262" t="s">
        <v>1009</v>
      </c>
      <c r="F262" t="s">
        <v>1270</v>
      </c>
      <c r="G262">
        <v>20</v>
      </c>
      <c r="H262">
        <v>0</v>
      </c>
      <c r="I262">
        <v>0</v>
      </c>
      <c r="J262">
        <v>26.2</v>
      </c>
      <c r="K262">
        <v>524</v>
      </c>
      <c r="L262">
        <v>19.02</v>
      </c>
      <c r="M262">
        <v>418.47</v>
      </c>
      <c r="N262">
        <v>5</v>
      </c>
      <c r="O262">
        <v>100</v>
      </c>
      <c r="P262" s="2">
        <f>(H262 + J262) - (L262 + N262)</f>
        <v>0</v>
      </c>
      <c r="Q262" s="2">
        <f>P262 * G262</f>
        <v>0</v>
      </c>
      <c r="R262">
        <v>0</v>
      </c>
      <c r="S262" s="2">
        <f>R262 * G262</f>
        <v>0</v>
      </c>
      <c r="T262" s="2">
        <f>(H262 + J262) - (L262 + N262) - R262</f>
        <v>0</v>
      </c>
      <c r="U262" s="2">
        <f>T262 * G262</f>
        <v>0</v>
      </c>
      <c r="V262" s="2">
        <f>I262 + K262 - S262</f>
        <v>0</v>
      </c>
      <c r="W262" s="2">
        <f>M262 - V262</f>
        <v>0</v>
      </c>
      <c r="X262" s="2">
        <f>IFERROR(W262 / M262 * 100, 0)</f>
        <v>0</v>
      </c>
    </row>
    <row r="263" spans="1:24">
      <c r="A263" t="s">
        <v>283</v>
      </c>
      <c r="B263" t="s">
        <v>512</v>
      </c>
      <c r="C263" t="s">
        <v>776</v>
      </c>
      <c r="D263" t="s">
        <v>1007</v>
      </c>
      <c r="E263" t="s">
        <v>1009</v>
      </c>
      <c r="F263" t="s">
        <v>1271</v>
      </c>
      <c r="G263">
        <v>21</v>
      </c>
      <c r="H263">
        <v>0</v>
      </c>
      <c r="I263">
        <v>0</v>
      </c>
      <c r="J263">
        <v>8.199999999999999</v>
      </c>
      <c r="K263">
        <v>172.2</v>
      </c>
      <c r="L263">
        <v>4.83</v>
      </c>
      <c r="M263">
        <v>106.26</v>
      </c>
      <c r="N263">
        <v>1</v>
      </c>
      <c r="O263">
        <v>21</v>
      </c>
      <c r="P263" s="2">
        <f>(H263 + J263) - (L263 + N263)</f>
        <v>0</v>
      </c>
      <c r="Q263" s="2">
        <f>P263 * G263</f>
        <v>0</v>
      </c>
      <c r="R263">
        <v>0</v>
      </c>
      <c r="S263" s="2">
        <f>R263 * G263</f>
        <v>0</v>
      </c>
      <c r="T263" s="2">
        <f>(H263 + J263) - (L263 + N263) - R263</f>
        <v>0</v>
      </c>
      <c r="U263" s="2">
        <f>T263 * G263</f>
        <v>0</v>
      </c>
      <c r="V263" s="2">
        <f>I263 + K263 - S263</f>
        <v>0</v>
      </c>
      <c r="W263" s="2">
        <f>M263 - V263</f>
        <v>0</v>
      </c>
      <c r="X263" s="2">
        <f>IFERROR(W263 / M263 * 100, 0)</f>
        <v>0</v>
      </c>
    </row>
    <row r="264" spans="1:24">
      <c r="A264" t="s">
        <v>284</v>
      </c>
      <c r="B264" t="s">
        <v>512</v>
      </c>
      <c r="C264" t="s">
        <v>777</v>
      </c>
      <c r="D264" t="s">
        <v>1007</v>
      </c>
      <c r="E264" t="s">
        <v>1009</v>
      </c>
      <c r="F264" t="s">
        <v>1272</v>
      </c>
      <c r="G264">
        <v>4</v>
      </c>
      <c r="H264">
        <v>200.4</v>
      </c>
      <c r="I264">
        <v>801.6</v>
      </c>
      <c r="J264">
        <v>-23.51</v>
      </c>
      <c r="K264">
        <v>-94.03</v>
      </c>
      <c r="L264">
        <v>180.64</v>
      </c>
      <c r="M264">
        <v>775.4299999999999</v>
      </c>
      <c r="N264">
        <v>0</v>
      </c>
      <c r="O264">
        <v>0</v>
      </c>
      <c r="P264" s="2">
        <f>(H264 + J264) - (L264 + N264)</f>
        <v>0</v>
      </c>
      <c r="Q264" s="2">
        <f>P264 * G264</f>
        <v>0</v>
      </c>
      <c r="R264">
        <v>0</v>
      </c>
      <c r="S264" s="2">
        <f>R264 * G264</f>
        <v>0</v>
      </c>
      <c r="T264" s="2">
        <f>(H264 + J264) - (L264 + N264) - R264</f>
        <v>0</v>
      </c>
      <c r="U264" s="2">
        <f>T264 * G264</f>
        <v>0</v>
      </c>
      <c r="V264" s="2">
        <f>I264 + K264 - S264</f>
        <v>0</v>
      </c>
      <c r="W264" s="2">
        <f>M264 - V264</f>
        <v>0</v>
      </c>
      <c r="X264" s="2">
        <f>IFERROR(W264 / M264 * 100, 0)</f>
        <v>0</v>
      </c>
    </row>
    <row r="265" spans="1:24">
      <c r="A265" t="s">
        <v>285</v>
      </c>
      <c r="B265" t="s">
        <v>512</v>
      </c>
      <c r="C265" t="s">
        <v>778</v>
      </c>
      <c r="D265" t="s">
        <v>1007</v>
      </c>
      <c r="E265" t="s">
        <v>1009</v>
      </c>
      <c r="F265" t="s">
        <v>1273</v>
      </c>
      <c r="G265">
        <v>2.65</v>
      </c>
      <c r="H265">
        <v>0</v>
      </c>
      <c r="I265">
        <v>0</v>
      </c>
      <c r="J265">
        <v>20</v>
      </c>
      <c r="K265">
        <v>53</v>
      </c>
      <c r="L265">
        <v>0</v>
      </c>
      <c r="M265">
        <v>0</v>
      </c>
      <c r="N265">
        <v>0</v>
      </c>
      <c r="O265">
        <v>0</v>
      </c>
      <c r="P265" s="2">
        <f>(H265 + J265) - (L265 + N265)</f>
        <v>0</v>
      </c>
      <c r="Q265" s="2">
        <f>P265 * G265</f>
        <v>0</v>
      </c>
      <c r="R265">
        <v>0</v>
      </c>
      <c r="S265" s="2">
        <f>R265 * G265</f>
        <v>0</v>
      </c>
      <c r="T265" s="2">
        <f>(H265 + J265) - (L265 + N265) - R265</f>
        <v>0</v>
      </c>
      <c r="U265" s="2">
        <f>T265 * G265</f>
        <v>0</v>
      </c>
      <c r="V265" s="2">
        <f>I265 + K265 - S265</f>
        <v>0</v>
      </c>
      <c r="W265" s="2">
        <f>M265 - V265</f>
        <v>0</v>
      </c>
      <c r="X265" s="2">
        <f>IFERROR(W265 / M265 * 100, 0)</f>
        <v>0</v>
      </c>
    </row>
    <row r="266" spans="1:24">
      <c r="A266" t="s">
        <v>286</v>
      </c>
      <c r="B266" t="s">
        <v>512</v>
      </c>
      <c r="C266" t="s">
        <v>779</v>
      </c>
      <c r="D266" t="s">
        <v>1007</v>
      </c>
      <c r="E266" t="s">
        <v>1009</v>
      </c>
      <c r="F266" t="s">
        <v>1274</v>
      </c>
      <c r="G266">
        <v>6.1</v>
      </c>
      <c r="H266">
        <v>0</v>
      </c>
      <c r="I266">
        <v>0</v>
      </c>
      <c r="J266">
        <v>0</v>
      </c>
      <c r="K266">
        <v>0</v>
      </c>
      <c r="L266">
        <v>0.5</v>
      </c>
      <c r="M266">
        <v>3.5</v>
      </c>
      <c r="N266">
        <v>0</v>
      </c>
      <c r="O266">
        <v>0</v>
      </c>
      <c r="P266" s="2">
        <f>(H266 + J266) - (L266 + N266)</f>
        <v>0</v>
      </c>
      <c r="Q266" s="2">
        <f>P266 * G266</f>
        <v>0</v>
      </c>
      <c r="R266">
        <v>0</v>
      </c>
      <c r="S266" s="2">
        <f>R266 * G266</f>
        <v>0</v>
      </c>
      <c r="T266" s="2">
        <f>(H266 + J266) - (L266 + N266) - R266</f>
        <v>0</v>
      </c>
      <c r="U266" s="2">
        <f>T266 * G266</f>
        <v>0</v>
      </c>
      <c r="V266" s="2">
        <f>I266 + K266 - S266</f>
        <v>0</v>
      </c>
      <c r="W266" s="2">
        <f>M266 - V266</f>
        <v>0</v>
      </c>
      <c r="X266" s="2">
        <f>IFERROR(W266 / M266 * 100, 0)</f>
        <v>0</v>
      </c>
    </row>
    <row r="267" spans="1:24">
      <c r="A267" t="s">
        <v>287</v>
      </c>
      <c r="B267" t="s">
        <v>512</v>
      </c>
      <c r="C267" t="s">
        <v>780</v>
      </c>
      <c r="D267" t="s">
        <v>1008</v>
      </c>
      <c r="E267" t="s">
        <v>1009</v>
      </c>
      <c r="F267" t="s">
        <v>1275</v>
      </c>
      <c r="G267">
        <v>8</v>
      </c>
      <c r="H267">
        <v>0</v>
      </c>
      <c r="I267">
        <v>0</v>
      </c>
      <c r="J267">
        <v>20</v>
      </c>
      <c r="K267">
        <v>160</v>
      </c>
      <c r="L267">
        <v>20</v>
      </c>
      <c r="M267">
        <v>200</v>
      </c>
      <c r="N267">
        <v>0</v>
      </c>
      <c r="O267">
        <v>0</v>
      </c>
      <c r="P267" s="2">
        <f>(H267 + J267) - (L267 + N267)</f>
        <v>0</v>
      </c>
      <c r="Q267" s="2">
        <f>P267 * G267</f>
        <v>0</v>
      </c>
      <c r="R267">
        <v>0</v>
      </c>
      <c r="S267" s="2">
        <f>R267 * G267</f>
        <v>0</v>
      </c>
      <c r="T267" s="2">
        <f>(H267 + J267) - (L267 + N267) - R267</f>
        <v>0</v>
      </c>
      <c r="U267" s="2">
        <f>T267 * G267</f>
        <v>0</v>
      </c>
      <c r="V267" s="2">
        <f>I267 + K267 - S267</f>
        <v>0</v>
      </c>
      <c r="W267" s="2">
        <f>M267 - V267</f>
        <v>0</v>
      </c>
      <c r="X267" s="2">
        <f>IFERROR(W267 / M267 * 100, 0)</f>
        <v>0</v>
      </c>
    </row>
    <row r="268" spans="1:24">
      <c r="A268" t="s">
        <v>288</v>
      </c>
      <c r="B268" t="s">
        <v>512</v>
      </c>
      <c r="C268" t="s">
        <v>781</v>
      </c>
      <c r="D268" t="s">
        <v>1007</v>
      </c>
      <c r="E268" t="s">
        <v>1009</v>
      </c>
      <c r="F268" t="s">
        <v>1276</v>
      </c>
      <c r="G268">
        <v>6.86</v>
      </c>
      <c r="H268">
        <v>194.8</v>
      </c>
      <c r="I268">
        <v>1636.3</v>
      </c>
      <c r="J268">
        <v>1418.3</v>
      </c>
      <c r="K268">
        <v>11313.59</v>
      </c>
      <c r="L268">
        <v>1365.27</v>
      </c>
      <c r="M268">
        <v>13651.77</v>
      </c>
      <c r="N268">
        <v>65</v>
      </c>
      <c r="O268">
        <v>522.46</v>
      </c>
      <c r="P268" s="2">
        <f>(H268 + J268) - (L268 + N268)</f>
        <v>0</v>
      </c>
      <c r="Q268" s="2">
        <f>P268 * G268</f>
        <v>0</v>
      </c>
      <c r="R268">
        <v>73.40000000000001</v>
      </c>
      <c r="S268" s="2">
        <f>R268 * G268</f>
        <v>0</v>
      </c>
      <c r="T268" s="2">
        <f>(H268 + J268) - (L268 + N268) - R268</f>
        <v>0</v>
      </c>
      <c r="U268" s="2">
        <f>T268 * G268</f>
        <v>0</v>
      </c>
      <c r="V268" s="2">
        <f>I268 + K268 - S268</f>
        <v>0</v>
      </c>
      <c r="W268" s="2">
        <f>M268 - V268</f>
        <v>0</v>
      </c>
      <c r="X268" s="2">
        <f>IFERROR(W268 / M268 * 100, 0)</f>
        <v>0</v>
      </c>
    </row>
    <row r="269" spans="1:24">
      <c r="A269" t="s">
        <v>289</v>
      </c>
      <c r="B269" t="s">
        <v>512</v>
      </c>
      <c r="C269" t="s">
        <v>782</v>
      </c>
      <c r="D269" t="s">
        <v>1007</v>
      </c>
      <c r="E269" t="s">
        <v>1009</v>
      </c>
      <c r="F269" t="s">
        <v>1277</v>
      </c>
      <c r="G269">
        <v>5</v>
      </c>
      <c r="H269">
        <v>0</v>
      </c>
      <c r="I269">
        <v>0</v>
      </c>
      <c r="J269">
        <v>0</v>
      </c>
      <c r="K269">
        <v>0</v>
      </c>
      <c r="L269">
        <v>1.31</v>
      </c>
      <c r="M269">
        <v>4.57</v>
      </c>
      <c r="N269">
        <v>0</v>
      </c>
      <c r="O269">
        <v>0</v>
      </c>
      <c r="P269" s="2">
        <f>(H269 + J269) - (L269 + N269)</f>
        <v>0</v>
      </c>
      <c r="Q269" s="2">
        <f>P269 * G269</f>
        <v>0</v>
      </c>
      <c r="R269">
        <v>0</v>
      </c>
      <c r="S269" s="2">
        <f>R269 * G269</f>
        <v>0</v>
      </c>
      <c r="T269" s="2">
        <f>(H269 + J269) - (L269 + N269) - R269</f>
        <v>0</v>
      </c>
      <c r="U269" s="2">
        <f>T269 * G269</f>
        <v>0</v>
      </c>
      <c r="V269" s="2">
        <f>I269 + K269 - S269</f>
        <v>0</v>
      </c>
      <c r="W269" s="2">
        <f>M269 - V269</f>
        <v>0</v>
      </c>
      <c r="X269" s="2">
        <f>IFERROR(W269 / M269 * 100, 0)</f>
        <v>0</v>
      </c>
    </row>
    <row r="270" spans="1:24">
      <c r="A270" t="s">
        <v>290</v>
      </c>
      <c r="B270" t="s">
        <v>512</v>
      </c>
      <c r="C270" t="s">
        <v>783</v>
      </c>
      <c r="D270" t="s">
        <v>1007</v>
      </c>
      <c r="E270" t="s">
        <v>1009</v>
      </c>
      <c r="F270" t="s">
        <v>1278</v>
      </c>
      <c r="G270">
        <v>5</v>
      </c>
      <c r="H270">
        <v>0</v>
      </c>
      <c r="I270">
        <v>0</v>
      </c>
      <c r="J270">
        <v>0</v>
      </c>
      <c r="K270">
        <v>0</v>
      </c>
      <c r="L270">
        <v>0.18</v>
      </c>
      <c r="M270">
        <v>1</v>
      </c>
      <c r="N270">
        <v>0</v>
      </c>
      <c r="O270">
        <v>0</v>
      </c>
      <c r="P270" s="2">
        <f>(H270 + J270) - (L270 + N270)</f>
        <v>0</v>
      </c>
      <c r="Q270" s="2">
        <f>P270 * G270</f>
        <v>0</v>
      </c>
      <c r="R270">
        <v>0</v>
      </c>
      <c r="S270" s="2">
        <f>R270 * G270</f>
        <v>0</v>
      </c>
      <c r="T270" s="2">
        <f>(H270 + J270) - (L270 + N270) - R270</f>
        <v>0</v>
      </c>
      <c r="U270" s="2">
        <f>T270 * G270</f>
        <v>0</v>
      </c>
      <c r="V270" s="2">
        <f>I270 + K270 - S270</f>
        <v>0</v>
      </c>
      <c r="W270" s="2">
        <f>M270 - V270</f>
        <v>0</v>
      </c>
      <c r="X270" s="2">
        <f>IFERROR(W270 / M270 * 100, 0)</f>
        <v>0</v>
      </c>
    </row>
    <row r="271" spans="1:24">
      <c r="A271" t="s">
        <v>291</v>
      </c>
      <c r="B271" t="s">
        <v>512</v>
      </c>
      <c r="C271" t="s">
        <v>784</v>
      </c>
      <c r="D271" t="s">
        <v>1008</v>
      </c>
      <c r="E271" t="s">
        <v>1009</v>
      </c>
      <c r="F271" t="s">
        <v>1279</v>
      </c>
      <c r="G271">
        <v>3.75</v>
      </c>
      <c r="H271">
        <v>5</v>
      </c>
      <c r="I271">
        <v>18.75</v>
      </c>
      <c r="J271">
        <v>0</v>
      </c>
      <c r="K271">
        <v>0</v>
      </c>
      <c r="L271">
        <v>1</v>
      </c>
      <c r="M271">
        <v>5</v>
      </c>
      <c r="N271">
        <v>0</v>
      </c>
      <c r="O271">
        <v>0</v>
      </c>
      <c r="P271" s="2">
        <f>(H271 + J271) - (L271 + N271)</f>
        <v>0</v>
      </c>
      <c r="Q271" s="2">
        <f>P271 * G271</f>
        <v>0</v>
      </c>
      <c r="R271">
        <v>0</v>
      </c>
      <c r="S271" s="2">
        <f>R271 * G271</f>
        <v>0</v>
      </c>
      <c r="T271" s="2">
        <f>(H271 + J271) - (L271 + N271) - R271</f>
        <v>0</v>
      </c>
      <c r="U271" s="2">
        <f>T271 * G271</f>
        <v>0</v>
      </c>
      <c r="V271" s="2">
        <f>I271 + K271 - S271</f>
        <v>0</v>
      </c>
      <c r="W271" s="2">
        <f>M271 - V271</f>
        <v>0</v>
      </c>
      <c r="X271" s="2">
        <f>IFERROR(W271 / M271 * 100, 0)</f>
        <v>0</v>
      </c>
    </row>
    <row r="272" spans="1:24">
      <c r="A272" t="s">
        <v>292</v>
      </c>
      <c r="B272" t="s">
        <v>512</v>
      </c>
      <c r="C272" t="s">
        <v>785</v>
      </c>
      <c r="D272" t="s">
        <v>1007</v>
      </c>
      <c r="E272" t="s">
        <v>1009</v>
      </c>
      <c r="F272" t="s">
        <v>1280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0.24</v>
      </c>
      <c r="M272">
        <v>2.18</v>
      </c>
      <c r="N272">
        <v>0</v>
      </c>
      <c r="O272">
        <v>0</v>
      </c>
      <c r="P272" s="2">
        <f>(H272 + J272) - (L272 + N272)</f>
        <v>0</v>
      </c>
      <c r="Q272" s="2">
        <f>P272 * G272</f>
        <v>0</v>
      </c>
      <c r="R272">
        <v>0</v>
      </c>
      <c r="S272" s="2">
        <f>R272 * G272</f>
        <v>0</v>
      </c>
      <c r="T272" s="2">
        <f>(H272 + J272) - (L272 + N272) - R272</f>
        <v>0</v>
      </c>
      <c r="U272" s="2">
        <f>T272 * G272</f>
        <v>0</v>
      </c>
      <c r="V272" s="2">
        <f>I272 + K272 - S272</f>
        <v>0</v>
      </c>
      <c r="W272" s="2">
        <f>M272 - V272</f>
        <v>0</v>
      </c>
      <c r="X272" s="2">
        <f>IFERROR(W272 / M272 * 100, 0)</f>
        <v>0</v>
      </c>
    </row>
    <row r="273" spans="1:24">
      <c r="A273" t="s">
        <v>293</v>
      </c>
      <c r="B273" t="s">
        <v>512</v>
      </c>
      <c r="C273" t="s">
        <v>786</v>
      </c>
      <c r="D273" t="s">
        <v>1007</v>
      </c>
      <c r="E273" t="s">
        <v>1009</v>
      </c>
      <c r="F273" t="s">
        <v>1281</v>
      </c>
      <c r="G273">
        <v>1.96</v>
      </c>
      <c r="H273">
        <v>0</v>
      </c>
      <c r="I273">
        <v>0</v>
      </c>
      <c r="J273">
        <v>151.27</v>
      </c>
      <c r="K273">
        <v>291.56</v>
      </c>
      <c r="L273">
        <v>1.42</v>
      </c>
      <c r="M273">
        <v>3.55</v>
      </c>
      <c r="N273">
        <v>0</v>
      </c>
      <c r="O273">
        <v>0</v>
      </c>
      <c r="P273" s="2">
        <f>(H273 + J273) - (L273 + N273)</f>
        <v>0</v>
      </c>
      <c r="Q273" s="2">
        <f>P273 * G273</f>
        <v>0</v>
      </c>
      <c r="R273">
        <v>0</v>
      </c>
      <c r="S273" s="2">
        <f>R273 * G273</f>
        <v>0</v>
      </c>
      <c r="T273" s="2">
        <f>(H273 + J273) - (L273 + N273) - R273</f>
        <v>0</v>
      </c>
      <c r="U273" s="2">
        <f>T273 * G273</f>
        <v>0</v>
      </c>
      <c r="V273" s="2">
        <f>I273 + K273 - S273</f>
        <v>0</v>
      </c>
      <c r="W273" s="2">
        <f>M273 - V273</f>
        <v>0</v>
      </c>
      <c r="X273" s="2">
        <f>IFERROR(W273 / M273 * 100, 0)</f>
        <v>0</v>
      </c>
    </row>
    <row r="274" spans="1:24">
      <c r="A274" t="s">
        <v>294</v>
      </c>
      <c r="B274" t="s">
        <v>512</v>
      </c>
      <c r="C274" t="s">
        <v>787</v>
      </c>
      <c r="D274" t="s">
        <v>1007</v>
      </c>
      <c r="E274" t="s">
        <v>1009</v>
      </c>
      <c r="F274" t="s">
        <v>1282</v>
      </c>
      <c r="G274">
        <v>5.6</v>
      </c>
      <c r="H274">
        <v>0</v>
      </c>
      <c r="I274">
        <v>0</v>
      </c>
      <c r="J274">
        <v>0</v>
      </c>
      <c r="K274">
        <v>0</v>
      </c>
      <c r="L274">
        <v>4.2</v>
      </c>
      <c r="M274">
        <v>29.41</v>
      </c>
      <c r="N274">
        <v>0</v>
      </c>
      <c r="O274">
        <v>0</v>
      </c>
      <c r="P274" s="2">
        <f>(H274 + J274) - (L274 + N274)</f>
        <v>0</v>
      </c>
      <c r="Q274" s="2">
        <f>P274 * G274</f>
        <v>0</v>
      </c>
      <c r="R274">
        <v>0</v>
      </c>
      <c r="S274" s="2">
        <f>R274 * G274</f>
        <v>0</v>
      </c>
      <c r="T274" s="2">
        <f>(H274 + J274) - (L274 + N274) - R274</f>
        <v>0</v>
      </c>
      <c r="U274" s="2">
        <f>T274 * G274</f>
        <v>0</v>
      </c>
      <c r="V274" s="2">
        <f>I274 + K274 - S274</f>
        <v>0</v>
      </c>
      <c r="W274" s="2">
        <f>M274 - V274</f>
        <v>0</v>
      </c>
      <c r="X274" s="2">
        <f>IFERROR(W274 / M274 * 100, 0)</f>
        <v>0</v>
      </c>
    </row>
    <row r="275" spans="1:24">
      <c r="A275" t="s">
        <v>295</v>
      </c>
      <c r="B275" t="s">
        <v>512</v>
      </c>
      <c r="C275" t="s">
        <v>788</v>
      </c>
      <c r="D275" t="s">
        <v>1007</v>
      </c>
      <c r="E275" t="s">
        <v>1009</v>
      </c>
      <c r="F275" t="s">
        <v>1283</v>
      </c>
      <c r="G275">
        <v>1.25</v>
      </c>
      <c r="H275">
        <v>0</v>
      </c>
      <c r="I275">
        <v>0</v>
      </c>
      <c r="J275">
        <v>34035.1</v>
      </c>
      <c r="K275">
        <v>48846.57</v>
      </c>
      <c r="L275">
        <v>32932.81</v>
      </c>
      <c r="M275">
        <v>58397.42</v>
      </c>
      <c r="N275">
        <v>0</v>
      </c>
      <c r="O275">
        <v>0</v>
      </c>
      <c r="P275" s="2">
        <f>(H275 + J275) - (L275 + N275)</f>
        <v>0</v>
      </c>
      <c r="Q275" s="2">
        <f>P275 * G275</f>
        <v>0</v>
      </c>
      <c r="R275">
        <v>1290.5</v>
      </c>
      <c r="S275" s="2">
        <f>R275 * G275</f>
        <v>0</v>
      </c>
      <c r="T275" s="2">
        <f>(H275 + J275) - (L275 + N275) - R275</f>
        <v>0</v>
      </c>
      <c r="U275" s="2">
        <f>T275 * G275</f>
        <v>0</v>
      </c>
      <c r="V275" s="2">
        <f>I275 + K275 - S275</f>
        <v>0</v>
      </c>
      <c r="W275" s="2">
        <f>M275 - V275</f>
        <v>0</v>
      </c>
      <c r="X275" s="2">
        <f>IFERROR(W275 / M275 * 100, 0)</f>
        <v>0</v>
      </c>
    </row>
    <row r="276" spans="1:24">
      <c r="A276" t="s">
        <v>296</v>
      </c>
      <c r="B276" t="s">
        <v>512</v>
      </c>
      <c r="C276" t="s">
        <v>789</v>
      </c>
      <c r="D276" t="s">
        <v>1007</v>
      </c>
      <c r="E276" t="s">
        <v>1009</v>
      </c>
      <c r="F276" t="s">
        <v>1284</v>
      </c>
      <c r="G276">
        <v>7.19</v>
      </c>
      <c r="H276">
        <v>0</v>
      </c>
      <c r="I276">
        <v>0</v>
      </c>
      <c r="J276">
        <v>231</v>
      </c>
      <c r="K276">
        <v>1659.75</v>
      </c>
      <c r="L276">
        <v>0</v>
      </c>
      <c r="M276">
        <v>0</v>
      </c>
      <c r="N276">
        <v>0</v>
      </c>
      <c r="O276">
        <v>0</v>
      </c>
      <c r="P276" s="2">
        <f>(H276 + J276) - (L276 + N276)</f>
        <v>0</v>
      </c>
      <c r="Q276" s="2">
        <f>P276 * G276</f>
        <v>0</v>
      </c>
      <c r="R276">
        <v>0</v>
      </c>
      <c r="S276" s="2">
        <f>R276 * G276</f>
        <v>0</v>
      </c>
      <c r="T276" s="2">
        <f>(H276 + J276) - (L276 + N276) - R276</f>
        <v>0</v>
      </c>
      <c r="U276" s="2">
        <f>T276 * G276</f>
        <v>0</v>
      </c>
      <c r="V276" s="2">
        <f>I276 + K276 - S276</f>
        <v>0</v>
      </c>
      <c r="W276" s="2">
        <f>M276 - V276</f>
        <v>0</v>
      </c>
      <c r="X276" s="2">
        <f>IFERROR(W276 / M276 * 100, 0)</f>
        <v>0</v>
      </c>
    </row>
    <row r="277" spans="1:24">
      <c r="A277" t="s">
        <v>297</v>
      </c>
      <c r="B277" t="s">
        <v>512</v>
      </c>
      <c r="C277" t="s">
        <v>790</v>
      </c>
      <c r="D277" t="s">
        <v>1007</v>
      </c>
      <c r="E277" t="s">
        <v>1009</v>
      </c>
      <c r="F277" t="s">
        <v>1285</v>
      </c>
      <c r="G277">
        <v>7.82</v>
      </c>
      <c r="H277">
        <v>134.7</v>
      </c>
      <c r="I277">
        <v>1173.13</v>
      </c>
      <c r="J277">
        <v>465.5</v>
      </c>
      <c r="K277">
        <v>3519.16</v>
      </c>
      <c r="L277">
        <v>483.77</v>
      </c>
      <c r="M277">
        <v>6531.16</v>
      </c>
      <c r="N277">
        <v>43</v>
      </c>
      <c r="O277">
        <v>339.21</v>
      </c>
      <c r="P277" s="2">
        <f>(H277 + J277) - (L277 + N277)</f>
        <v>0</v>
      </c>
      <c r="Q277" s="2">
        <f>P277 * G277</f>
        <v>0</v>
      </c>
      <c r="R277">
        <v>241.9</v>
      </c>
      <c r="S277" s="2">
        <f>R277 * G277</f>
        <v>0</v>
      </c>
      <c r="T277" s="2">
        <f>(H277 + J277) - (L277 + N277) - R277</f>
        <v>0</v>
      </c>
      <c r="U277" s="2">
        <f>T277 * G277</f>
        <v>0</v>
      </c>
      <c r="V277" s="2">
        <f>I277 + K277 - S277</f>
        <v>0</v>
      </c>
      <c r="W277" s="2">
        <f>M277 - V277</f>
        <v>0</v>
      </c>
      <c r="X277" s="2">
        <f>IFERROR(W277 / M277 * 100, 0)</f>
        <v>0</v>
      </c>
    </row>
    <row r="278" spans="1:24">
      <c r="A278" t="s">
        <v>298</v>
      </c>
      <c r="B278" t="s">
        <v>512</v>
      </c>
      <c r="C278" t="s">
        <v>791</v>
      </c>
      <c r="D278" t="s">
        <v>1007</v>
      </c>
      <c r="E278" t="s">
        <v>1009</v>
      </c>
      <c r="F278" t="s">
        <v>1286</v>
      </c>
      <c r="G278">
        <v>6.91</v>
      </c>
      <c r="H278">
        <v>0</v>
      </c>
      <c r="I278">
        <v>0</v>
      </c>
      <c r="J278">
        <v>0</v>
      </c>
      <c r="K278">
        <v>0</v>
      </c>
      <c r="L278">
        <v>1.3</v>
      </c>
      <c r="M278">
        <v>5.2</v>
      </c>
      <c r="N278">
        <v>0</v>
      </c>
      <c r="O278">
        <v>0</v>
      </c>
      <c r="P278" s="2">
        <f>(H278 + J278) - (L278 + N278)</f>
        <v>0</v>
      </c>
      <c r="Q278" s="2">
        <f>P278 * G278</f>
        <v>0</v>
      </c>
      <c r="R278">
        <v>0</v>
      </c>
      <c r="S278" s="2">
        <f>R278 * G278</f>
        <v>0</v>
      </c>
      <c r="T278" s="2">
        <f>(H278 + J278) - (L278 + N278) - R278</f>
        <v>0</v>
      </c>
      <c r="U278" s="2">
        <f>T278 * G278</f>
        <v>0</v>
      </c>
      <c r="V278" s="2">
        <f>I278 + K278 - S278</f>
        <v>0</v>
      </c>
      <c r="W278" s="2">
        <f>M278 - V278</f>
        <v>0</v>
      </c>
      <c r="X278" s="2">
        <f>IFERROR(W278 / M278 * 100, 0)</f>
        <v>0</v>
      </c>
    </row>
    <row r="279" spans="1:24">
      <c r="A279" t="s">
        <v>299</v>
      </c>
      <c r="B279" t="s">
        <v>512</v>
      </c>
      <c r="C279" t="s">
        <v>792</v>
      </c>
      <c r="D279" t="s">
        <v>1007</v>
      </c>
      <c r="E279" t="s">
        <v>1009</v>
      </c>
      <c r="F279" t="s">
        <v>1287</v>
      </c>
      <c r="G279">
        <v>6.93</v>
      </c>
      <c r="H279">
        <v>529.4</v>
      </c>
      <c r="I279">
        <v>3541.54</v>
      </c>
      <c r="J279">
        <v>4922.5</v>
      </c>
      <c r="K279">
        <v>34325.88</v>
      </c>
      <c r="L279">
        <v>4926.17</v>
      </c>
      <c r="M279">
        <v>40431.8</v>
      </c>
      <c r="N279">
        <v>249</v>
      </c>
      <c r="O279">
        <v>1739.28</v>
      </c>
      <c r="P279" s="2">
        <f>(H279 + J279) - (L279 + N279)</f>
        <v>0</v>
      </c>
      <c r="Q279" s="2">
        <f>P279 * G279</f>
        <v>0</v>
      </c>
      <c r="R279">
        <v>458.2</v>
      </c>
      <c r="S279" s="2">
        <f>R279 * G279</f>
        <v>0</v>
      </c>
      <c r="T279" s="2">
        <f>(H279 + J279) - (L279 + N279) - R279</f>
        <v>0</v>
      </c>
      <c r="U279" s="2">
        <f>T279 * G279</f>
        <v>0</v>
      </c>
      <c r="V279" s="2">
        <f>I279 + K279 - S279</f>
        <v>0</v>
      </c>
      <c r="W279" s="2">
        <f>M279 - V279</f>
        <v>0</v>
      </c>
      <c r="X279" s="2">
        <f>IFERROR(W279 / M279 * 100, 0)</f>
        <v>0</v>
      </c>
    </row>
    <row r="280" spans="1:24">
      <c r="A280" t="s">
        <v>300</v>
      </c>
      <c r="B280" t="s">
        <v>512</v>
      </c>
      <c r="C280" t="s">
        <v>793</v>
      </c>
      <c r="D280" t="s">
        <v>1007</v>
      </c>
      <c r="E280" t="s">
        <v>1009</v>
      </c>
      <c r="F280" t="s">
        <v>1288</v>
      </c>
      <c r="G280">
        <v>9.119999999999999</v>
      </c>
      <c r="H280">
        <v>0</v>
      </c>
      <c r="I280">
        <v>0</v>
      </c>
      <c r="J280">
        <v>0</v>
      </c>
      <c r="K280">
        <v>0</v>
      </c>
      <c r="L280">
        <v>0.66</v>
      </c>
      <c r="M280">
        <v>6.89</v>
      </c>
      <c r="N280">
        <v>0</v>
      </c>
      <c r="O280">
        <v>0</v>
      </c>
      <c r="P280" s="2">
        <f>(H280 + J280) - (L280 + N280)</f>
        <v>0</v>
      </c>
      <c r="Q280" s="2">
        <f>P280 * G280</f>
        <v>0</v>
      </c>
      <c r="R280">
        <v>0</v>
      </c>
      <c r="S280" s="2">
        <f>R280 * G280</f>
        <v>0</v>
      </c>
      <c r="T280" s="2">
        <f>(H280 + J280) - (L280 + N280) - R280</f>
        <v>0</v>
      </c>
      <c r="U280" s="2">
        <f>T280 * G280</f>
        <v>0</v>
      </c>
      <c r="V280" s="2">
        <f>I280 + K280 - S280</f>
        <v>0</v>
      </c>
      <c r="W280" s="2">
        <f>M280 - V280</f>
        <v>0</v>
      </c>
      <c r="X280" s="2">
        <f>IFERROR(W280 / M280 * 100, 0)</f>
        <v>0</v>
      </c>
    </row>
    <row r="281" spans="1:24">
      <c r="A281" t="s">
        <v>301</v>
      </c>
      <c r="B281" t="s">
        <v>512</v>
      </c>
      <c r="C281" t="s">
        <v>794</v>
      </c>
      <c r="D281" t="s">
        <v>1007</v>
      </c>
      <c r="E281" t="s">
        <v>1009</v>
      </c>
      <c r="F281" t="s">
        <v>1289</v>
      </c>
      <c r="G281">
        <v>8.130000000000001</v>
      </c>
      <c r="H281">
        <v>40</v>
      </c>
      <c r="I281">
        <v>325.11</v>
      </c>
      <c r="J281">
        <v>0</v>
      </c>
      <c r="K281">
        <v>0</v>
      </c>
      <c r="L281">
        <v>9.48</v>
      </c>
      <c r="M281">
        <v>90.06</v>
      </c>
      <c r="N281">
        <v>30.52</v>
      </c>
      <c r="O281">
        <v>248.06</v>
      </c>
      <c r="P281" s="2">
        <f>(H281 + J281) - (L281 + N281)</f>
        <v>0</v>
      </c>
      <c r="Q281" s="2">
        <f>P281 * G281</f>
        <v>0</v>
      </c>
      <c r="R281">
        <v>0</v>
      </c>
      <c r="S281" s="2">
        <f>R281 * G281</f>
        <v>0</v>
      </c>
      <c r="T281" s="2">
        <f>(H281 + J281) - (L281 + N281) - R281</f>
        <v>0</v>
      </c>
      <c r="U281" s="2">
        <f>T281 * G281</f>
        <v>0</v>
      </c>
      <c r="V281" s="2">
        <f>I281 + K281 - S281</f>
        <v>0</v>
      </c>
      <c r="W281" s="2">
        <f>M281 - V281</f>
        <v>0</v>
      </c>
      <c r="X281" s="2">
        <f>IFERROR(W281 / M281 * 100, 0)</f>
        <v>0</v>
      </c>
    </row>
    <row r="282" spans="1:24">
      <c r="A282" t="s">
        <v>302</v>
      </c>
      <c r="B282" t="s">
        <v>512</v>
      </c>
      <c r="C282" t="s">
        <v>795</v>
      </c>
      <c r="D282" t="s">
        <v>1008</v>
      </c>
      <c r="E282" t="s">
        <v>1009</v>
      </c>
      <c r="F282" t="s">
        <v>1290</v>
      </c>
      <c r="G282">
        <v>4.79</v>
      </c>
      <c r="H282">
        <v>2</v>
      </c>
      <c r="I282">
        <v>10</v>
      </c>
      <c r="J282">
        <v>11</v>
      </c>
      <c r="K282">
        <v>53.5</v>
      </c>
      <c r="L282">
        <v>7</v>
      </c>
      <c r="M282">
        <v>42</v>
      </c>
      <c r="N282">
        <v>0</v>
      </c>
      <c r="O282">
        <v>0</v>
      </c>
      <c r="P282" s="2">
        <f>(H282 + J282) - (L282 + N282)</f>
        <v>0</v>
      </c>
      <c r="Q282" s="2">
        <f>P282 * G282</f>
        <v>0</v>
      </c>
      <c r="R282">
        <v>4</v>
      </c>
      <c r="S282" s="2">
        <f>R282 * G282</f>
        <v>0</v>
      </c>
      <c r="T282" s="2">
        <f>(H282 + J282) - (L282 + N282) - R282</f>
        <v>0</v>
      </c>
      <c r="U282" s="2">
        <f>T282 * G282</f>
        <v>0</v>
      </c>
      <c r="V282" s="2">
        <f>I282 + K282 - S282</f>
        <v>0</v>
      </c>
      <c r="W282" s="2">
        <f>M282 - V282</f>
        <v>0</v>
      </c>
      <c r="X282" s="2">
        <f>IFERROR(W282 / M282 * 100, 0)</f>
        <v>0</v>
      </c>
    </row>
    <row r="283" spans="1:24">
      <c r="A283" t="s">
        <v>303</v>
      </c>
      <c r="B283" t="s">
        <v>512</v>
      </c>
      <c r="C283" t="s">
        <v>796</v>
      </c>
      <c r="D283" t="s">
        <v>1007</v>
      </c>
      <c r="E283" t="s">
        <v>1009</v>
      </c>
      <c r="F283" t="s">
        <v>1291</v>
      </c>
      <c r="G283">
        <v>8.279999999999999</v>
      </c>
      <c r="H283">
        <v>0</v>
      </c>
      <c r="I283">
        <v>0</v>
      </c>
      <c r="J283">
        <v>0</v>
      </c>
      <c r="K283">
        <v>0</v>
      </c>
      <c r="L283">
        <v>0.46</v>
      </c>
      <c r="M283">
        <v>20.24</v>
      </c>
      <c r="N283">
        <v>0</v>
      </c>
      <c r="O283">
        <v>0</v>
      </c>
      <c r="P283" s="2">
        <f>(H283 + J283) - (L283 + N283)</f>
        <v>0</v>
      </c>
      <c r="Q283" s="2">
        <f>P283 * G283</f>
        <v>0</v>
      </c>
      <c r="R283">
        <v>0</v>
      </c>
      <c r="S283" s="2">
        <f>R283 * G283</f>
        <v>0</v>
      </c>
      <c r="T283" s="2">
        <f>(H283 + J283) - (L283 + N283) - R283</f>
        <v>0</v>
      </c>
      <c r="U283" s="2">
        <f>T283 * G283</f>
        <v>0</v>
      </c>
      <c r="V283" s="2">
        <f>I283 + K283 - S283</f>
        <v>0</v>
      </c>
      <c r="W283" s="2">
        <f>M283 - V283</f>
        <v>0</v>
      </c>
      <c r="X283" s="2">
        <f>IFERROR(W283 / M283 * 100, 0)</f>
        <v>0</v>
      </c>
    </row>
    <row r="284" spans="1:24">
      <c r="A284" t="s">
        <v>304</v>
      </c>
      <c r="B284" t="s">
        <v>512</v>
      </c>
      <c r="C284" t="s">
        <v>797</v>
      </c>
      <c r="D284" t="s">
        <v>1007</v>
      </c>
      <c r="E284" t="s">
        <v>1009</v>
      </c>
      <c r="F284" t="s">
        <v>1292</v>
      </c>
      <c r="G284">
        <v>4.22</v>
      </c>
      <c r="H284">
        <v>0</v>
      </c>
      <c r="I284">
        <v>0</v>
      </c>
      <c r="J284">
        <v>0</v>
      </c>
      <c r="K284">
        <v>0</v>
      </c>
      <c r="L284">
        <v>0.35</v>
      </c>
      <c r="M284">
        <v>1.75</v>
      </c>
      <c r="N284">
        <v>0</v>
      </c>
      <c r="O284">
        <v>0</v>
      </c>
      <c r="P284" s="2">
        <f>(H284 + J284) - (L284 + N284)</f>
        <v>0</v>
      </c>
      <c r="Q284" s="2">
        <f>P284 * G284</f>
        <v>0</v>
      </c>
      <c r="R284">
        <v>0</v>
      </c>
      <c r="S284" s="2">
        <f>R284 * G284</f>
        <v>0</v>
      </c>
      <c r="T284" s="2">
        <f>(H284 + J284) - (L284 + N284) - R284</f>
        <v>0</v>
      </c>
      <c r="U284" s="2">
        <f>T284 * G284</f>
        <v>0</v>
      </c>
      <c r="V284" s="2">
        <f>I284 + K284 - S284</f>
        <v>0</v>
      </c>
      <c r="W284" s="2">
        <f>M284 - V284</f>
        <v>0</v>
      </c>
      <c r="X284" s="2">
        <f>IFERROR(W284 / M284 * 100, 0)</f>
        <v>0</v>
      </c>
    </row>
    <row r="285" spans="1:24">
      <c r="A285" t="s">
        <v>305</v>
      </c>
      <c r="B285" t="s">
        <v>512</v>
      </c>
      <c r="C285" t="s">
        <v>798</v>
      </c>
      <c r="D285" t="s">
        <v>1007</v>
      </c>
      <c r="E285" t="s">
        <v>1009</v>
      </c>
      <c r="F285" t="s">
        <v>1293</v>
      </c>
      <c r="G285">
        <v>3.5</v>
      </c>
      <c r="H285">
        <v>0</v>
      </c>
      <c r="I285">
        <v>0</v>
      </c>
      <c r="J285">
        <v>0</v>
      </c>
      <c r="K285">
        <v>0</v>
      </c>
      <c r="L285">
        <v>0.6</v>
      </c>
      <c r="M285">
        <v>2.25</v>
      </c>
      <c r="N285">
        <v>0</v>
      </c>
      <c r="O285">
        <v>0</v>
      </c>
      <c r="P285" s="2">
        <f>(H285 + J285) - (L285 + N285)</f>
        <v>0</v>
      </c>
      <c r="Q285" s="2">
        <f>P285 * G285</f>
        <v>0</v>
      </c>
      <c r="R285">
        <v>0</v>
      </c>
      <c r="S285" s="2">
        <f>R285 * G285</f>
        <v>0</v>
      </c>
      <c r="T285" s="2">
        <f>(H285 + J285) - (L285 + N285) - R285</f>
        <v>0</v>
      </c>
      <c r="U285" s="2">
        <f>T285 * G285</f>
        <v>0</v>
      </c>
      <c r="V285" s="2">
        <f>I285 + K285 - S285</f>
        <v>0</v>
      </c>
      <c r="W285" s="2">
        <f>M285 - V285</f>
        <v>0</v>
      </c>
      <c r="X285" s="2">
        <f>IFERROR(W285 / M285 * 100, 0)</f>
        <v>0</v>
      </c>
    </row>
    <row r="286" spans="1:24">
      <c r="A286" t="s">
        <v>306</v>
      </c>
      <c r="B286" t="s">
        <v>512</v>
      </c>
      <c r="C286" t="s">
        <v>799</v>
      </c>
      <c r="D286" t="s">
        <v>1007</v>
      </c>
      <c r="E286" t="s">
        <v>1009</v>
      </c>
      <c r="F286" t="s">
        <v>1294</v>
      </c>
      <c r="G286">
        <v>3.85</v>
      </c>
      <c r="H286">
        <v>0</v>
      </c>
      <c r="I286">
        <v>0</v>
      </c>
      <c r="J286">
        <v>455</v>
      </c>
      <c r="K286">
        <v>1751.75</v>
      </c>
      <c r="L286">
        <v>361.83</v>
      </c>
      <c r="M286">
        <v>1733</v>
      </c>
      <c r="N286">
        <v>0</v>
      </c>
      <c r="O286">
        <v>0</v>
      </c>
      <c r="P286" s="2">
        <f>(H286 + J286) - (L286 + N286)</f>
        <v>0</v>
      </c>
      <c r="Q286" s="2">
        <f>P286 * G286</f>
        <v>0</v>
      </c>
      <c r="R286">
        <v>17</v>
      </c>
      <c r="S286" s="2">
        <f>R286 * G286</f>
        <v>0</v>
      </c>
      <c r="T286" s="2">
        <f>(H286 + J286) - (L286 + N286) - R286</f>
        <v>0</v>
      </c>
      <c r="U286" s="2">
        <f>T286 * G286</f>
        <v>0</v>
      </c>
      <c r="V286" s="2">
        <f>I286 + K286 - S286</f>
        <v>0</v>
      </c>
      <c r="W286" s="2">
        <f>M286 - V286</f>
        <v>0</v>
      </c>
      <c r="X286" s="2">
        <f>IFERROR(W286 / M286 * 100, 0)</f>
        <v>0</v>
      </c>
    </row>
    <row r="287" spans="1:24">
      <c r="A287" t="s">
        <v>307</v>
      </c>
      <c r="B287" t="s">
        <v>512</v>
      </c>
      <c r="C287" t="s">
        <v>800</v>
      </c>
      <c r="D287" t="s">
        <v>1007</v>
      </c>
      <c r="E287" t="s">
        <v>1009</v>
      </c>
      <c r="F287" t="s">
        <v>1295</v>
      </c>
      <c r="G287">
        <v>12</v>
      </c>
      <c r="H287">
        <v>0</v>
      </c>
      <c r="I287">
        <v>0</v>
      </c>
      <c r="J287">
        <v>0</v>
      </c>
      <c r="K287">
        <v>0</v>
      </c>
      <c r="L287">
        <v>0.74</v>
      </c>
      <c r="M287">
        <v>8.15</v>
      </c>
      <c r="N287">
        <v>0</v>
      </c>
      <c r="O287">
        <v>0</v>
      </c>
      <c r="P287" s="2">
        <f>(H287 + J287) - (L287 + N287)</f>
        <v>0</v>
      </c>
      <c r="Q287" s="2">
        <f>P287 * G287</f>
        <v>0</v>
      </c>
      <c r="R287">
        <v>0</v>
      </c>
      <c r="S287" s="2">
        <f>R287 * G287</f>
        <v>0</v>
      </c>
      <c r="T287" s="2">
        <f>(H287 + J287) - (L287 + N287) - R287</f>
        <v>0</v>
      </c>
      <c r="U287" s="2">
        <f>T287 * G287</f>
        <v>0</v>
      </c>
      <c r="V287" s="2">
        <f>I287 + K287 - S287</f>
        <v>0</v>
      </c>
      <c r="W287" s="2">
        <f>M287 - V287</f>
        <v>0</v>
      </c>
      <c r="X287" s="2">
        <f>IFERROR(W287 / M287 * 100, 0)</f>
        <v>0</v>
      </c>
    </row>
    <row r="288" spans="1:24">
      <c r="A288" t="s">
        <v>308</v>
      </c>
      <c r="B288" t="s">
        <v>512</v>
      </c>
      <c r="C288" t="s">
        <v>801</v>
      </c>
      <c r="D288" t="s">
        <v>1008</v>
      </c>
      <c r="E288" t="s">
        <v>1009</v>
      </c>
      <c r="F288" t="s">
        <v>1296</v>
      </c>
      <c r="G288">
        <v>13.5</v>
      </c>
      <c r="H288">
        <v>4</v>
      </c>
      <c r="I288">
        <v>54</v>
      </c>
      <c r="J288">
        <v>0</v>
      </c>
      <c r="K288">
        <v>0</v>
      </c>
      <c r="L288">
        <v>1</v>
      </c>
      <c r="M288">
        <v>16</v>
      </c>
      <c r="N288">
        <v>0</v>
      </c>
      <c r="O288">
        <v>0</v>
      </c>
      <c r="P288" s="2">
        <f>(H288 + J288) - (L288 + N288)</f>
        <v>0</v>
      </c>
      <c r="Q288" s="2">
        <f>P288 * G288</f>
        <v>0</v>
      </c>
      <c r="R288">
        <v>3</v>
      </c>
      <c r="S288" s="2">
        <f>R288 * G288</f>
        <v>0</v>
      </c>
      <c r="T288" s="2">
        <f>(H288 + J288) - (L288 + N288) - R288</f>
        <v>0</v>
      </c>
      <c r="U288" s="2">
        <f>T288 * G288</f>
        <v>0</v>
      </c>
      <c r="V288" s="2">
        <f>I288 + K288 - S288</f>
        <v>0</v>
      </c>
      <c r="W288" s="2">
        <f>M288 - V288</f>
        <v>0</v>
      </c>
      <c r="X288" s="2">
        <f>IFERROR(W288 / M288 * 100, 0)</f>
        <v>0</v>
      </c>
    </row>
    <row r="289" spans="1:24">
      <c r="A289" t="s">
        <v>309</v>
      </c>
      <c r="B289" t="s">
        <v>512</v>
      </c>
      <c r="C289" t="s">
        <v>802</v>
      </c>
      <c r="D289" t="s">
        <v>1007</v>
      </c>
      <c r="E289" t="s">
        <v>1009</v>
      </c>
      <c r="F289" t="s">
        <v>1297</v>
      </c>
      <c r="G289">
        <v>6</v>
      </c>
      <c r="H289">
        <v>0</v>
      </c>
      <c r="I289">
        <v>0</v>
      </c>
      <c r="J289">
        <v>0</v>
      </c>
      <c r="K289">
        <v>0</v>
      </c>
      <c r="L289">
        <v>1.83</v>
      </c>
      <c r="M289">
        <v>23.84</v>
      </c>
      <c r="N289">
        <v>0</v>
      </c>
      <c r="O289">
        <v>0</v>
      </c>
      <c r="P289" s="2">
        <f>(H289 + J289) - (L289 + N289)</f>
        <v>0</v>
      </c>
      <c r="Q289" s="2">
        <f>P289 * G289</f>
        <v>0</v>
      </c>
      <c r="R289">
        <v>0</v>
      </c>
      <c r="S289" s="2">
        <f>R289 * G289</f>
        <v>0</v>
      </c>
      <c r="T289" s="2">
        <f>(H289 + J289) - (L289 + N289) - R289</f>
        <v>0</v>
      </c>
      <c r="U289" s="2">
        <f>T289 * G289</f>
        <v>0</v>
      </c>
      <c r="V289" s="2">
        <f>I289 + K289 - S289</f>
        <v>0</v>
      </c>
      <c r="W289" s="2">
        <f>M289 - V289</f>
        <v>0</v>
      </c>
      <c r="X289" s="2">
        <f>IFERROR(W289 / M289 * 100, 0)</f>
        <v>0</v>
      </c>
    </row>
    <row r="290" spans="1:24">
      <c r="A290" t="s">
        <v>310</v>
      </c>
      <c r="B290" t="s">
        <v>512</v>
      </c>
      <c r="C290" t="s">
        <v>803</v>
      </c>
      <c r="D290" t="s">
        <v>1008</v>
      </c>
      <c r="E290" t="s">
        <v>1009</v>
      </c>
      <c r="F290" t="s">
        <v>1298</v>
      </c>
      <c r="G290">
        <v>7.3</v>
      </c>
      <c r="H290">
        <v>0</v>
      </c>
      <c r="I290">
        <v>0</v>
      </c>
      <c r="J290">
        <v>0</v>
      </c>
      <c r="K290">
        <v>0</v>
      </c>
      <c r="L290">
        <v>26</v>
      </c>
      <c r="M290">
        <v>221</v>
      </c>
      <c r="N290">
        <v>0</v>
      </c>
      <c r="O290">
        <v>0</v>
      </c>
      <c r="P290" s="2">
        <f>(H290 + J290) - (L290 + N290)</f>
        <v>0</v>
      </c>
      <c r="Q290" s="2">
        <f>P290 * G290</f>
        <v>0</v>
      </c>
      <c r="R290">
        <v>0</v>
      </c>
      <c r="S290" s="2">
        <f>R290 * G290</f>
        <v>0</v>
      </c>
      <c r="T290" s="2">
        <f>(H290 + J290) - (L290 + N290) - R290</f>
        <v>0</v>
      </c>
      <c r="U290" s="2">
        <f>T290 * G290</f>
        <v>0</v>
      </c>
      <c r="V290" s="2">
        <f>I290 + K290 - S290</f>
        <v>0</v>
      </c>
      <c r="W290" s="2">
        <f>M290 - V290</f>
        <v>0</v>
      </c>
      <c r="X290" s="2">
        <f>IFERROR(W290 / M290 * 100, 0)</f>
        <v>0</v>
      </c>
    </row>
    <row r="291" spans="1:24">
      <c r="A291" t="s">
        <v>311</v>
      </c>
      <c r="B291" t="s">
        <v>512</v>
      </c>
      <c r="C291" t="s">
        <v>804</v>
      </c>
      <c r="D291" t="s">
        <v>1007</v>
      </c>
      <c r="E291" t="s">
        <v>1009</v>
      </c>
      <c r="F291" t="s">
        <v>1299</v>
      </c>
      <c r="G291">
        <v>6.69</v>
      </c>
      <c r="H291">
        <v>14.6</v>
      </c>
      <c r="I291">
        <v>98.95999999999999</v>
      </c>
      <c r="J291">
        <v>29</v>
      </c>
      <c r="K291">
        <v>197.5</v>
      </c>
      <c r="L291">
        <v>21.34</v>
      </c>
      <c r="M291">
        <v>180.46</v>
      </c>
      <c r="N291">
        <v>3</v>
      </c>
      <c r="O291">
        <v>20.61</v>
      </c>
      <c r="P291" s="2">
        <f>(H291 + J291) - (L291 + N291)</f>
        <v>0</v>
      </c>
      <c r="Q291" s="2">
        <f>P291 * G291</f>
        <v>0</v>
      </c>
      <c r="R291">
        <v>11.5</v>
      </c>
      <c r="S291" s="2">
        <f>R291 * G291</f>
        <v>0</v>
      </c>
      <c r="T291" s="2">
        <f>(H291 + J291) - (L291 + N291) - R291</f>
        <v>0</v>
      </c>
      <c r="U291" s="2">
        <f>T291 * G291</f>
        <v>0</v>
      </c>
      <c r="V291" s="2">
        <f>I291 + K291 - S291</f>
        <v>0</v>
      </c>
      <c r="W291" s="2">
        <f>M291 - V291</f>
        <v>0</v>
      </c>
      <c r="X291" s="2">
        <f>IFERROR(W291 / M291 * 100, 0)</f>
        <v>0</v>
      </c>
    </row>
    <row r="292" spans="1:24">
      <c r="A292" t="s">
        <v>312</v>
      </c>
      <c r="B292" t="s">
        <v>512</v>
      </c>
      <c r="C292" t="s">
        <v>805</v>
      </c>
      <c r="D292" t="s">
        <v>1007</v>
      </c>
      <c r="E292" t="s">
        <v>1009</v>
      </c>
      <c r="F292" t="s">
        <v>1300</v>
      </c>
      <c r="G292">
        <v>2.25</v>
      </c>
      <c r="H292">
        <v>0</v>
      </c>
      <c r="I292">
        <v>0</v>
      </c>
      <c r="J292">
        <v>0</v>
      </c>
      <c r="K292">
        <v>0</v>
      </c>
      <c r="L292">
        <v>1.11</v>
      </c>
      <c r="M292">
        <v>2.22</v>
      </c>
      <c r="N292">
        <v>0</v>
      </c>
      <c r="O292">
        <v>0</v>
      </c>
      <c r="P292" s="2">
        <f>(H292 + J292) - (L292 + N292)</f>
        <v>0</v>
      </c>
      <c r="Q292" s="2">
        <f>P292 * G292</f>
        <v>0</v>
      </c>
      <c r="R292">
        <v>0</v>
      </c>
      <c r="S292" s="2">
        <f>R292 * G292</f>
        <v>0</v>
      </c>
      <c r="T292" s="2">
        <f>(H292 + J292) - (L292 + N292) - R292</f>
        <v>0</v>
      </c>
      <c r="U292" s="2">
        <f>T292 * G292</f>
        <v>0</v>
      </c>
      <c r="V292" s="2">
        <f>I292 + K292 - S292</f>
        <v>0</v>
      </c>
      <c r="W292" s="2">
        <f>M292 - V292</f>
        <v>0</v>
      </c>
      <c r="X292" s="2">
        <f>IFERROR(W292 / M292 * 100, 0)</f>
        <v>0</v>
      </c>
    </row>
    <row r="293" spans="1:24">
      <c r="A293" t="s">
        <v>313</v>
      </c>
      <c r="B293" t="s">
        <v>512</v>
      </c>
      <c r="C293" t="s">
        <v>806</v>
      </c>
      <c r="D293" t="s">
        <v>1007</v>
      </c>
      <c r="E293" t="s">
        <v>1009</v>
      </c>
      <c r="F293" t="s">
        <v>1301</v>
      </c>
      <c r="G293">
        <v>10.5</v>
      </c>
      <c r="H293">
        <v>0</v>
      </c>
      <c r="I293">
        <v>0</v>
      </c>
      <c r="J293">
        <v>0</v>
      </c>
      <c r="K293">
        <v>0</v>
      </c>
      <c r="L293">
        <v>3.09</v>
      </c>
      <c r="M293">
        <v>26.25</v>
      </c>
      <c r="N293">
        <v>0</v>
      </c>
      <c r="O293">
        <v>0</v>
      </c>
      <c r="P293" s="2">
        <f>(H293 + J293) - (L293 + N293)</f>
        <v>0</v>
      </c>
      <c r="Q293" s="2">
        <f>P293 * G293</f>
        <v>0</v>
      </c>
      <c r="R293">
        <v>1</v>
      </c>
      <c r="S293" s="2">
        <f>R293 * G293</f>
        <v>0</v>
      </c>
      <c r="T293" s="2">
        <f>(H293 + J293) - (L293 + N293) - R293</f>
        <v>0</v>
      </c>
      <c r="U293" s="2">
        <f>T293 * G293</f>
        <v>0</v>
      </c>
      <c r="V293" s="2">
        <f>I293 + K293 - S293</f>
        <v>0</v>
      </c>
      <c r="W293" s="2">
        <f>M293 - V293</f>
        <v>0</v>
      </c>
      <c r="X293" s="2">
        <f>IFERROR(W293 / M293 * 100, 0)</f>
        <v>0</v>
      </c>
    </row>
    <row r="294" spans="1:24">
      <c r="A294" t="s">
        <v>314</v>
      </c>
      <c r="B294" t="s">
        <v>512</v>
      </c>
      <c r="C294" t="s">
        <v>807</v>
      </c>
      <c r="D294" t="s">
        <v>1007</v>
      </c>
      <c r="E294" t="s">
        <v>1009</v>
      </c>
      <c r="F294" t="s">
        <v>1302</v>
      </c>
      <c r="G294">
        <v>3.5</v>
      </c>
      <c r="H294">
        <v>0</v>
      </c>
      <c r="I294">
        <v>0</v>
      </c>
      <c r="J294">
        <v>104.31</v>
      </c>
      <c r="K294">
        <v>544.66</v>
      </c>
      <c r="L294">
        <v>82.54000000000001</v>
      </c>
      <c r="M294">
        <v>804.79</v>
      </c>
      <c r="N294">
        <v>3</v>
      </c>
      <c r="O294">
        <v>17.27</v>
      </c>
      <c r="P294" s="2">
        <f>(H294 + J294) - (L294 + N294)</f>
        <v>0</v>
      </c>
      <c r="Q294" s="2">
        <f>P294 * G294</f>
        <v>0</v>
      </c>
      <c r="R294">
        <v>12.5</v>
      </c>
      <c r="S294" s="2">
        <f>R294 * G294</f>
        <v>0</v>
      </c>
      <c r="T294" s="2">
        <f>(H294 + J294) - (L294 + N294) - R294</f>
        <v>0</v>
      </c>
      <c r="U294" s="2">
        <f>T294 * G294</f>
        <v>0</v>
      </c>
      <c r="V294" s="2">
        <f>I294 + K294 - S294</f>
        <v>0</v>
      </c>
      <c r="W294" s="2">
        <f>M294 - V294</f>
        <v>0</v>
      </c>
      <c r="X294" s="2">
        <f>IFERROR(W294 / M294 * 100, 0)</f>
        <v>0</v>
      </c>
    </row>
    <row r="295" spans="1:24">
      <c r="A295" t="s">
        <v>315</v>
      </c>
      <c r="B295" t="s">
        <v>512</v>
      </c>
      <c r="C295" t="s">
        <v>808</v>
      </c>
      <c r="D295" t="s">
        <v>1007</v>
      </c>
      <c r="E295" t="s">
        <v>1009</v>
      </c>
      <c r="F295" t="s">
        <v>1303</v>
      </c>
      <c r="G295">
        <v>5.99</v>
      </c>
      <c r="H295">
        <v>45</v>
      </c>
      <c r="I295">
        <v>279.79</v>
      </c>
      <c r="J295">
        <v>108.5</v>
      </c>
      <c r="K295">
        <v>623.38</v>
      </c>
      <c r="L295">
        <v>109.54</v>
      </c>
      <c r="M295">
        <v>1314.47</v>
      </c>
      <c r="N295">
        <v>6</v>
      </c>
      <c r="O295">
        <v>34.95</v>
      </c>
      <c r="P295" s="2">
        <f>(H295 + J295) - (L295 + N295)</f>
        <v>0</v>
      </c>
      <c r="Q295" s="2">
        <f>P295 * G295</f>
        <v>0</v>
      </c>
      <c r="R295">
        <v>29.3</v>
      </c>
      <c r="S295" s="2">
        <f>R295 * G295</f>
        <v>0</v>
      </c>
      <c r="T295" s="2">
        <f>(H295 + J295) - (L295 + N295) - R295</f>
        <v>0</v>
      </c>
      <c r="U295" s="2">
        <f>T295 * G295</f>
        <v>0</v>
      </c>
      <c r="V295" s="2">
        <f>I295 + K295 - S295</f>
        <v>0</v>
      </c>
      <c r="W295" s="2">
        <f>M295 - V295</f>
        <v>0</v>
      </c>
      <c r="X295" s="2">
        <f>IFERROR(W295 / M295 * 100, 0)</f>
        <v>0</v>
      </c>
    </row>
    <row r="296" spans="1:24">
      <c r="A296" t="s">
        <v>316</v>
      </c>
      <c r="B296" t="s">
        <v>512</v>
      </c>
      <c r="C296" t="s">
        <v>809</v>
      </c>
      <c r="D296" t="s">
        <v>1007</v>
      </c>
      <c r="E296" t="s">
        <v>1009</v>
      </c>
      <c r="F296" t="s">
        <v>1304</v>
      </c>
      <c r="G296">
        <v>10.21</v>
      </c>
      <c r="H296">
        <v>9</v>
      </c>
      <c r="I296">
        <v>94.28</v>
      </c>
      <c r="J296">
        <v>75</v>
      </c>
      <c r="K296">
        <v>793.24</v>
      </c>
      <c r="L296">
        <v>63.67</v>
      </c>
      <c r="M296">
        <v>732.25</v>
      </c>
      <c r="N296">
        <v>15.73</v>
      </c>
      <c r="O296">
        <v>163.55</v>
      </c>
      <c r="P296" s="2">
        <f>(H296 + J296) - (L296 + N296)</f>
        <v>0</v>
      </c>
      <c r="Q296" s="2">
        <f>P296 * G296</f>
        <v>0</v>
      </c>
      <c r="R296">
        <v>1</v>
      </c>
      <c r="S296" s="2">
        <f>R296 * G296</f>
        <v>0</v>
      </c>
      <c r="T296" s="2">
        <f>(H296 + J296) - (L296 + N296) - R296</f>
        <v>0</v>
      </c>
      <c r="U296" s="2">
        <f>T296 * G296</f>
        <v>0</v>
      </c>
      <c r="V296" s="2">
        <f>I296 + K296 - S296</f>
        <v>0</v>
      </c>
      <c r="W296" s="2">
        <f>M296 - V296</f>
        <v>0</v>
      </c>
      <c r="X296" s="2">
        <f>IFERROR(W296 / M296 * 100, 0)</f>
        <v>0</v>
      </c>
    </row>
    <row r="297" spans="1:24">
      <c r="A297" t="s">
        <v>317</v>
      </c>
      <c r="B297" t="s">
        <v>512</v>
      </c>
      <c r="C297" t="s">
        <v>810</v>
      </c>
      <c r="D297" t="s">
        <v>1007</v>
      </c>
      <c r="E297" t="s">
        <v>1009</v>
      </c>
      <c r="F297" t="s">
        <v>1305</v>
      </c>
      <c r="G297">
        <v>1.9</v>
      </c>
      <c r="H297">
        <v>0</v>
      </c>
      <c r="I297">
        <v>0</v>
      </c>
      <c r="J297">
        <v>0</v>
      </c>
      <c r="K297">
        <v>0</v>
      </c>
      <c r="L297">
        <v>0.18</v>
      </c>
      <c r="M297">
        <v>1.44</v>
      </c>
      <c r="N297">
        <v>0</v>
      </c>
      <c r="O297">
        <v>0</v>
      </c>
      <c r="P297" s="2">
        <f>(H297 + J297) - (L297 + N297)</f>
        <v>0</v>
      </c>
      <c r="Q297" s="2">
        <f>P297 * G297</f>
        <v>0</v>
      </c>
      <c r="R297">
        <v>0</v>
      </c>
      <c r="S297" s="2">
        <f>R297 * G297</f>
        <v>0</v>
      </c>
      <c r="T297" s="2">
        <f>(H297 + J297) - (L297 + N297) - R297</f>
        <v>0</v>
      </c>
      <c r="U297" s="2">
        <f>T297 * G297</f>
        <v>0</v>
      </c>
      <c r="V297" s="2">
        <f>I297 + K297 - S297</f>
        <v>0</v>
      </c>
      <c r="W297" s="2">
        <f>M297 - V297</f>
        <v>0</v>
      </c>
      <c r="X297" s="2">
        <f>IFERROR(W297 / M297 * 100, 0)</f>
        <v>0</v>
      </c>
    </row>
    <row r="298" spans="1:24">
      <c r="A298" t="s">
        <v>318</v>
      </c>
      <c r="B298" t="s">
        <v>512</v>
      </c>
      <c r="C298" t="s">
        <v>811</v>
      </c>
      <c r="D298" t="s">
        <v>1007</v>
      </c>
      <c r="E298" t="s">
        <v>1009</v>
      </c>
      <c r="F298" t="s">
        <v>1306</v>
      </c>
      <c r="G298">
        <v>4.23</v>
      </c>
      <c r="H298">
        <v>0</v>
      </c>
      <c r="I298">
        <v>0</v>
      </c>
      <c r="J298">
        <v>0</v>
      </c>
      <c r="K298">
        <v>0</v>
      </c>
      <c r="L298">
        <v>0.37</v>
      </c>
      <c r="M298">
        <v>1.65</v>
      </c>
      <c r="N298">
        <v>0</v>
      </c>
      <c r="O298">
        <v>0</v>
      </c>
      <c r="P298" s="2">
        <f>(H298 + J298) - (L298 + N298)</f>
        <v>0</v>
      </c>
      <c r="Q298" s="2">
        <f>P298 * G298</f>
        <v>0</v>
      </c>
      <c r="R298">
        <v>0</v>
      </c>
      <c r="S298" s="2">
        <f>R298 * G298</f>
        <v>0</v>
      </c>
      <c r="T298" s="2">
        <f>(H298 + J298) - (L298 + N298) - R298</f>
        <v>0</v>
      </c>
      <c r="U298" s="2">
        <f>T298 * G298</f>
        <v>0</v>
      </c>
      <c r="V298" s="2">
        <f>I298 + K298 - S298</f>
        <v>0</v>
      </c>
      <c r="W298" s="2">
        <f>M298 - V298</f>
        <v>0</v>
      </c>
      <c r="X298" s="2">
        <f>IFERROR(W298 / M298 * 100, 0)</f>
        <v>0</v>
      </c>
    </row>
    <row r="299" spans="1:24">
      <c r="A299" t="s">
        <v>319</v>
      </c>
      <c r="B299" t="s">
        <v>512</v>
      </c>
      <c r="C299" t="s">
        <v>812</v>
      </c>
      <c r="D299" t="s">
        <v>1007</v>
      </c>
      <c r="E299" t="s">
        <v>1009</v>
      </c>
      <c r="F299" t="s">
        <v>1307</v>
      </c>
      <c r="G299">
        <v>5.9</v>
      </c>
      <c r="H299">
        <v>210.5</v>
      </c>
      <c r="I299">
        <v>1301.31</v>
      </c>
      <c r="J299">
        <v>915.35</v>
      </c>
      <c r="K299">
        <v>5602.77</v>
      </c>
      <c r="L299">
        <v>772.02</v>
      </c>
      <c r="M299">
        <v>6562.05</v>
      </c>
      <c r="N299">
        <v>0</v>
      </c>
      <c r="O299">
        <v>0</v>
      </c>
      <c r="P299" s="2">
        <f>(H299 + J299) - (L299 + N299)</f>
        <v>0</v>
      </c>
      <c r="Q299" s="2">
        <f>P299 * G299</f>
        <v>0</v>
      </c>
      <c r="R299">
        <v>266.3</v>
      </c>
      <c r="S299" s="2">
        <f>R299 * G299</f>
        <v>0</v>
      </c>
      <c r="T299" s="2">
        <f>(H299 + J299) - (L299 + N299) - R299</f>
        <v>0</v>
      </c>
      <c r="U299" s="2">
        <f>T299 * G299</f>
        <v>0</v>
      </c>
      <c r="V299" s="2">
        <f>I299 + K299 - S299</f>
        <v>0</v>
      </c>
      <c r="W299" s="2">
        <f>M299 - V299</f>
        <v>0</v>
      </c>
      <c r="X299" s="2">
        <f>IFERROR(W299 / M299 * 100, 0)</f>
        <v>0</v>
      </c>
    </row>
    <row r="300" spans="1:24">
      <c r="A300" t="s">
        <v>320</v>
      </c>
      <c r="B300" t="s">
        <v>512</v>
      </c>
      <c r="C300" t="s">
        <v>813</v>
      </c>
      <c r="D300" t="s">
        <v>1007</v>
      </c>
      <c r="E300" t="s">
        <v>1009</v>
      </c>
      <c r="F300" t="s">
        <v>1308</v>
      </c>
      <c r="G300">
        <v>4.02</v>
      </c>
      <c r="H300">
        <v>0</v>
      </c>
      <c r="I300">
        <v>0</v>
      </c>
      <c r="J300">
        <v>0</v>
      </c>
      <c r="K300">
        <v>0</v>
      </c>
      <c r="L300">
        <v>3.29</v>
      </c>
      <c r="M300">
        <v>18.07</v>
      </c>
      <c r="N300">
        <v>0</v>
      </c>
      <c r="O300">
        <v>0</v>
      </c>
      <c r="P300" s="2">
        <f>(H300 + J300) - (L300 + N300)</f>
        <v>0</v>
      </c>
      <c r="Q300" s="2">
        <f>P300 * G300</f>
        <v>0</v>
      </c>
      <c r="R300">
        <v>0</v>
      </c>
      <c r="S300" s="2">
        <f>R300 * G300</f>
        <v>0</v>
      </c>
      <c r="T300" s="2">
        <f>(H300 + J300) - (L300 + N300) - R300</f>
        <v>0</v>
      </c>
      <c r="U300" s="2">
        <f>T300 * G300</f>
        <v>0</v>
      </c>
      <c r="V300" s="2">
        <f>I300 + K300 - S300</f>
        <v>0</v>
      </c>
      <c r="W300" s="2">
        <f>M300 - V300</f>
        <v>0</v>
      </c>
      <c r="X300" s="2">
        <f>IFERROR(W300 / M300 * 100, 0)</f>
        <v>0</v>
      </c>
    </row>
    <row r="301" spans="1:24">
      <c r="A301" t="s">
        <v>321</v>
      </c>
      <c r="B301" t="s">
        <v>512</v>
      </c>
      <c r="C301" t="s">
        <v>814</v>
      </c>
      <c r="D301" t="s">
        <v>1008</v>
      </c>
      <c r="E301" t="s">
        <v>1009</v>
      </c>
      <c r="F301" t="s">
        <v>1309</v>
      </c>
      <c r="G301">
        <v>4</v>
      </c>
      <c r="H301">
        <v>18</v>
      </c>
      <c r="I301">
        <v>72</v>
      </c>
      <c r="J301">
        <v>200</v>
      </c>
      <c r="K301">
        <v>800</v>
      </c>
      <c r="L301">
        <v>190</v>
      </c>
      <c r="M301">
        <v>950</v>
      </c>
      <c r="N301">
        <v>0</v>
      </c>
      <c r="O301">
        <v>0</v>
      </c>
      <c r="P301" s="2">
        <f>(H301 + J301) - (L301 + N301)</f>
        <v>0</v>
      </c>
      <c r="Q301" s="2">
        <f>P301 * G301</f>
        <v>0</v>
      </c>
      <c r="R301">
        <v>12</v>
      </c>
      <c r="S301" s="2">
        <f>R301 * G301</f>
        <v>0</v>
      </c>
      <c r="T301" s="2">
        <f>(H301 + J301) - (L301 + N301) - R301</f>
        <v>0</v>
      </c>
      <c r="U301" s="2">
        <f>T301 * G301</f>
        <v>0</v>
      </c>
      <c r="V301" s="2">
        <f>I301 + K301 - S301</f>
        <v>0</v>
      </c>
      <c r="W301" s="2">
        <f>M301 - V301</f>
        <v>0</v>
      </c>
      <c r="X301" s="2">
        <f>IFERROR(W301 / M301 * 100, 0)</f>
        <v>0</v>
      </c>
    </row>
    <row r="302" spans="1:24">
      <c r="A302" t="s">
        <v>322</v>
      </c>
      <c r="B302" t="s">
        <v>512</v>
      </c>
      <c r="C302" t="s">
        <v>815</v>
      </c>
      <c r="D302" t="s">
        <v>1007</v>
      </c>
      <c r="E302" t="s">
        <v>1009</v>
      </c>
      <c r="F302" t="s">
        <v>1310</v>
      </c>
      <c r="G302">
        <v>11.15</v>
      </c>
      <c r="H302">
        <v>8.800000000000001</v>
      </c>
      <c r="I302">
        <v>96.8</v>
      </c>
      <c r="J302">
        <v>83.40000000000001</v>
      </c>
      <c r="K302">
        <v>990.3200000000001</v>
      </c>
      <c r="L302">
        <v>58.7</v>
      </c>
      <c r="M302">
        <v>968.83</v>
      </c>
      <c r="N302">
        <v>8</v>
      </c>
      <c r="O302">
        <v>86.91</v>
      </c>
      <c r="P302" s="2">
        <f>(H302 + J302) - (L302 + N302)</f>
        <v>0</v>
      </c>
      <c r="Q302" s="2">
        <f>P302 * G302</f>
        <v>0</v>
      </c>
      <c r="R302">
        <v>27.4</v>
      </c>
      <c r="S302" s="2">
        <f>R302 * G302</f>
        <v>0</v>
      </c>
      <c r="T302" s="2">
        <f>(H302 + J302) - (L302 + N302) - R302</f>
        <v>0</v>
      </c>
      <c r="U302" s="2">
        <f>T302 * G302</f>
        <v>0</v>
      </c>
      <c r="V302" s="2">
        <f>I302 + K302 - S302</f>
        <v>0</v>
      </c>
      <c r="W302" s="2">
        <f>M302 - V302</f>
        <v>0</v>
      </c>
      <c r="X302" s="2">
        <f>IFERROR(W302 / M302 * 100, 0)</f>
        <v>0</v>
      </c>
    </row>
    <row r="303" spans="1:24">
      <c r="A303" t="s">
        <v>323</v>
      </c>
      <c r="B303" t="s">
        <v>512</v>
      </c>
      <c r="C303" t="s">
        <v>816</v>
      </c>
      <c r="D303" t="s">
        <v>1007</v>
      </c>
      <c r="E303" t="s">
        <v>1009</v>
      </c>
      <c r="F303" t="s">
        <v>1311</v>
      </c>
      <c r="G303">
        <v>2</v>
      </c>
      <c r="H303">
        <v>0</v>
      </c>
      <c r="I303">
        <v>0</v>
      </c>
      <c r="J303">
        <v>87.5</v>
      </c>
      <c r="K303">
        <v>175</v>
      </c>
      <c r="L303">
        <v>0</v>
      </c>
      <c r="M303">
        <v>0</v>
      </c>
      <c r="N303">
        <v>0</v>
      </c>
      <c r="O303">
        <v>0</v>
      </c>
      <c r="P303" s="2">
        <f>(H303 + J303) - (L303 + N303)</f>
        <v>0</v>
      </c>
      <c r="Q303" s="2">
        <f>P303 * G303</f>
        <v>0</v>
      </c>
      <c r="R303">
        <v>0</v>
      </c>
      <c r="S303" s="2">
        <f>R303 * G303</f>
        <v>0</v>
      </c>
      <c r="T303" s="2">
        <f>(H303 + J303) - (L303 + N303) - R303</f>
        <v>0</v>
      </c>
      <c r="U303" s="2">
        <f>T303 * G303</f>
        <v>0</v>
      </c>
      <c r="V303" s="2">
        <f>I303 + K303 - S303</f>
        <v>0</v>
      </c>
      <c r="W303" s="2">
        <f>M303 - V303</f>
        <v>0</v>
      </c>
      <c r="X303" s="2">
        <f>IFERROR(W303 / M303 * 100, 0)</f>
        <v>0</v>
      </c>
    </row>
    <row r="304" spans="1:24">
      <c r="A304" t="s">
        <v>324</v>
      </c>
      <c r="B304" t="s">
        <v>512</v>
      </c>
      <c r="C304" t="s">
        <v>817</v>
      </c>
      <c r="D304" t="s">
        <v>1007</v>
      </c>
      <c r="E304" t="s">
        <v>1009</v>
      </c>
      <c r="F304" t="s">
        <v>1312</v>
      </c>
      <c r="G304">
        <v>6</v>
      </c>
      <c r="H304">
        <v>0</v>
      </c>
      <c r="I304">
        <v>0</v>
      </c>
      <c r="J304">
        <v>0</v>
      </c>
      <c r="K304">
        <v>0</v>
      </c>
      <c r="L304">
        <v>0.19</v>
      </c>
      <c r="M304">
        <v>0.65</v>
      </c>
      <c r="N304">
        <v>0</v>
      </c>
      <c r="O304">
        <v>0</v>
      </c>
      <c r="P304" s="2">
        <f>(H304 + J304) - (L304 + N304)</f>
        <v>0</v>
      </c>
      <c r="Q304" s="2">
        <f>P304 * G304</f>
        <v>0</v>
      </c>
      <c r="R304">
        <v>0</v>
      </c>
      <c r="S304" s="2">
        <f>R304 * G304</f>
        <v>0</v>
      </c>
      <c r="T304" s="2">
        <f>(H304 + J304) - (L304 + N304) - R304</f>
        <v>0</v>
      </c>
      <c r="U304" s="2">
        <f>T304 * G304</f>
        <v>0</v>
      </c>
      <c r="V304" s="2">
        <f>I304 + K304 - S304</f>
        <v>0</v>
      </c>
      <c r="W304" s="2">
        <f>M304 - V304</f>
        <v>0</v>
      </c>
      <c r="X304" s="2">
        <f>IFERROR(W304 / M304 * 100, 0)</f>
        <v>0</v>
      </c>
    </row>
    <row r="305" spans="1:24">
      <c r="A305" t="s">
        <v>325</v>
      </c>
      <c r="B305" t="s">
        <v>512</v>
      </c>
      <c r="C305" t="s">
        <v>818</v>
      </c>
      <c r="D305" t="s">
        <v>1007</v>
      </c>
      <c r="E305" t="s">
        <v>1009</v>
      </c>
      <c r="F305" t="s">
        <v>1313</v>
      </c>
      <c r="G305">
        <v>3.37</v>
      </c>
      <c r="H305">
        <v>0</v>
      </c>
      <c r="I305">
        <v>0</v>
      </c>
      <c r="J305">
        <v>0</v>
      </c>
      <c r="K305">
        <v>0</v>
      </c>
      <c r="L305">
        <v>1.45</v>
      </c>
      <c r="M305">
        <v>10.89</v>
      </c>
      <c r="N305">
        <v>0</v>
      </c>
      <c r="O305">
        <v>0</v>
      </c>
      <c r="P305" s="2">
        <f>(H305 + J305) - (L305 + N305)</f>
        <v>0</v>
      </c>
      <c r="Q305" s="2">
        <f>P305 * G305</f>
        <v>0</v>
      </c>
      <c r="R305">
        <v>0</v>
      </c>
      <c r="S305" s="2">
        <f>R305 * G305</f>
        <v>0</v>
      </c>
      <c r="T305" s="2">
        <f>(H305 + J305) - (L305 + N305) - R305</f>
        <v>0</v>
      </c>
      <c r="U305" s="2">
        <f>T305 * G305</f>
        <v>0</v>
      </c>
      <c r="V305" s="2">
        <f>I305 + K305 - S305</f>
        <v>0</v>
      </c>
      <c r="W305" s="2">
        <f>M305 - V305</f>
        <v>0</v>
      </c>
      <c r="X305" s="2">
        <f>IFERROR(W305 / M305 * 100, 0)</f>
        <v>0</v>
      </c>
    </row>
    <row r="306" spans="1:24">
      <c r="A306" t="s">
        <v>326</v>
      </c>
      <c r="B306" t="s">
        <v>512</v>
      </c>
      <c r="C306" t="s">
        <v>819</v>
      </c>
      <c r="D306" t="s">
        <v>1008</v>
      </c>
      <c r="E306" t="s">
        <v>1009</v>
      </c>
      <c r="F306" t="s">
        <v>1314</v>
      </c>
      <c r="G306">
        <v>5.54</v>
      </c>
      <c r="H306">
        <v>142</v>
      </c>
      <c r="I306">
        <v>560.21</v>
      </c>
      <c r="J306">
        <v>3376</v>
      </c>
      <c r="K306">
        <v>16418.05</v>
      </c>
      <c r="L306">
        <v>3382</v>
      </c>
      <c r="M306">
        <v>18316.75</v>
      </c>
      <c r="N306">
        <v>15</v>
      </c>
      <c r="O306">
        <v>70.70999999999999</v>
      </c>
      <c r="P306" s="2">
        <f>(H306 + J306) - (L306 + N306)</f>
        <v>0</v>
      </c>
      <c r="Q306" s="2">
        <f>P306 * G306</f>
        <v>0</v>
      </c>
      <c r="R306">
        <v>206</v>
      </c>
      <c r="S306" s="2">
        <f>R306 * G306</f>
        <v>0</v>
      </c>
      <c r="T306" s="2">
        <f>(H306 + J306) - (L306 + N306) - R306</f>
        <v>0</v>
      </c>
      <c r="U306" s="2">
        <f>T306 * G306</f>
        <v>0</v>
      </c>
      <c r="V306" s="2">
        <f>I306 + K306 - S306</f>
        <v>0</v>
      </c>
      <c r="W306" s="2">
        <f>M306 - V306</f>
        <v>0</v>
      </c>
      <c r="X306" s="2">
        <f>IFERROR(W306 / M306 * 100, 0)</f>
        <v>0</v>
      </c>
    </row>
    <row r="307" spans="1:24">
      <c r="A307" t="s">
        <v>327</v>
      </c>
      <c r="B307" t="s">
        <v>512</v>
      </c>
      <c r="C307" t="s">
        <v>820</v>
      </c>
      <c r="D307" t="s">
        <v>1007</v>
      </c>
      <c r="E307" t="s">
        <v>1009</v>
      </c>
      <c r="F307" t="s">
        <v>1315</v>
      </c>
      <c r="G307">
        <v>6.5</v>
      </c>
      <c r="H307">
        <v>0</v>
      </c>
      <c r="I307">
        <v>0</v>
      </c>
      <c r="J307">
        <v>0</v>
      </c>
      <c r="K307">
        <v>0</v>
      </c>
      <c r="L307">
        <v>0.61</v>
      </c>
      <c r="M307">
        <v>4.6</v>
      </c>
      <c r="N307">
        <v>0</v>
      </c>
      <c r="O307">
        <v>0</v>
      </c>
      <c r="P307" s="2">
        <f>(H307 + J307) - (L307 + N307)</f>
        <v>0</v>
      </c>
      <c r="Q307" s="2">
        <f>P307 * G307</f>
        <v>0</v>
      </c>
      <c r="R307">
        <v>0</v>
      </c>
      <c r="S307" s="2">
        <f>R307 * G307</f>
        <v>0</v>
      </c>
      <c r="T307" s="2">
        <f>(H307 + J307) - (L307 + N307) - R307</f>
        <v>0</v>
      </c>
      <c r="U307" s="2">
        <f>T307 * G307</f>
        <v>0</v>
      </c>
      <c r="V307" s="2">
        <f>I307 + K307 - S307</f>
        <v>0</v>
      </c>
      <c r="W307" s="2">
        <f>M307 - V307</f>
        <v>0</v>
      </c>
      <c r="X307" s="2">
        <f>IFERROR(W307 / M307 * 100, 0)</f>
        <v>0</v>
      </c>
    </row>
    <row r="308" spans="1:24">
      <c r="A308" t="s">
        <v>328</v>
      </c>
      <c r="B308" t="s">
        <v>512</v>
      </c>
      <c r="C308" t="s">
        <v>821</v>
      </c>
      <c r="D308" t="s">
        <v>1008</v>
      </c>
      <c r="E308" t="s">
        <v>1009</v>
      </c>
      <c r="F308" t="s">
        <v>1316</v>
      </c>
      <c r="G308">
        <v>2</v>
      </c>
      <c r="H308">
        <v>33</v>
      </c>
      <c r="I308">
        <v>66</v>
      </c>
      <c r="J308">
        <v>316</v>
      </c>
      <c r="K308">
        <v>632</v>
      </c>
      <c r="L308">
        <v>267</v>
      </c>
      <c r="M308">
        <v>934.5</v>
      </c>
      <c r="N308">
        <v>0</v>
      </c>
      <c r="O308">
        <v>0</v>
      </c>
      <c r="P308" s="2">
        <f>(H308 + J308) - (L308 + N308)</f>
        <v>0</v>
      </c>
      <c r="Q308" s="2">
        <f>P308 * G308</f>
        <v>0</v>
      </c>
      <c r="R308">
        <v>129</v>
      </c>
      <c r="S308" s="2">
        <f>R308 * G308</f>
        <v>0</v>
      </c>
      <c r="T308" s="2">
        <f>(H308 + J308) - (L308 + N308) - R308</f>
        <v>0</v>
      </c>
      <c r="U308" s="2">
        <f>T308 * G308</f>
        <v>0</v>
      </c>
      <c r="V308" s="2">
        <f>I308 + K308 - S308</f>
        <v>0</v>
      </c>
      <c r="W308" s="2">
        <f>M308 - V308</f>
        <v>0</v>
      </c>
      <c r="X308" s="2">
        <f>IFERROR(W308 / M308 * 100, 0)</f>
        <v>0</v>
      </c>
    </row>
    <row r="309" spans="1:24">
      <c r="A309" t="s">
        <v>329</v>
      </c>
      <c r="B309" t="s">
        <v>512</v>
      </c>
      <c r="C309" t="s">
        <v>822</v>
      </c>
      <c r="D309" t="s">
        <v>1008</v>
      </c>
      <c r="E309" t="s">
        <v>1009</v>
      </c>
      <c r="F309" t="s">
        <v>1317</v>
      </c>
      <c r="G309">
        <v>3.5</v>
      </c>
      <c r="H309">
        <v>0</v>
      </c>
      <c r="I309">
        <v>0</v>
      </c>
      <c r="J309">
        <v>5</v>
      </c>
      <c r="K309">
        <v>17.5</v>
      </c>
      <c r="L309">
        <v>5</v>
      </c>
      <c r="M309">
        <v>27.5</v>
      </c>
      <c r="N309">
        <v>0</v>
      </c>
      <c r="O309">
        <v>0</v>
      </c>
      <c r="P309" s="2">
        <f>(H309 + J309) - (L309 + N309)</f>
        <v>0</v>
      </c>
      <c r="Q309" s="2">
        <f>P309 * G309</f>
        <v>0</v>
      </c>
      <c r="R309">
        <v>0</v>
      </c>
      <c r="S309" s="2">
        <f>R309 * G309</f>
        <v>0</v>
      </c>
      <c r="T309" s="2">
        <f>(H309 + J309) - (L309 + N309) - R309</f>
        <v>0</v>
      </c>
      <c r="U309" s="2">
        <f>T309 * G309</f>
        <v>0</v>
      </c>
      <c r="V309" s="2">
        <f>I309 + K309 - S309</f>
        <v>0</v>
      </c>
      <c r="W309" s="2">
        <f>M309 - V309</f>
        <v>0</v>
      </c>
      <c r="X309" s="2">
        <f>IFERROR(W309 / M309 * 100, 0)</f>
        <v>0</v>
      </c>
    </row>
    <row r="310" spans="1:24">
      <c r="A310" t="s">
        <v>330</v>
      </c>
      <c r="B310" t="s">
        <v>512</v>
      </c>
      <c r="C310" t="s">
        <v>823</v>
      </c>
      <c r="D310" t="s">
        <v>1007</v>
      </c>
      <c r="E310" t="s">
        <v>1009</v>
      </c>
      <c r="F310" t="s">
        <v>1318</v>
      </c>
      <c r="G310">
        <v>5</v>
      </c>
      <c r="H310">
        <v>0</v>
      </c>
      <c r="I310">
        <v>0</v>
      </c>
      <c r="J310">
        <v>0</v>
      </c>
      <c r="K310">
        <v>0</v>
      </c>
      <c r="L310">
        <v>1.09</v>
      </c>
      <c r="M310">
        <v>6.55</v>
      </c>
      <c r="N310">
        <v>0</v>
      </c>
      <c r="O310">
        <v>0</v>
      </c>
      <c r="P310" s="2">
        <f>(H310 + J310) - (L310 + N310)</f>
        <v>0</v>
      </c>
      <c r="Q310" s="2">
        <f>P310 * G310</f>
        <v>0</v>
      </c>
      <c r="R310">
        <v>0</v>
      </c>
      <c r="S310" s="2">
        <f>R310 * G310</f>
        <v>0</v>
      </c>
      <c r="T310" s="2">
        <f>(H310 + J310) - (L310 + N310) - R310</f>
        <v>0</v>
      </c>
      <c r="U310" s="2">
        <f>T310 * G310</f>
        <v>0</v>
      </c>
      <c r="V310" s="2">
        <f>I310 + K310 - S310</f>
        <v>0</v>
      </c>
      <c r="W310" s="2">
        <f>M310 - V310</f>
        <v>0</v>
      </c>
      <c r="X310" s="2">
        <f>IFERROR(W310 / M310 * 100, 0)</f>
        <v>0</v>
      </c>
    </row>
    <row r="311" spans="1:24">
      <c r="A311" t="s">
        <v>331</v>
      </c>
      <c r="B311" t="s">
        <v>512</v>
      </c>
      <c r="C311" t="s">
        <v>824</v>
      </c>
      <c r="D311" t="s">
        <v>1007</v>
      </c>
      <c r="E311" t="s">
        <v>1009</v>
      </c>
      <c r="F311" t="s">
        <v>1319</v>
      </c>
      <c r="G311">
        <v>5</v>
      </c>
      <c r="H311">
        <v>0</v>
      </c>
      <c r="I311">
        <v>0</v>
      </c>
      <c r="J311">
        <v>0</v>
      </c>
      <c r="K311">
        <v>0</v>
      </c>
      <c r="L311">
        <v>0.26</v>
      </c>
      <c r="M311">
        <v>1.21</v>
      </c>
      <c r="N311">
        <v>0</v>
      </c>
      <c r="O311">
        <v>0</v>
      </c>
      <c r="P311" s="2">
        <f>(H311 + J311) - (L311 + N311)</f>
        <v>0</v>
      </c>
      <c r="Q311" s="2">
        <f>P311 * G311</f>
        <v>0</v>
      </c>
      <c r="R311">
        <v>0</v>
      </c>
      <c r="S311" s="2">
        <f>R311 * G311</f>
        <v>0</v>
      </c>
      <c r="T311" s="2">
        <f>(H311 + J311) - (L311 + N311) - R311</f>
        <v>0</v>
      </c>
      <c r="U311" s="2">
        <f>T311 * G311</f>
        <v>0</v>
      </c>
      <c r="V311" s="2">
        <f>I311 + K311 - S311</f>
        <v>0</v>
      </c>
      <c r="W311" s="2">
        <f>M311 - V311</f>
        <v>0</v>
      </c>
      <c r="X311" s="2">
        <f>IFERROR(W311 / M311 * 100, 0)</f>
        <v>0</v>
      </c>
    </row>
    <row r="312" spans="1:24">
      <c r="A312" t="s">
        <v>332</v>
      </c>
      <c r="B312" t="s">
        <v>512</v>
      </c>
      <c r="C312" t="s">
        <v>825</v>
      </c>
      <c r="D312" t="s">
        <v>1007</v>
      </c>
      <c r="E312" t="s">
        <v>1009</v>
      </c>
      <c r="F312" t="s">
        <v>1320</v>
      </c>
      <c r="G312">
        <v>6.47</v>
      </c>
      <c r="H312">
        <v>0</v>
      </c>
      <c r="I312">
        <v>0</v>
      </c>
      <c r="J312">
        <v>99</v>
      </c>
      <c r="K312">
        <v>699</v>
      </c>
      <c r="L312">
        <v>77.43000000000001</v>
      </c>
      <c r="M312">
        <v>788.28</v>
      </c>
      <c r="N312">
        <v>0</v>
      </c>
      <c r="O312">
        <v>0</v>
      </c>
      <c r="P312" s="2">
        <f>(H312 + J312) - (L312 + N312)</f>
        <v>0</v>
      </c>
      <c r="Q312" s="2">
        <f>P312 * G312</f>
        <v>0</v>
      </c>
      <c r="R312">
        <v>22.3</v>
      </c>
      <c r="S312" s="2">
        <f>R312 * G312</f>
        <v>0</v>
      </c>
      <c r="T312" s="2">
        <f>(H312 + J312) - (L312 + N312) - R312</f>
        <v>0</v>
      </c>
      <c r="U312" s="2">
        <f>T312 * G312</f>
        <v>0</v>
      </c>
      <c r="V312" s="2">
        <f>I312 + K312 - S312</f>
        <v>0</v>
      </c>
      <c r="W312" s="2">
        <f>M312 - V312</f>
        <v>0</v>
      </c>
      <c r="X312" s="2">
        <f>IFERROR(W312 / M312 * 100, 0)</f>
        <v>0</v>
      </c>
    </row>
    <row r="313" spans="1:24">
      <c r="A313" t="s">
        <v>333</v>
      </c>
      <c r="B313" t="s">
        <v>512</v>
      </c>
      <c r="C313" t="s">
        <v>826</v>
      </c>
      <c r="D313" t="s">
        <v>1007</v>
      </c>
      <c r="E313" t="s">
        <v>1009</v>
      </c>
      <c r="F313" t="s">
        <v>1321</v>
      </c>
      <c r="G313">
        <v>7</v>
      </c>
      <c r="H313">
        <v>34</v>
      </c>
      <c r="I313">
        <v>226.46</v>
      </c>
      <c r="J313">
        <v>30.43</v>
      </c>
      <c r="K313">
        <v>231.29</v>
      </c>
      <c r="L313">
        <v>62.03</v>
      </c>
      <c r="M313">
        <v>553.59</v>
      </c>
      <c r="N313">
        <v>21</v>
      </c>
      <c r="O313">
        <v>151.52</v>
      </c>
      <c r="P313" s="2">
        <f>(H313 + J313) - (L313 + N313)</f>
        <v>0</v>
      </c>
      <c r="Q313" s="2">
        <f>P313 * G313</f>
        <v>0</v>
      </c>
      <c r="R313">
        <v>12.7</v>
      </c>
      <c r="S313" s="2">
        <f>R313 * G313</f>
        <v>0</v>
      </c>
      <c r="T313" s="2">
        <f>(H313 + J313) - (L313 + N313) - R313</f>
        <v>0</v>
      </c>
      <c r="U313" s="2">
        <f>T313 * G313</f>
        <v>0</v>
      </c>
      <c r="V313" s="2">
        <f>I313 + K313 - S313</f>
        <v>0</v>
      </c>
      <c r="W313" s="2">
        <f>M313 - V313</f>
        <v>0</v>
      </c>
      <c r="X313" s="2">
        <f>IFERROR(W313 / M313 * 100, 0)</f>
        <v>0</v>
      </c>
    </row>
    <row r="314" spans="1:24">
      <c r="A314" t="s">
        <v>334</v>
      </c>
      <c r="B314" t="s">
        <v>512</v>
      </c>
      <c r="C314" t="s">
        <v>827</v>
      </c>
      <c r="D314" t="s">
        <v>1008</v>
      </c>
      <c r="E314" t="s">
        <v>1009</v>
      </c>
      <c r="F314" t="s">
        <v>1322</v>
      </c>
      <c r="G314">
        <v>2</v>
      </c>
      <c r="H314">
        <v>32</v>
      </c>
      <c r="I314">
        <v>64</v>
      </c>
      <c r="J314">
        <v>318</v>
      </c>
      <c r="K314">
        <v>636</v>
      </c>
      <c r="L314">
        <v>333</v>
      </c>
      <c r="M314">
        <v>999</v>
      </c>
      <c r="N314">
        <v>0</v>
      </c>
      <c r="O314">
        <v>0</v>
      </c>
      <c r="P314" s="2">
        <f>(H314 + J314) - (L314 + N314)</f>
        <v>0</v>
      </c>
      <c r="Q314" s="2">
        <f>P314 * G314</f>
        <v>0</v>
      </c>
      <c r="R314">
        <v>50</v>
      </c>
      <c r="S314" s="2">
        <f>R314 * G314</f>
        <v>0</v>
      </c>
      <c r="T314" s="2">
        <f>(H314 + J314) - (L314 + N314) - R314</f>
        <v>0</v>
      </c>
      <c r="U314" s="2">
        <f>T314 * G314</f>
        <v>0</v>
      </c>
      <c r="V314" s="2">
        <f>I314 + K314 - S314</f>
        <v>0</v>
      </c>
      <c r="W314" s="2">
        <f>M314 - V314</f>
        <v>0</v>
      </c>
      <c r="X314" s="2">
        <f>IFERROR(W314 / M314 * 100, 0)</f>
        <v>0</v>
      </c>
    </row>
    <row r="315" spans="1:24">
      <c r="A315" t="s">
        <v>335</v>
      </c>
      <c r="B315" t="s">
        <v>512</v>
      </c>
      <c r="C315" t="s">
        <v>828</v>
      </c>
      <c r="D315" t="s">
        <v>1007</v>
      </c>
      <c r="E315" t="s">
        <v>1009</v>
      </c>
      <c r="F315" t="s">
        <v>1323</v>
      </c>
      <c r="G315">
        <v>4</v>
      </c>
      <c r="H315">
        <v>0</v>
      </c>
      <c r="I315">
        <v>0</v>
      </c>
      <c r="J315">
        <v>0</v>
      </c>
      <c r="K315">
        <v>0</v>
      </c>
      <c r="L315">
        <v>0.87</v>
      </c>
      <c r="M315">
        <v>10.41</v>
      </c>
      <c r="N315">
        <v>0</v>
      </c>
      <c r="O315">
        <v>0</v>
      </c>
      <c r="P315" s="2">
        <f>(H315 + J315) - (L315 + N315)</f>
        <v>0</v>
      </c>
      <c r="Q315" s="2">
        <f>P315 * G315</f>
        <v>0</v>
      </c>
      <c r="R315">
        <v>0</v>
      </c>
      <c r="S315" s="2">
        <f>R315 * G315</f>
        <v>0</v>
      </c>
      <c r="T315" s="2">
        <f>(H315 + J315) - (L315 + N315) - R315</f>
        <v>0</v>
      </c>
      <c r="U315" s="2">
        <f>T315 * G315</f>
        <v>0</v>
      </c>
      <c r="V315" s="2">
        <f>I315 + K315 - S315</f>
        <v>0</v>
      </c>
      <c r="W315" s="2">
        <f>M315 - V315</f>
        <v>0</v>
      </c>
      <c r="X315" s="2">
        <f>IFERROR(W315 / M315 * 100, 0)</f>
        <v>0</v>
      </c>
    </row>
    <row r="316" spans="1:24">
      <c r="A316" t="s">
        <v>336</v>
      </c>
      <c r="B316" t="s">
        <v>512</v>
      </c>
      <c r="C316" t="s">
        <v>829</v>
      </c>
      <c r="D316" t="s">
        <v>1007</v>
      </c>
      <c r="E316" t="s">
        <v>1009</v>
      </c>
      <c r="F316" t="s">
        <v>1324</v>
      </c>
      <c r="G316">
        <v>10.2</v>
      </c>
      <c r="H316">
        <v>125</v>
      </c>
      <c r="I316">
        <v>839.75</v>
      </c>
      <c r="J316">
        <v>2801.46</v>
      </c>
      <c r="K316">
        <v>24655.76</v>
      </c>
      <c r="L316">
        <v>2853.14</v>
      </c>
      <c r="M316">
        <v>31950.29</v>
      </c>
      <c r="N316">
        <v>0</v>
      </c>
      <c r="O316">
        <v>0</v>
      </c>
      <c r="P316" s="2">
        <f>(H316 + J316) - (L316 + N316)</f>
        <v>0</v>
      </c>
      <c r="Q316" s="2">
        <f>P316 * G316</f>
        <v>0</v>
      </c>
      <c r="R316">
        <v>101.5</v>
      </c>
      <c r="S316" s="2">
        <f>R316 * G316</f>
        <v>0</v>
      </c>
      <c r="T316" s="2">
        <f>(H316 + J316) - (L316 + N316) - R316</f>
        <v>0</v>
      </c>
      <c r="U316" s="2">
        <f>T316 * G316</f>
        <v>0</v>
      </c>
      <c r="V316" s="2">
        <f>I316 + K316 - S316</f>
        <v>0</v>
      </c>
      <c r="W316" s="2">
        <f>M316 - V316</f>
        <v>0</v>
      </c>
      <c r="X316" s="2">
        <f>IFERROR(W316 / M316 * 100, 0)</f>
        <v>0</v>
      </c>
    </row>
    <row r="317" spans="1:24">
      <c r="A317" t="s">
        <v>337</v>
      </c>
      <c r="B317" t="s">
        <v>512</v>
      </c>
      <c r="C317" t="s">
        <v>830</v>
      </c>
      <c r="D317" t="s">
        <v>1007</v>
      </c>
      <c r="E317" t="s">
        <v>1009</v>
      </c>
      <c r="F317" t="s">
        <v>1325</v>
      </c>
      <c r="G317">
        <v>12.5</v>
      </c>
      <c r="H317">
        <v>0</v>
      </c>
      <c r="I317">
        <v>0</v>
      </c>
      <c r="J317">
        <v>23</v>
      </c>
      <c r="K317">
        <v>287.5</v>
      </c>
      <c r="L317">
        <v>5.54</v>
      </c>
      <c r="M317">
        <v>83.14</v>
      </c>
      <c r="N317">
        <v>11</v>
      </c>
      <c r="O317">
        <v>137.5</v>
      </c>
      <c r="P317" s="2">
        <f>(H317 + J317) - (L317 + N317)</f>
        <v>0</v>
      </c>
      <c r="Q317" s="2">
        <f>P317 * G317</f>
        <v>0</v>
      </c>
      <c r="R317">
        <v>0</v>
      </c>
      <c r="S317" s="2">
        <f>R317 * G317</f>
        <v>0</v>
      </c>
      <c r="T317" s="2">
        <f>(H317 + J317) - (L317 + N317) - R317</f>
        <v>0</v>
      </c>
      <c r="U317" s="2">
        <f>T317 * G317</f>
        <v>0</v>
      </c>
      <c r="V317" s="2">
        <f>I317 + K317 - S317</f>
        <v>0</v>
      </c>
      <c r="W317" s="2">
        <f>M317 - V317</f>
        <v>0</v>
      </c>
      <c r="X317" s="2">
        <f>IFERROR(W317 / M317 * 100, 0)</f>
        <v>0</v>
      </c>
    </row>
    <row r="318" spans="1:24">
      <c r="A318" t="s">
        <v>338</v>
      </c>
      <c r="B318" t="s">
        <v>512</v>
      </c>
      <c r="C318" t="s">
        <v>831</v>
      </c>
      <c r="D318" t="s">
        <v>1007</v>
      </c>
      <c r="E318" t="s">
        <v>1009</v>
      </c>
      <c r="F318" t="s">
        <v>1326</v>
      </c>
      <c r="G318">
        <v>9</v>
      </c>
      <c r="H318">
        <v>0</v>
      </c>
      <c r="I318">
        <v>0</v>
      </c>
      <c r="J318">
        <v>0</v>
      </c>
      <c r="K318">
        <v>0</v>
      </c>
      <c r="L318">
        <v>0.8</v>
      </c>
      <c r="M318">
        <v>7.95</v>
      </c>
      <c r="N318">
        <v>0</v>
      </c>
      <c r="O318">
        <v>0</v>
      </c>
      <c r="P318" s="2">
        <f>(H318 + J318) - (L318 + N318)</f>
        <v>0</v>
      </c>
      <c r="Q318" s="2">
        <f>P318 * G318</f>
        <v>0</v>
      </c>
      <c r="R318">
        <v>0</v>
      </c>
      <c r="S318" s="2">
        <f>R318 * G318</f>
        <v>0</v>
      </c>
      <c r="T318" s="2">
        <f>(H318 + J318) - (L318 + N318) - R318</f>
        <v>0</v>
      </c>
      <c r="U318" s="2">
        <f>T318 * G318</f>
        <v>0</v>
      </c>
      <c r="V318" s="2">
        <f>I318 + K318 - S318</f>
        <v>0</v>
      </c>
      <c r="W318" s="2">
        <f>M318 - V318</f>
        <v>0</v>
      </c>
      <c r="X318" s="2">
        <f>IFERROR(W318 / M318 * 100, 0)</f>
        <v>0</v>
      </c>
    </row>
    <row r="319" spans="1:24">
      <c r="A319" t="s">
        <v>339</v>
      </c>
      <c r="B319" t="s">
        <v>512</v>
      </c>
      <c r="C319" t="s">
        <v>832</v>
      </c>
      <c r="D319" t="s">
        <v>1007</v>
      </c>
      <c r="E319" t="s">
        <v>1009</v>
      </c>
      <c r="F319" t="s">
        <v>1327</v>
      </c>
      <c r="G319">
        <v>7.64</v>
      </c>
      <c r="H319">
        <v>444.3</v>
      </c>
      <c r="I319">
        <v>4220.85</v>
      </c>
      <c r="J319">
        <v>570.25</v>
      </c>
      <c r="K319">
        <v>4360.9</v>
      </c>
      <c r="L319">
        <v>1325.58</v>
      </c>
      <c r="M319">
        <v>11757.16</v>
      </c>
      <c r="N319">
        <v>35</v>
      </c>
      <c r="O319">
        <v>268.16</v>
      </c>
      <c r="P319" s="2">
        <f>(H319 + J319) - (L319 + N319)</f>
        <v>0</v>
      </c>
      <c r="Q319" s="2">
        <f>P319 * G319</f>
        <v>0</v>
      </c>
      <c r="R319">
        <v>0</v>
      </c>
      <c r="S319" s="2">
        <f>R319 * G319</f>
        <v>0</v>
      </c>
      <c r="T319" s="2">
        <f>(H319 + J319) - (L319 + N319) - R319</f>
        <v>0</v>
      </c>
      <c r="U319" s="2">
        <f>T319 * G319</f>
        <v>0</v>
      </c>
      <c r="V319" s="2">
        <f>I319 + K319 - S319</f>
        <v>0</v>
      </c>
      <c r="W319" s="2">
        <f>M319 - V319</f>
        <v>0</v>
      </c>
      <c r="X319" s="2">
        <f>IFERROR(W319 / M319 * 100, 0)</f>
        <v>0</v>
      </c>
    </row>
    <row r="320" spans="1:24">
      <c r="A320" t="s">
        <v>340</v>
      </c>
      <c r="B320" t="s">
        <v>512</v>
      </c>
      <c r="C320" t="s">
        <v>833</v>
      </c>
      <c r="D320" t="s">
        <v>1008</v>
      </c>
      <c r="E320" t="s">
        <v>1009</v>
      </c>
      <c r="F320" t="s">
        <v>1328</v>
      </c>
      <c r="G320">
        <v>35.5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11</v>
      </c>
      <c r="N320">
        <v>0</v>
      </c>
      <c r="O320">
        <v>0</v>
      </c>
      <c r="P320" s="2">
        <f>(H320 + J320) - (L320 + N320)</f>
        <v>0</v>
      </c>
      <c r="Q320" s="2">
        <f>P320 * G320</f>
        <v>0</v>
      </c>
      <c r="R320">
        <v>0</v>
      </c>
      <c r="S320" s="2">
        <f>R320 * G320</f>
        <v>0</v>
      </c>
      <c r="T320" s="2">
        <f>(H320 + J320) - (L320 + N320) - R320</f>
        <v>0</v>
      </c>
      <c r="U320" s="2">
        <f>T320 * G320</f>
        <v>0</v>
      </c>
      <c r="V320" s="2">
        <f>I320 + K320 - S320</f>
        <v>0</v>
      </c>
      <c r="W320" s="2">
        <f>M320 - V320</f>
        <v>0</v>
      </c>
      <c r="X320" s="2">
        <f>IFERROR(W320 / M320 * 100, 0)</f>
        <v>0</v>
      </c>
    </row>
    <row r="321" spans="1:24">
      <c r="A321" t="s">
        <v>341</v>
      </c>
      <c r="B321" t="s">
        <v>512</v>
      </c>
      <c r="C321" t="s">
        <v>834</v>
      </c>
      <c r="D321" t="s">
        <v>1007</v>
      </c>
      <c r="E321" t="s">
        <v>1009</v>
      </c>
      <c r="F321" t="s">
        <v>1329</v>
      </c>
      <c r="G321">
        <v>8.529999999999999</v>
      </c>
      <c r="H321">
        <v>133.4</v>
      </c>
      <c r="I321">
        <v>611.4</v>
      </c>
      <c r="J321">
        <v>2129.02</v>
      </c>
      <c r="K321">
        <v>12994.09</v>
      </c>
      <c r="L321">
        <v>2099.31</v>
      </c>
      <c r="M321">
        <v>15866</v>
      </c>
      <c r="N321">
        <v>49</v>
      </c>
      <c r="O321">
        <v>306.53</v>
      </c>
      <c r="P321" s="2">
        <f>(H321 + J321) - (L321 + N321)</f>
        <v>0</v>
      </c>
      <c r="Q321" s="2">
        <f>P321 * G321</f>
        <v>0</v>
      </c>
      <c r="R321">
        <v>205.9</v>
      </c>
      <c r="S321" s="2">
        <f>R321 * G321</f>
        <v>0</v>
      </c>
      <c r="T321" s="2">
        <f>(H321 + J321) - (L321 + N321) - R321</f>
        <v>0</v>
      </c>
      <c r="U321" s="2">
        <f>T321 * G321</f>
        <v>0</v>
      </c>
      <c r="V321" s="2">
        <f>I321 + K321 - S321</f>
        <v>0</v>
      </c>
      <c r="W321" s="2">
        <f>M321 - V321</f>
        <v>0</v>
      </c>
      <c r="X321" s="2">
        <f>IFERROR(W321 / M321 * 100, 0)</f>
        <v>0</v>
      </c>
    </row>
    <row r="322" spans="1:24">
      <c r="A322" t="s">
        <v>342</v>
      </c>
      <c r="B322" t="s">
        <v>512</v>
      </c>
      <c r="C322" t="s">
        <v>835</v>
      </c>
      <c r="D322" t="s">
        <v>1007</v>
      </c>
      <c r="E322" t="s">
        <v>1009</v>
      </c>
      <c r="F322" t="s">
        <v>1330</v>
      </c>
      <c r="G322">
        <v>6.5</v>
      </c>
      <c r="H322">
        <v>0</v>
      </c>
      <c r="I322">
        <v>0</v>
      </c>
      <c r="J322">
        <v>0</v>
      </c>
      <c r="K322">
        <v>0</v>
      </c>
      <c r="L322">
        <v>1.89</v>
      </c>
      <c r="M322">
        <v>23.65</v>
      </c>
      <c r="N322">
        <v>0</v>
      </c>
      <c r="O322">
        <v>0</v>
      </c>
      <c r="P322" s="2">
        <f>(H322 + J322) - (L322 + N322)</f>
        <v>0</v>
      </c>
      <c r="Q322" s="2">
        <f>P322 * G322</f>
        <v>0</v>
      </c>
      <c r="R322">
        <v>0</v>
      </c>
      <c r="S322" s="2">
        <f>R322 * G322</f>
        <v>0</v>
      </c>
      <c r="T322" s="2">
        <f>(H322 + J322) - (L322 + N322) - R322</f>
        <v>0</v>
      </c>
      <c r="U322" s="2">
        <f>T322 * G322</f>
        <v>0</v>
      </c>
      <c r="V322" s="2">
        <f>I322 + K322 - S322</f>
        <v>0</v>
      </c>
      <c r="W322" s="2">
        <f>M322 - V322</f>
        <v>0</v>
      </c>
      <c r="X322" s="2">
        <f>IFERROR(W322 / M322 * 100, 0)</f>
        <v>0</v>
      </c>
    </row>
    <row r="323" spans="1:24">
      <c r="A323" t="s">
        <v>343</v>
      </c>
      <c r="B323" t="s">
        <v>512</v>
      </c>
      <c r="C323" t="s">
        <v>836</v>
      </c>
      <c r="D323" t="s">
        <v>1007</v>
      </c>
      <c r="E323" t="s">
        <v>1009</v>
      </c>
      <c r="F323" t="s">
        <v>1331</v>
      </c>
      <c r="G323">
        <v>12.68</v>
      </c>
      <c r="H323">
        <v>4</v>
      </c>
      <c r="I323">
        <v>50.65</v>
      </c>
      <c r="J323">
        <v>64.5</v>
      </c>
      <c r="K323">
        <v>745.38</v>
      </c>
      <c r="L323">
        <v>32.69</v>
      </c>
      <c r="M323">
        <v>474.04</v>
      </c>
      <c r="N323">
        <v>16</v>
      </c>
      <c r="O323">
        <v>179.59</v>
      </c>
      <c r="P323" s="2">
        <f>(H323 + J323) - (L323 + N323)</f>
        <v>0</v>
      </c>
      <c r="Q323" s="2">
        <f>P323 * G323</f>
        <v>0</v>
      </c>
      <c r="R323">
        <v>16.7</v>
      </c>
      <c r="S323" s="2">
        <f>R323 * G323</f>
        <v>0</v>
      </c>
      <c r="T323" s="2">
        <f>(H323 + J323) - (L323 + N323) - R323</f>
        <v>0</v>
      </c>
      <c r="U323" s="2">
        <f>T323 * G323</f>
        <v>0</v>
      </c>
      <c r="V323" s="2">
        <f>I323 + K323 - S323</f>
        <v>0</v>
      </c>
      <c r="W323" s="2">
        <f>M323 - V323</f>
        <v>0</v>
      </c>
      <c r="X323" s="2">
        <f>IFERROR(W323 / M323 * 100, 0)</f>
        <v>0</v>
      </c>
    </row>
    <row r="324" spans="1:24">
      <c r="A324" t="s">
        <v>344</v>
      </c>
      <c r="B324" t="s">
        <v>512</v>
      </c>
      <c r="C324" t="s">
        <v>837</v>
      </c>
      <c r="D324" t="s">
        <v>1007</v>
      </c>
      <c r="E324" t="s">
        <v>1009</v>
      </c>
      <c r="F324" t="s">
        <v>1332</v>
      </c>
      <c r="G324">
        <v>18</v>
      </c>
      <c r="H324">
        <v>0</v>
      </c>
      <c r="I324">
        <v>0</v>
      </c>
      <c r="J324">
        <v>0</v>
      </c>
      <c r="K324">
        <v>0</v>
      </c>
      <c r="L324">
        <v>0.46</v>
      </c>
      <c r="M324">
        <v>8.66</v>
      </c>
      <c r="N324">
        <v>0</v>
      </c>
      <c r="O324">
        <v>0</v>
      </c>
      <c r="P324" s="2">
        <f>(H324 + J324) - (L324 + N324)</f>
        <v>0</v>
      </c>
      <c r="Q324" s="2">
        <f>P324 * G324</f>
        <v>0</v>
      </c>
      <c r="R324">
        <v>0</v>
      </c>
      <c r="S324" s="2">
        <f>R324 * G324</f>
        <v>0</v>
      </c>
      <c r="T324" s="2">
        <f>(H324 + J324) - (L324 + N324) - R324</f>
        <v>0</v>
      </c>
      <c r="U324" s="2">
        <f>T324 * G324</f>
        <v>0</v>
      </c>
      <c r="V324" s="2">
        <f>I324 + K324 - S324</f>
        <v>0</v>
      </c>
      <c r="W324" s="2">
        <f>M324 - V324</f>
        <v>0</v>
      </c>
      <c r="X324" s="2">
        <f>IFERROR(W324 / M324 * 100, 0)</f>
        <v>0</v>
      </c>
    </row>
    <row r="325" spans="1:24">
      <c r="A325" t="s">
        <v>345</v>
      </c>
      <c r="B325" t="s">
        <v>512</v>
      </c>
      <c r="C325" t="s">
        <v>838</v>
      </c>
      <c r="D325" t="s">
        <v>1007</v>
      </c>
      <c r="E325" t="s">
        <v>1009</v>
      </c>
      <c r="F325" t="s">
        <v>1333</v>
      </c>
      <c r="G325">
        <v>16.75</v>
      </c>
      <c r="H325">
        <v>0</v>
      </c>
      <c r="I325">
        <v>0</v>
      </c>
      <c r="J325">
        <v>42.8</v>
      </c>
      <c r="K325">
        <v>716.8200000000001</v>
      </c>
      <c r="L325">
        <v>19.72</v>
      </c>
      <c r="M325">
        <v>394.44</v>
      </c>
      <c r="N325">
        <v>0</v>
      </c>
      <c r="O325">
        <v>0</v>
      </c>
      <c r="P325" s="2">
        <f>(H325 + J325) - (L325 + N325)</f>
        <v>0</v>
      </c>
      <c r="Q325" s="2">
        <f>P325 * G325</f>
        <v>0</v>
      </c>
      <c r="R325">
        <v>17</v>
      </c>
      <c r="S325" s="2">
        <f>R325 * G325</f>
        <v>0</v>
      </c>
      <c r="T325" s="2">
        <f>(H325 + J325) - (L325 + N325) - R325</f>
        <v>0</v>
      </c>
      <c r="U325" s="2">
        <f>T325 * G325</f>
        <v>0</v>
      </c>
      <c r="V325" s="2">
        <f>I325 + K325 - S325</f>
        <v>0</v>
      </c>
      <c r="W325" s="2">
        <f>M325 - V325</f>
        <v>0</v>
      </c>
      <c r="X325" s="2">
        <f>IFERROR(W325 / M325 * 100, 0)</f>
        <v>0</v>
      </c>
    </row>
    <row r="326" spans="1:24">
      <c r="A326" t="s">
        <v>346</v>
      </c>
      <c r="B326" t="s">
        <v>512</v>
      </c>
      <c r="C326" t="s">
        <v>839</v>
      </c>
      <c r="D326" t="s">
        <v>1007</v>
      </c>
      <c r="E326" t="s">
        <v>1009</v>
      </c>
      <c r="F326" t="s">
        <v>1334</v>
      </c>
      <c r="G326">
        <v>12.02</v>
      </c>
      <c r="H326">
        <v>0</v>
      </c>
      <c r="I326">
        <v>0</v>
      </c>
      <c r="J326">
        <v>0</v>
      </c>
      <c r="K326">
        <v>0</v>
      </c>
      <c r="L326">
        <v>0.6</v>
      </c>
      <c r="M326">
        <v>2.4</v>
      </c>
      <c r="N326">
        <v>0</v>
      </c>
      <c r="O326">
        <v>0</v>
      </c>
      <c r="P326" s="2">
        <f>(H326 + J326) - (L326 + N326)</f>
        <v>0</v>
      </c>
      <c r="Q326" s="2">
        <f>P326 * G326</f>
        <v>0</v>
      </c>
      <c r="R326">
        <v>0</v>
      </c>
      <c r="S326" s="2">
        <f>R326 * G326</f>
        <v>0</v>
      </c>
      <c r="T326" s="2">
        <f>(H326 + J326) - (L326 + N326) - R326</f>
        <v>0</v>
      </c>
      <c r="U326" s="2">
        <f>T326 * G326</f>
        <v>0</v>
      </c>
      <c r="V326" s="2">
        <f>I326 + K326 - S326</f>
        <v>0</v>
      </c>
      <c r="W326" s="2">
        <f>M326 - V326</f>
        <v>0</v>
      </c>
      <c r="X326" s="2">
        <f>IFERROR(W326 / M326 * 100, 0)</f>
        <v>0</v>
      </c>
    </row>
    <row r="327" spans="1:24">
      <c r="A327" t="s">
        <v>347</v>
      </c>
      <c r="B327" t="s">
        <v>512</v>
      </c>
      <c r="C327" t="s">
        <v>840</v>
      </c>
      <c r="D327" t="s">
        <v>1007</v>
      </c>
      <c r="E327" t="s">
        <v>1009</v>
      </c>
      <c r="F327" t="s">
        <v>1335</v>
      </c>
      <c r="G327">
        <v>3.5</v>
      </c>
      <c r="H327">
        <v>0</v>
      </c>
      <c r="I327">
        <v>0</v>
      </c>
      <c r="J327">
        <v>0</v>
      </c>
      <c r="K327">
        <v>0</v>
      </c>
      <c r="L327">
        <v>0.6899999999999999</v>
      </c>
      <c r="M327">
        <v>3.43</v>
      </c>
      <c r="N327">
        <v>0</v>
      </c>
      <c r="O327">
        <v>0</v>
      </c>
      <c r="P327" s="2">
        <f>(H327 + J327) - (L327 + N327)</f>
        <v>0</v>
      </c>
      <c r="Q327" s="2">
        <f>P327 * G327</f>
        <v>0</v>
      </c>
      <c r="R327">
        <v>0</v>
      </c>
      <c r="S327" s="2">
        <f>R327 * G327</f>
        <v>0</v>
      </c>
      <c r="T327" s="2">
        <f>(H327 + J327) - (L327 + N327) - R327</f>
        <v>0</v>
      </c>
      <c r="U327" s="2">
        <f>T327 * G327</f>
        <v>0</v>
      </c>
      <c r="V327" s="2">
        <f>I327 + K327 - S327</f>
        <v>0</v>
      </c>
      <c r="W327" s="2">
        <f>M327 - V327</f>
        <v>0</v>
      </c>
      <c r="X327" s="2">
        <f>IFERROR(W327 / M327 * 100, 0)</f>
        <v>0</v>
      </c>
    </row>
    <row r="328" spans="1:24">
      <c r="A328" t="s">
        <v>348</v>
      </c>
      <c r="B328" t="s">
        <v>512</v>
      </c>
      <c r="C328" t="s">
        <v>841</v>
      </c>
      <c r="D328" t="s">
        <v>1007</v>
      </c>
      <c r="E328" t="s">
        <v>1009</v>
      </c>
      <c r="F328" t="s">
        <v>1336</v>
      </c>
      <c r="G328">
        <v>10.88</v>
      </c>
      <c r="H328">
        <v>80.5</v>
      </c>
      <c r="I328">
        <v>817.64</v>
      </c>
      <c r="J328">
        <v>656.5</v>
      </c>
      <c r="K328">
        <v>7208.88</v>
      </c>
      <c r="L328">
        <v>603.5599999999999</v>
      </c>
      <c r="M328">
        <v>7544.96</v>
      </c>
      <c r="N328">
        <v>30</v>
      </c>
      <c r="O328">
        <v>330.65</v>
      </c>
      <c r="P328" s="2">
        <f>(H328 + J328) - (L328 + N328)</f>
        <v>0</v>
      </c>
      <c r="Q328" s="2">
        <f>P328 * G328</f>
        <v>0</v>
      </c>
      <c r="R328">
        <v>70.5</v>
      </c>
      <c r="S328" s="2">
        <f>R328 * G328</f>
        <v>0</v>
      </c>
      <c r="T328" s="2">
        <f>(H328 + J328) - (L328 + N328) - R328</f>
        <v>0</v>
      </c>
      <c r="U328" s="2">
        <f>T328 * G328</f>
        <v>0</v>
      </c>
      <c r="V328" s="2">
        <f>I328 + K328 - S328</f>
        <v>0</v>
      </c>
      <c r="W328" s="2">
        <f>M328 - V328</f>
        <v>0</v>
      </c>
      <c r="X328" s="2">
        <f>IFERROR(W328 / M328 * 100, 0)</f>
        <v>0</v>
      </c>
    </row>
    <row r="329" spans="1:24">
      <c r="A329" t="s">
        <v>349</v>
      </c>
      <c r="B329" t="s">
        <v>512</v>
      </c>
      <c r="C329" t="s">
        <v>842</v>
      </c>
      <c r="D329" t="s">
        <v>1007</v>
      </c>
      <c r="E329" t="s">
        <v>1009</v>
      </c>
      <c r="F329" t="s">
        <v>1337</v>
      </c>
      <c r="G329">
        <v>1.18</v>
      </c>
      <c r="H329">
        <v>1124.2</v>
      </c>
      <c r="I329">
        <v>2048.67</v>
      </c>
      <c r="J329">
        <v>19478.18</v>
      </c>
      <c r="K329">
        <v>23889.27</v>
      </c>
      <c r="L329">
        <v>19299.73</v>
      </c>
      <c r="M329">
        <v>34047.51</v>
      </c>
      <c r="N329">
        <v>0</v>
      </c>
      <c r="O329">
        <v>0</v>
      </c>
      <c r="P329" s="2">
        <f>(H329 + J329) - (L329 + N329)</f>
        <v>0</v>
      </c>
      <c r="Q329" s="2">
        <f>P329 * G329</f>
        <v>0</v>
      </c>
      <c r="R329">
        <v>1267.7</v>
      </c>
      <c r="S329" s="2">
        <f>R329 * G329</f>
        <v>0</v>
      </c>
      <c r="T329" s="2">
        <f>(H329 + J329) - (L329 + N329) - R329</f>
        <v>0</v>
      </c>
      <c r="U329" s="2">
        <f>T329 * G329</f>
        <v>0</v>
      </c>
      <c r="V329" s="2">
        <f>I329 + K329 - S329</f>
        <v>0</v>
      </c>
      <c r="W329" s="2">
        <f>M329 - V329</f>
        <v>0</v>
      </c>
      <c r="X329" s="2">
        <f>IFERROR(W329 / M329 * 100, 0)</f>
        <v>0</v>
      </c>
    </row>
    <row r="330" spans="1:24">
      <c r="A330" t="s">
        <v>350</v>
      </c>
      <c r="B330" t="s">
        <v>512</v>
      </c>
      <c r="C330" t="s">
        <v>843</v>
      </c>
      <c r="D330" t="s">
        <v>1008</v>
      </c>
      <c r="E330" t="s">
        <v>1009</v>
      </c>
      <c r="F330" t="s">
        <v>1338</v>
      </c>
      <c r="G330">
        <v>2</v>
      </c>
      <c r="H330">
        <v>0</v>
      </c>
      <c r="I330">
        <v>0</v>
      </c>
      <c r="J330">
        <v>83</v>
      </c>
      <c r="K330">
        <v>156</v>
      </c>
      <c r="L330">
        <v>79</v>
      </c>
      <c r="M330">
        <v>237</v>
      </c>
      <c r="N330">
        <v>0</v>
      </c>
      <c r="O330">
        <v>0</v>
      </c>
      <c r="P330" s="2">
        <f>(H330 + J330) - (L330 + N330)</f>
        <v>0</v>
      </c>
      <c r="Q330" s="2">
        <f>P330 * G330</f>
        <v>0</v>
      </c>
      <c r="R330">
        <v>0</v>
      </c>
      <c r="S330" s="2">
        <f>R330 * G330</f>
        <v>0</v>
      </c>
      <c r="T330" s="2">
        <f>(H330 + J330) - (L330 + N330) - R330</f>
        <v>0</v>
      </c>
      <c r="U330" s="2">
        <f>T330 * G330</f>
        <v>0</v>
      </c>
      <c r="V330" s="2">
        <f>I330 + K330 - S330</f>
        <v>0</v>
      </c>
      <c r="W330" s="2">
        <f>M330 - V330</f>
        <v>0</v>
      </c>
      <c r="X330" s="2">
        <f>IFERROR(W330 / M330 * 100, 0)</f>
        <v>0</v>
      </c>
    </row>
    <row r="331" spans="1:24">
      <c r="A331" t="s">
        <v>351</v>
      </c>
      <c r="B331" t="s">
        <v>512</v>
      </c>
      <c r="C331" t="s">
        <v>844</v>
      </c>
      <c r="D331" t="s">
        <v>1007</v>
      </c>
      <c r="E331" t="s">
        <v>1009</v>
      </c>
      <c r="F331" t="s">
        <v>1339</v>
      </c>
      <c r="G331">
        <v>18</v>
      </c>
      <c r="H331">
        <v>0</v>
      </c>
      <c r="I331">
        <v>0</v>
      </c>
      <c r="J331">
        <v>18.5</v>
      </c>
      <c r="K331">
        <v>333</v>
      </c>
      <c r="L331">
        <v>18.56</v>
      </c>
      <c r="M331">
        <v>436.15</v>
      </c>
      <c r="N331">
        <v>0</v>
      </c>
      <c r="O331">
        <v>0</v>
      </c>
      <c r="P331" s="2">
        <f>(H331 + J331) - (L331 + N331)</f>
        <v>0</v>
      </c>
      <c r="Q331" s="2">
        <f>P331 * G331</f>
        <v>0</v>
      </c>
      <c r="R331">
        <v>0</v>
      </c>
      <c r="S331" s="2">
        <f>R331 * G331</f>
        <v>0</v>
      </c>
      <c r="T331" s="2">
        <f>(H331 + J331) - (L331 + N331) - R331</f>
        <v>0</v>
      </c>
      <c r="U331" s="2">
        <f>T331 * G331</f>
        <v>0</v>
      </c>
      <c r="V331" s="2">
        <f>I331 + K331 - S331</f>
        <v>0</v>
      </c>
      <c r="W331" s="2">
        <f>M331 - V331</f>
        <v>0</v>
      </c>
      <c r="X331" s="2">
        <f>IFERROR(W331 / M331 * 100, 0)</f>
        <v>0</v>
      </c>
    </row>
    <row r="332" spans="1:24">
      <c r="A332" t="s">
        <v>352</v>
      </c>
      <c r="B332" t="s">
        <v>512</v>
      </c>
      <c r="C332" t="s">
        <v>845</v>
      </c>
      <c r="D332" t="s">
        <v>1007</v>
      </c>
      <c r="E332" t="s">
        <v>1009</v>
      </c>
      <c r="F332" t="s">
        <v>1340</v>
      </c>
      <c r="G332">
        <v>4.75</v>
      </c>
      <c r="H332">
        <v>0</v>
      </c>
      <c r="I332">
        <v>0</v>
      </c>
      <c r="J332">
        <v>300.8</v>
      </c>
      <c r="K332">
        <v>1822.98</v>
      </c>
      <c r="L332">
        <v>363.17</v>
      </c>
      <c r="M332">
        <v>2292.31</v>
      </c>
      <c r="N332">
        <v>0</v>
      </c>
      <c r="O332">
        <v>0</v>
      </c>
      <c r="P332" s="2">
        <f>(H332 + J332) - (L332 + N332)</f>
        <v>0</v>
      </c>
      <c r="Q332" s="2">
        <f>P332 * G332</f>
        <v>0</v>
      </c>
      <c r="R332">
        <v>19</v>
      </c>
      <c r="S332" s="2">
        <f>R332 * G332</f>
        <v>0</v>
      </c>
      <c r="T332" s="2">
        <f>(H332 + J332) - (L332 + N332) - R332</f>
        <v>0</v>
      </c>
      <c r="U332" s="2">
        <f>T332 * G332</f>
        <v>0</v>
      </c>
      <c r="V332" s="2">
        <f>I332 + K332 - S332</f>
        <v>0</v>
      </c>
      <c r="W332" s="2">
        <f>M332 - V332</f>
        <v>0</v>
      </c>
      <c r="X332" s="2">
        <f>IFERROR(W332 / M332 * 100, 0)</f>
        <v>0</v>
      </c>
    </row>
    <row r="333" spans="1:24">
      <c r="A333" t="s">
        <v>353</v>
      </c>
      <c r="B333" t="s">
        <v>512</v>
      </c>
      <c r="C333" t="s">
        <v>846</v>
      </c>
      <c r="D333" t="s">
        <v>1008</v>
      </c>
      <c r="E333" t="s">
        <v>1009</v>
      </c>
      <c r="F333" t="s">
        <v>1341</v>
      </c>
      <c r="G333">
        <v>3.37</v>
      </c>
      <c r="H333">
        <v>24</v>
      </c>
      <c r="I333">
        <v>64.90000000000001</v>
      </c>
      <c r="J333">
        <v>1586</v>
      </c>
      <c r="K333">
        <v>5730.08</v>
      </c>
      <c r="L333">
        <v>1441</v>
      </c>
      <c r="M333">
        <v>6822</v>
      </c>
      <c r="N333">
        <v>65</v>
      </c>
      <c r="O333">
        <v>222.74</v>
      </c>
      <c r="P333" s="2">
        <f>(H333 + J333) - (L333 + N333)</f>
        <v>0</v>
      </c>
      <c r="Q333" s="2">
        <f>P333 * G333</f>
        <v>0</v>
      </c>
      <c r="R333">
        <v>98</v>
      </c>
      <c r="S333" s="2">
        <f>R333 * G333</f>
        <v>0</v>
      </c>
      <c r="T333" s="2">
        <f>(H333 + J333) - (L333 + N333) - R333</f>
        <v>0</v>
      </c>
      <c r="U333" s="2">
        <f>T333 * G333</f>
        <v>0</v>
      </c>
      <c r="V333" s="2">
        <f>I333 + K333 - S333</f>
        <v>0</v>
      </c>
      <c r="W333" s="2">
        <f>M333 - V333</f>
        <v>0</v>
      </c>
      <c r="X333" s="2">
        <f>IFERROR(W333 / M333 * 100, 0)</f>
        <v>0</v>
      </c>
    </row>
    <row r="334" spans="1:24">
      <c r="A334" t="s">
        <v>354</v>
      </c>
      <c r="B334" t="s">
        <v>512</v>
      </c>
      <c r="C334" t="s">
        <v>847</v>
      </c>
      <c r="D334" t="s">
        <v>1007</v>
      </c>
      <c r="E334" t="s">
        <v>1009</v>
      </c>
      <c r="F334" t="s">
        <v>1342</v>
      </c>
      <c r="G334">
        <v>2.5</v>
      </c>
      <c r="H334">
        <v>0</v>
      </c>
      <c r="I334">
        <v>0</v>
      </c>
      <c r="J334">
        <v>0</v>
      </c>
      <c r="K334">
        <v>0</v>
      </c>
      <c r="L334">
        <v>2.02</v>
      </c>
      <c r="M334">
        <v>26.26</v>
      </c>
      <c r="N334">
        <v>0</v>
      </c>
      <c r="O334">
        <v>0</v>
      </c>
      <c r="P334" s="2">
        <f>(H334 + J334) - (L334 + N334)</f>
        <v>0</v>
      </c>
      <c r="Q334" s="2">
        <f>P334 * G334</f>
        <v>0</v>
      </c>
      <c r="R334">
        <v>0</v>
      </c>
      <c r="S334" s="2">
        <f>R334 * G334</f>
        <v>0</v>
      </c>
      <c r="T334" s="2">
        <f>(H334 + J334) - (L334 + N334) - R334</f>
        <v>0</v>
      </c>
      <c r="U334" s="2">
        <f>T334 * G334</f>
        <v>0</v>
      </c>
      <c r="V334" s="2">
        <f>I334 + K334 - S334</f>
        <v>0</v>
      </c>
      <c r="W334" s="2">
        <f>M334 - V334</f>
        <v>0</v>
      </c>
      <c r="X334" s="2">
        <f>IFERROR(W334 / M334 * 100, 0)</f>
        <v>0</v>
      </c>
    </row>
    <row r="335" spans="1:24">
      <c r="A335" t="s">
        <v>355</v>
      </c>
      <c r="B335" t="s">
        <v>512</v>
      </c>
      <c r="C335" t="s">
        <v>848</v>
      </c>
      <c r="D335" t="s">
        <v>1007</v>
      </c>
      <c r="E335" t="s">
        <v>1009</v>
      </c>
      <c r="F335" t="s">
        <v>1343</v>
      </c>
      <c r="G335">
        <v>2.65</v>
      </c>
      <c r="H335">
        <v>0</v>
      </c>
      <c r="I335">
        <v>0</v>
      </c>
      <c r="J335">
        <v>25</v>
      </c>
      <c r="K335">
        <v>66.25</v>
      </c>
      <c r="L335">
        <v>0</v>
      </c>
      <c r="M335">
        <v>0</v>
      </c>
      <c r="N335">
        <v>0</v>
      </c>
      <c r="O335">
        <v>0</v>
      </c>
      <c r="P335" s="2">
        <f>(H335 + J335) - (L335 + N335)</f>
        <v>0</v>
      </c>
      <c r="Q335" s="2">
        <f>P335 * G335</f>
        <v>0</v>
      </c>
      <c r="R335">
        <v>0</v>
      </c>
      <c r="S335" s="2">
        <f>R335 * G335</f>
        <v>0</v>
      </c>
      <c r="T335" s="2">
        <f>(H335 + J335) - (L335 + N335) - R335</f>
        <v>0</v>
      </c>
      <c r="U335" s="2">
        <f>T335 * G335</f>
        <v>0</v>
      </c>
      <c r="V335" s="2">
        <f>I335 + K335 - S335</f>
        <v>0</v>
      </c>
      <c r="W335" s="2">
        <f>M335 - V335</f>
        <v>0</v>
      </c>
      <c r="X335" s="2">
        <f>IFERROR(W335 / M335 * 100, 0)</f>
        <v>0</v>
      </c>
    </row>
    <row r="336" spans="1:24">
      <c r="A336" t="s">
        <v>356</v>
      </c>
      <c r="B336" t="s">
        <v>512</v>
      </c>
      <c r="C336" t="s">
        <v>849</v>
      </c>
      <c r="D336" t="s">
        <v>1007</v>
      </c>
      <c r="E336" t="s">
        <v>1009</v>
      </c>
      <c r="F336" t="s">
        <v>1344</v>
      </c>
      <c r="G336">
        <v>1.24</v>
      </c>
      <c r="H336">
        <v>48.9</v>
      </c>
      <c r="I336">
        <v>171.15</v>
      </c>
      <c r="J336">
        <v>72.72</v>
      </c>
      <c r="K336">
        <v>187.66</v>
      </c>
      <c r="L336">
        <v>247.58</v>
      </c>
      <c r="M336">
        <v>864.6</v>
      </c>
      <c r="N336">
        <v>0</v>
      </c>
      <c r="O336">
        <v>0</v>
      </c>
      <c r="P336" s="2">
        <f>(H336 + J336) - (L336 + N336)</f>
        <v>0</v>
      </c>
      <c r="Q336" s="2">
        <f>P336 * G336</f>
        <v>0</v>
      </c>
      <c r="R336">
        <v>68.8</v>
      </c>
      <c r="S336" s="2">
        <f>R336 * G336</f>
        <v>0</v>
      </c>
      <c r="T336" s="2">
        <f>(H336 + J336) - (L336 + N336) - R336</f>
        <v>0</v>
      </c>
      <c r="U336" s="2">
        <f>T336 * G336</f>
        <v>0</v>
      </c>
      <c r="V336" s="2">
        <f>I336 + K336 - S336</f>
        <v>0</v>
      </c>
      <c r="W336" s="2">
        <f>M336 - V336</f>
        <v>0</v>
      </c>
      <c r="X336" s="2">
        <f>IFERROR(W336 / M336 * 100, 0)</f>
        <v>0</v>
      </c>
    </row>
    <row r="337" spans="1:24">
      <c r="A337" t="s">
        <v>357</v>
      </c>
      <c r="B337" t="s">
        <v>512</v>
      </c>
      <c r="C337" t="s">
        <v>850</v>
      </c>
      <c r="D337" t="s">
        <v>1007</v>
      </c>
      <c r="E337" t="s">
        <v>1009</v>
      </c>
      <c r="F337" t="s">
        <v>1345</v>
      </c>
      <c r="G337">
        <v>13.53</v>
      </c>
      <c r="H337">
        <v>0</v>
      </c>
      <c r="I337">
        <v>0</v>
      </c>
      <c r="J337">
        <v>0</v>
      </c>
      <c r="K337">
        <v>0</v>
      </c>
      <c r="L337">
        <v>1.36</v>
      </c>
      <c r="M337">
        <v>27.2</v>
      </c>
      <c r="N337">
        <v>0</v>
      </c>
      <c r="O337">
        <v>0</v>
      </c>
      <c r="P337" s="2">
        <f>(H337 + J337) - (L337 + N337)</f>
        <v>0</v>
      </c>
      <c r="Q337" s="2">
        <f>P337 * G337</f>
        <v>0</v>
      </c>
      <c r="R337">
        <v>0</v>
      </c>
      <c r="S337" s="2">
        <f>R337 * G337</f>
        <v>0</v>
      </c>
      <c r="T337" s="2">
        <f>(H337 + J337) - (L337 + N337) - R337</f>
        <v>0</v>
      </c>
      <c r="U337" s="2">
        <f>T337 * G337</f>
        <v>0</v>
      </c>
      <c r="V337" s="2">
        <f>I337 + K337 - S337</f>
        <v>0</v>
      </c>
      <c r="W337" s="2">
        <f>M337 - V337</f>
        <v>0</v>
      </c>
      <c r="X337" s="2">
        <f>IFERROR(W337 / M337 * 100, 0)</f>
        <v>0</v>
      </c>
    </row>
    <row r="338" spans="1:24">
      <c r="A338" t="s">
        <v>358</v>
      </c>
      <c r="B338" t="s">
        <v>512</v>
      </c>
      <c r="C338" t="s">
        <v>851</v>
      </c>
      <c r="D338" t="s">
        <v>1007</v>
      </c>
      <c r="E338" t="s">
        <v>1009</v>
      </c>
      <c r="F338" t="s">
        <v>1346</v>
      </c>
      <c r="G338">
        <v>10</v>
      </c>
      <c r="H338">
        <v>43</v>
      </c>
      <c r="I338">
        <v>430</v>
      </c>
      <c r="J338">
        <v>0</v>
      </c>
      <c r="K338">
        <v>0</v>
      </c>
      <c r="L338">
        <v>231.69</v>
      </c>
      <c r="M338">
        <v>5445.54</v>
      </c>
      <c r="N338">
        <v>0</v>
      </c>
      <c r="O338">
        <v>0</v>
      </c>
      <c r="P338" s="2">
        <f>(H338 + J338) - (L338 + N338)</f>
        <v>0</v>
      </c>
      <c r="Q338" s="2">
        <f>P338 * G338</f>
        <v>0</v>
      </c>
      <c r="R338">
        <v>0</v>
      </c>
      <c r="S338" s="2">
        <f>R338 * G338</f>
        <v>0</v>
      </c>
      <c r="T338" s="2">
        <f>(H338 + J338) - (L338 + N338) - R338</f>
        <v>0</v>
      </c>
      <c r="U338" s="2">
        <f>T338 * G338</f>
        <v>0</v>
      </c>
      <c r="V338" s="2">
        <f>I338 + K338 - S338</f>
        <v>0</v>
      </c>
      <c r="W338" s="2">
        <f>M338 - V338</f>
        <v>0</v>
      </c>
      <c r="X338" s="2">
        <f>IFERROR(W338 / M338 * 100, 0)</f>
        <v>0</v>
      </c>
    </row>
    <row r="339" spans="1:24">
      <c r="A339" t="s">
        <v>359</v>
      </c>
      <c r="B339" t="s">
        <v>512</v>
      </c>
      <c r="C339" t="s">
        <v>852</v>
      </c>
      <c r="D339" t="s">
        <v>1007</v>
      </c>
      <c r="E339" t="s">
        <v>1009</v>
      </c>
      <c r="F339" t="s">
        <v>1347</v>
      </c>
      <c r="G339">
        <v>4.96</v>
      </c>
      <c r="H339">
        <v>92.2</v>
      </c>
      <c r="I339">
        <v>443.82</v>
      </c>
      <c r="J339">
        <v>633</v>
      </c>
      <c r="K339">
        <v>3138.4</v>
      </c>
      <c r="L339">
        <v>530.13</v>
      </c>
      <c r="M339">
        <v>3445.72</v>
      </c>
      <c r="N339">
        <v>3</v>
      </c>
      <c r="O339">
        <v>14.37</v>
      </c>
      <c r="P339" s="2">
        <f>(H339 + J339) - (L339 + N339)</f>
        <v>0</v>
      </c>
      <c r="Q339" s="2">
        <f>P339 * G339</f>
        <v>0</v>
      </c>
      <c r="R339">
        <v>147</v>
      </c>
      <c r="S339" s="2">
        <f>R339 * G339</f>
        <v>0</v>
      </c>
      <c r="T339" s="2">
        <f>(H339 + J339) - (L339 + N339) - R339</f>
        <v>0</v>
      </c>
      <c r="U339" s="2">
        <f>T339 * G339</f>
        <v>0</v>
      </c>
      <c r="V339" s="2">
        <f>I339 + K339 - S339</f>
        <v>0</v>
      </c>
      <c r="W339" s="2">
        <f>M339 - V339</f>
        <v>0</v>
      </c>
      <c r="X339" s="2">
        <f>IFERROR(W339 / M339 * 100, 0)</f>
        <v>0</v>
      </c>
    </row>
    <row r="340" spans="1:24">
      <c r="A340" t="s">
        <v>360</v>
      </c>
      <c r="B340" t="s">
        <v>512</v>
      </c>
      <c r="C340" t="s">
        <v>853</v>
      </c>
      <c r="D340" t="s">
        <v>1007</v>
      </c>
      <c r="E340" t="s">
        <v>1009</v>
      </c>
      <c r="F340" t="s">
        <v>1348</v>
      </c>
      <c r="G340">
        <v>3.48</v>
      </c>
      <c r="H340">
        <v>0</v>
      </c>
      <c r="I340">
        <v>0</v>
      </c>
      <c r="J340">
        <v>41</v>
      </c>
      <c r="K340">
        <v>150.5</v>
      </c>
      <c r="L340">
        <v>23.22</v>
      </c>
      <c r="M340">
        <v>123.88</v>
      </c>
      <c r="N340">
        <v>0</v>
      </c>
      <c r="O340">
        <v>0</v>
      </c>
      <c r="P340" s="2">
        <f>(H340 + J340) - (L340 + N340)</f>
        <v>0</v>
      </c>
      <c r="Q340" s="2">
        <f>P340 * G340</f>
        <v>0</v>
      </c>
      <c r="R340">
        <v>0</v>
      </c>
      <c r="S340" s="2">
        <f>R340 * G340</f>
        <v>0</v>
      </c>
      <c r="T340" s="2">
        <f>(H340 + J340) - (L340 + N340) - R340</f>
        <v>0</v>
      </c>
      <c r="U340" s="2">
        <f>T340 * G340</f>
        <v>0</v>
      </c>
      <c r="V340" s="2">
        <f>I340 + K340 - S340</f>
        <v>0</v>
      </c>
      <c r="W340" s="2">
        <f>M340 - V340</f>
        <v>0</v>
      </c>
      <c r="X340" s="2">
        <f>IFERROR(W340 / M340 * 100, 0)</f>
        <v>0</v>
      </c>
    </row>
    <row r="341" spans="1:24">
      <c r="A341" t="s">
        <v>361</v>
      </c>
      <c r="B341" t="s">
        <v>512</v>
      </c>
      <c r="C341" t="s">
        <v>854</v>
      </c>
      <c r="D341" t="s">
        <v>1007</v>
      </c>
      <c r="E341" t="s">
        <v>1009</v>
      </c>
      <c r="F341" t="s">
        <v>1349</v>
      </c>
      <c r="G341">
        <v>3.51</v>
      </c>
      <c r="H341">
        <v>151</v>
      </c>
      <c r="I341">
        <v>651.23</v>
      </c>
      <c r="J341">
        <v>527</v>
      </c>
      <c r="K341">
        <v>2188.38</v>
      </c>
      <c r="L341">
        <v>492.63</v>
      </c>
      <c r="M341">
        <v>3202.01</v>
      </c>
      <c r="N341">
        <v>28</v>
      </c>
      <c r="O341">
        <v>102.91</v>
      </c>
      <c r="P341" s="2">
        <f>(H341 + J341) - (L341 + N341)</f>
        <v>0</v>
      </c>
      <c r="Q341" s="2">
        <f>P341 * G341</f>
        <v>0</v>
      </c>
      <c r="R341">
        <v>172</v>
      </c>
      <c r="S341" s="2">
        <f>R341 * G341</f>
        <v>0</v>
      </c>
      <c r="T341" s="2">
        <f>(H341 + J341) - (L341 + N341) - R341</f>
        <v>0</v>
      </c>
      <c r="U341" s="2">
        <f>T341 * G341</f>
        <v>0</v>
      </c>
      <c r="V341" s="2">
        <f>I341 + K341 - S341</f>
        <v>0</v>
      </c>
      <c r="W341" s="2">
        <f>M341 - V341</f>
        <v>0</v>
      </c>
      <c r="X341" s="2">
        <f>IFERROR(W341 / M341 * 100, 0)</f>
        <v>0</v>
      </c>
    </row>
    <row r="342" spans="1:24">
      <c r="A342" t="s">
        <v>362</v>
      </c>
      <c r="B342" t="s">
        <v>512</v>
      </c>
      <c r="C342" t="s">
        <v>855</v>
      </c>
      <c r="D342" t="s">
        <v>1007</v>
      </c>
      <c r="E342" t="s">
        <v>1009</v>
      </c>
      <c r="F342" t="s">
        <v>1350</v>
      </c>
      <c r="G342">
        <v>3.09</v>
      </c>
      <c r="H342">
        <v>66.09999999999999</v>
      </c>
      <c r="I342">
        <v>294.52</v>
      </c>
      <c r="J342">
        <v>351.5</v>
      </c>
      <c r="K342">
        <v>1103.98</v>
      </c>
      <c r="L342">
        <v>405.07</v>
      </c>
      <c r="M342">
        <v>2227.8</v>
      </c>
      <c r="N342">
        <v>0</v>
      </c>
      <c r="O342">
        <v>0</v>
      </c>
      <c r="P342" s="2">
        <f>(H342 + J342) - (L342 + N342)</f>
        <v>0</v>
      </c>
      <c r="Q342" s="2">
        <f>P342 * G342</f>
        <v>0</v>
      </c>
      <c r="R342">
        <v>70.2</v>
      </c>
      <c r="S342" s="2">
        <f>R342 * G342</f>
        <v>0</v>
      </c>
      <c r="T342" s="2">
        <f>(H342 + J342) - (L342 + N342) - R342</f>
        <v>0</v>
      </c>
      <c r="U342" s="2">
        <f>T342 * G342</f>
        <v>0</v>
      </c>
      <c r="V342" s="2">
        <f>I342 + K342 - S342</f>
        <v>0</v>
      </c>
      <c r="W342" s="2">
        <f>M342 - V342</f>
        <v>0</v>
      </c>
      <c r="X342" s="2">
        <f>IFERROR(W342 / M342 * 100, 0)</f>
        <v>0</v>
      </c>
    </row>
    <row r="343" spans="1:24">
      <c r="A343" t="s">
        <v>363</v>
      </c>
      <c r="B343" t="s">
        <v>512</v>
      </c>
      <c r="C343" t="s">
        <v>856</v>
      </c>
      <c r="D343" t="s">
        <v>1007</v>
      </c>
      <c r="E343" t="s">
        <v>1009</v>
      </c>
      <c r="F343" t="s">
        <v>1351</v>
      </c>
      <c r="G343">
        <v>3.13</v>
      </c>
      <c r="H343">
        <v>45.5</v>
      </c>
      <c r="I343">
        <v>161.28</v>
      </c>
      <c r="J343">
        <v>133.1</v>
      </c>
      <c r="K343">
        <v>414.83</v>
      </c>
      <c r="L343">
        <v>178.15</v>
      </c>
      <c r="M343">
        <v>979.86</v>
      </c>
      <c r="N343">
        <v>0</v>
      </c>
      <c r="O343">
        <v>0</v>
      </c>
      <c r="P343" s="2">
        <f>(H343 + J343) - (L343 + N343)</f>
        <v>0</v>
      </c>
      <c r="Q343" s="2">
        <f>P343 * G343</f>
        <v>0</v>
      </c>
      <c r="R343">
        <v>20.7</v>
      </c>
      <c r="S343" s="2">
        <f>R343 * G343</f>
        <v>0</v>
      </c>
      <c r="T343" s="2">
        <f>(H343 + J343) - (L343 + N343) - R343</f>
        <v>0</v>
      </c>
      <c r="U343" s="2">
        <f>T343 * G343</f>
        <v>0</v>
      </c>
      <c r="V343" s="2">
        <f>I343 + K343 - S343</f>
        <v>0</v>
      </c>
      <c r="W343" s="2">
        <f>M343 - V343</f>
        <v>0</v>
      </c>
      <c r="X343" s="2">
        <f>IFERROR(W343 / M343 * 100, 0)</f>
        <v>0</v>
      </c>
    </row>
    <row r="344" spans="1:24">
      <c r="A344" t="s">
        <v>364</v>
      </c>
      <c r="B344" t="s">
        <v>512</v>
      </c>
      <c r="C344" t="s">
        <v>857</v>
      </c>
      <c r="D344" t="s">
        <v>1007</v>
      </c>
      <c r="E344" t="s">
        <v>1009</v>
      </c>
      <c r="F344" t="s">
        <v>1352</v>
      </c>
      <c r="G344">
        <v>12.35</v>
      </c>
      <c r="H344">
        <v>107</v>
      </c>
      <c r="I344">
        <v>1294.67</v>
      </c>
      <c r="J344">
        <v>1188.53</v>
      </c>
      <c r="K344">
        <v>14688.77</v>
      </c>
      <c r="L344">
        <v>992.97</v>
      </c>
      <c r="M344">
        <v>12909.38</v>
      </c>
      <c r="N344">
        <v>39</v>
      </c>
      <c r="O344">
        <v>481.79</v>
      </c>
      <c r="P344" s="2">
        <f>(H344 + J344) - (L344 + N344)</f>
        <v>0</v>
      </c>
      <c r="Q344" s="2">
        <f>P344 * G344</f>
        <v>0</v>
      </c>
      <c r="R344">
        <v>246.6</v>
      </c>
      <c r="S344" s="2">
        <f>R344 * G344</f>
        <v>0</v>
      </c>
      <c r="T344" s="2">
        <f>(H344 + J344) - (L344 + N344) - R344</f>
        <v>0</v>
      </c>
      <c r="U344" s="2">
        <f>T344 * G344</f>
        <v>0</v>
      </c>
      <c r="V344" s="2">
        <f>I344 + K344 - S344</f>
        <v>0</v>
      </c>
      <c r="W344" s="2">
        <f>M344 - V344</f>
        <v>0</v>
      </c>
      <c r="X344" s="2">
        <f>IFERROR(W344 / M344 * 100, 0)</f>
        <v>0</v>
      </c>
    </row>
    <row r="345" spans="1:24">
      <c r="A345" t="s">
        <v>365</v>
      </c>
      <c r="B345" t="s">
        <v>512</v>
      </c>
      <c r="C345" t="s">
        <v>858</v>
      </c>
      <c r="D345" t="s">
        <v>1007</v>
      </c>
      <c r="E345" t="s">
        <v>1009</v>
      </c>
      <c r="F345" t="s">
        <v>1353</v>
      </c>
      <c r="G345">
        <v>33.13</v>
      </c>
      <c r="H345">
        <v>28.5</v>
      </c>
      <c r="I345">
        <v>944.12</v>
      </c>
      <c r="J345">
        <v>0</v>
      </c>
      <c r="K345">
        <v>0</v>
      </c>
      <c r="L345">
        <v>19.49</v>
      </c>
      <c r="M345">
        <v>701.42</v>
      </c>
      <c r="N345">
        <v>6</v>
      </c>
      <c r="O345">
        <v>198.76</v>
      </c>
      <c r="P345" s="2">
        <f>(H345 + J345) - (L345 + N345)</f>
        <v>0</v>
      </c>
      <c r="Q345" s="2">
        <f>P345 * G345</f>
        <v>0</v>
      </c>
      <c r="R345">
        <v>0</v>
      </c>
      <c r="S345" s="2">
        <f>R345 * G345</f>
        <v>0</v>
      </c>
      <c r="T345" s="2">
        <f>(H345 + J345) - (L345 + N345) - R345</f>
        <v>0</v>
      </c>
      <c r="U345" s="2">
        <f>T345 * G345</f>
        <v>0</v>
      </c>
      <c r="V345" s="2">
        <f>I345 + K345 - S345</f>
        <v>0</v>
      </c>
      <c r="W345" s="2">
        <f>M345 - V345</f>
        <v>0</v>
      </c>
      <c r="X345" s="2">
        <f>IFERROR(W345 / M345 * 100, 0)</f>
        <v>0</v>
      </c>
    </row>
    <row r="346" spans="1:24">
      <c r="A346" t="s">
        <v>366</v>
      </c>
      <c r="B346" t="s">
        <v>512</v>
      </c>
      <c r="C346" t="s">
        <v>859</v>
      </c>
      <c r="D346" t="s">
        <v>1007</v>
      </c>
      <c r="E346" t="s">
        <v>1009</v>
      </c>
      <c r="F346" t="s">
        <v>1354</v>
      </c>
      <c r="G346">
        <v>5.5</v>
      </c>
      <c r="H346">
        <v>0</v>
      </c>
      <c r="I346">
        <v>0</v>
      </c>
      <c r="J346">
        <v>0</v>
      </c>
      <c r="K346">
        <v>0</v>
      </c>
      <c r="L346">
        <v>2.92</v>
      </c>
      <c r="M346">
        <v>38.01</v>
      </c>
      <c r="N346">
        <v>0</v>
      </c>
      <c r="O346">
        <v>0</v>
      </c>
      <c r="P346" s="2">
        <f>(H346 + J346) - (L346 + N346)</f>
        <v>0</v>
      </c>
      <c r="Q346" s="2">
        <f>P346 * G346</f>
        <v>0</v>
      </c>
      <c r="R346">
        <v>0</v>
      </c>
      <c r="S346" s="2">
        <f>R346 * G346</f>
        <v>0</v>
      </c>
      <c r="T346" s="2">
        <f>(H346 + J346) - (L346 + N346) - R346</f>
        <v>0</v>
      </c>
      <c r="U346" s="2">
        <f>T346 * G346</f>
        <v>0</v>
      </c>
      <c r="V346" s="2">
        <f>I346 + K346 - S346</f>
        <v>0</v>
      </c>
      <c r="W346" s="2">
        <f>M346 - V346</f>
        <v>0</v>
      </c>
      <c r="X346" s="2">
        <f>IFERROR(W346 / M346 * 100, 0)</f>
        <v>0</v>
      </c>
    </row>
    <row r="347" spans="1:24">
      <c r="A347" t="s">
        <v>367</v>
      </c>
      <c r="B347" t="s">
        <v>512</v>
      </c>
      <c r="C347" t="s">
        <v>860</v>
      </c>
      <c r="D347" t="s">
        <v>1007</v>
      </c>
      <c r="E347" t="s">
        <v>1009</v>
      </c>
      <c r="F347" t="s">
        <v>1355</v>
      </c>
      <c r="G347">
        <v>2.5</v>
      </c>
      <c r="H347">
        <v>0</v>
      </c>
      <c r="I347">
        <v>0</v>
      </c>
      <c r="J347">
        <v>11.82</v>
      </c>
      <c r="K347">
        <v>29.54</v>
      </c>
      <c r="L347">
        <v>55</v>
      </c>
      <c r="M347">
        <v>550.02</v>
      </c>
      <c r="N347">
        <v>0</v>
      </c>
      <c r="O347">
        <v>0</v>
      </c>
      <c r="P347" s="2">
        <f>(H347 + J347) - (L347 + N347)</f>
        <v>0</v>
      </c>
      <c r="Q347" s="2">
        <f>P347 * G347</f>
        <v>0</v>
      </c>
      <c r="R347">
        <v>0</v>
      </c>
      <c r="S347" s="2">
        <f>R347 * G347</f>
        <v>0</v>
      </c>
      <c r="T347" s="2">
        <f>(H347 + J347) - (L347 + N347) - R347</f>
        <v>0</v>
      </c>
      <c r="U347" s="2">
        <f>T347 * G347</f>
        <v>0</v>
      </c>
      <c r="V347" s="2">
        <f>I347 + K347 - S347</f>
        <v>0</v>
      </c>
      <c r="W347" s="2">
        <f>M347 - V347</f>
        <v>0</v>
      </c>
      <c r="X347" s="2">
        <f>IFERROR(W347 / M347 * 100, 0)</f>
        <v>0</v>
      </c>
    </row>
    <row r="348" spans="1:24">
      <c r="A348" t="s">
        <v>368</v>
      </c>
      <c r="B348" t="s">
        <v>512</v>
      </c>
      <c r="C348" t="s">
        <v>861</v>
      </c>
      <c r="D348" t="s">
        <v>1007</v>
      </c>
      <c r="E348" t="s">
        <v>1009</v>
      </c>
      <c r="F348" t="s">
        <v>1356</v>
      </c>
      <c r="G348">
        <v>1.7</v>
      </c>
      <c r="H348">
        <v>0</v>
      </c>
      <c r="I348">
        <v>0</v>
      </c>
      <c r="J348">
        <v>0</v>
      </c>
      <c r="K348">
        <v>0</v>
      </c>
      <c r="L348">
        <v>1.18</v>
      </c>
      <c r="M348">
        <v>2.35</v>
      </c>
      <c r="N348">
        <v>0</v>
      </c>
      <c r="O348">
        <v>0</v>
      </c>
      <c r="P348" s="2">
        <f>(H348 + J348) - (L348 + N348)</f>
        <v>0</v>
      </c>
      <c r="Q348" s="2">
        <f>P348 * G348</f>
        <v>0</v>
      </c>
      <c r="R348">
        <v>0</v>
      </c>
      <c r="S348" s="2">
        <f>R348 * G348</f>
        <v>0</v>
      </c>
      <c r="T348" s="2">
        <f>(H348 + J348) - (L348 + N348) - R348</f>
        <v>0</v>
      </c>
      <c r="U348" s="2">
        <f>T348 * G348</f>
        <v>0</v>
      </c>
      <c r="V348" s="2">
        <f>I348 + K348 - S348</f>
        <v>0</v>
      </c>
      <c r="W348" s="2">
        <f>M348 - V348</f>
        <v>0</v>
      </c>
      <c r="X348" s="2">
        <f>IFERROR(W348 / M348 * 100, 0)</f>
        <v>0</v>
      </c>
    </row>
    <row r="349" spans="1:24">
      <c r="A349" t="s">
        <v>369</v>
      </c>
      <c r="B349" t="s">
        <v>512</v>
      </c>
      <c r="C349" t="s">
        <v>862</v>
      </c>
      <c r="D349" t="s">
        <v>1007</v>
      </c>
      <c r="E349" t="s">
        <v>1009</v>
      </c>
      <c r="F349" t="s">
        <v>1357</v>
      </c>
      <c r="G349">
        <v>10</v>
      </c>
      <c r="H349">
        <v>0</v>
      </c>
      <c r="I349">
        <v>0</v>
      </c>
      <c r="J349">
        <v>0</v>
      </c>
      <c r="K349">
        <v>0</v>
      </c>
      <c r="L349">
        <v>0.67</v>
      </c>
      <c r="M349">
        <v>8.68</v>
      </c>
      <c r="N349">
        <v>0</v>
      </c>
      <c r="O349">
        <v>0</v>
      </c>
      <c r="P349" s="2">
        <f>(H349 + J349) - (L349 + N349)</f>
        <v>0</v>
      </c>
      <c r="Q349" s="2">
        <f>P349 * G349</f>
        <v>0</v>
      </c>
      <c r="R349">
        <v>0</v>
      </c>
      <c r="S349" s="2">
        <f>R349 * G349</f>
        <v>0</v>
      </c>
      <c r="T349" s="2">
        <f>(H349 + J349) - (L349 + N349) - R349</f>
        <v>0</v>
      </c>
      <c r="U349" s="2">
        <f>T349 * G349</f>
        <v>0</v>
      </c>
      <c r="V349" s="2">
        <f>I349 + K349 - S349</f>
        <v>0</v>
      </c>
      <c r="W349" s="2">
        <f>M349 - V349</f>
        <v>0</v>
      </c>
      <c r="X349" s="2">
        <f>IFERROR(W349 / M349 * 100, 0)</f>
        <v>0</v>
      </c>
    </row>
    <row r="350" spans="1:24">
      <c r="A350" t="s">
        <v>370</v>
      </c>
      <c r="B350" t="s">
        <v>512</v>
      </c>
      <c r="C350" t="s">
        <v>863</v>
      </c>
      <c r="D350" t="s">
        <v>1008</v>
      </c>
      <c r="E350" t="s">
        <v>1009</v>
      </c>
      <c r="F350" t="s">
        <v>1358</v>
      </c>
      <c r="G350">
        <v>5.75</v>
      </c>
      <c r="H350">
        <v>3</v>
      </c>
      <c r="I350">
        <v>17.25</v>
      </c>
      <c r="J350">
        <v>0</v>
      </c>
      <c r="K350">
        <v>0</v>
      </c>
      <c r="L350">
        <v>1</v>
      </c>
      <c r="M350">
        <v>11</v>
      </c>
      <c r="N350">
        <v>0</v>
      </c>
      <c r="O350">
        <v>0</v>
      </c>
      <c r="P350" s="2">
        <f>(H350 + J350) - (L350 + N350)</f>
        <v>0</v>
      </c>
      <c r="Q350" s="2">
        <f>P350 * G350</f>
        <v>0</v>
      </c>
      <c r="R350">
        <v>0</v>
      </c>
      <c r="S350" s="2">
        <f>R350 * G350</f>
        <v>0</v>
      </c>
      <c r="T350" s="2">
        <f>(H350 + J350) - (L350 + N350) - R350</f>
        <v>0</v>
      </c>
      <c r="U350" s="2">
        <f>T350 * G350</f>
        <v>0</v>
      </c>
      <c r="V350" s="2">
        <f>I350 + K350 - S350</f>
        <v>0</v>
      </c>
      <c r="W350" s="2">
        <f>M350 - V350</f>
        <v>0</v>
      </c>
      <c r="X350" s="2">
        <f>IFERROR(W350 / M350 * 100, 0)</f>
        <v>0</v>
      </c>
    </row>
    <row r="351" spans="1:24">
      <c r="A351" t="s">
        <v>371</v>
      </c>
      <c r="B351" t="s">
        <v>512</v>
      </c>
      <c r="C351" t="s">
        <v>864</v>
      </c>
      <c r="D351" t="s">
        <v>1008</v>
      </c>
      <c r="E351" t="s">
        <v>1009</v>
      </c>
      <c r="F351" t="s">
        <v>1359</v>
      </c>
      <c r="G351">
        <v>19.5</v>
      </c>
      <c r="H351">
        <v>15</v>
      </c>
      <c r="I351">
        <v>292.5</v>
      </c>
      <c r="J351">
        <v>-3</v>
      </c>
      <c r="K351">
        <v>-58.5</v>
      </c>
      <c r="L351">
        <v>15</v>
      </c>
      <c r="M351">
        <v>307.5</v>
      </c>
      <c r="N351">
        <v>0</v>
      </c>
      <c r="O351">
        <v>0</v>
      </c>
      <c r="P351" s="2">
        <f>(H351 + J351) - (L351 + N351)</f>
        <v>0</v>
      </c>
      <c r="Q351" s="2">
        <f>P351 * G351</f>
        <v>0</v>
      </c>
      <c r="R351">
        <v>10</v>
      </c>
      <c r="S351" s="2">
        <f>R351 * G351</f>
        <v>0</v>
      </c>
      <c r="T351" s="2">
        <f>(H351 + J351) - (L351 + N351) - R351</f>
        <v>0</v>
      </c>
      <c r="U351" s="2">
        <f>T351 * G351</f>
        <v>0</v>
      </c>
      <c r="V351" s="2">
        <f>I351 + K351 - S351</f>
        <v>0</v>
      </c>
      <c r="W351" s="2">
        <f>M351 - V351</f>
        <v>0</v>
      </c>
      <c r="X351" s="2">
        <f>IFERROR(W351 / M351 * 100, 0)</f>
        <v>0</v>
      </c>
    </row>
    <row r="352" spans="1:24">
      <c r="A352" t="s">
        <v>372</v>
      </c>
      <c r="B352" t="s">
        <v>512</v>
      </c>
      <c r="C352" t="s">
        <v>865</v>
      </c>
      <c r="D352" t="s">
        <v>1008</v>
      </c>
      <c r="E352" t="s">
        <v>1009</v>
      </c>
      <c r="F352" t="s">
        <v>1360</v>
      </c>
      <c r="G352">
        <v>25</v>
      </c>
      <c r="H352">
        <v>19</v>
      </c>
      <c r="I352">
        <v>475</v>
      </c>
      <c r="J352">
        <v>0</v>
      </c>
      <c r="K352">
        <v>0</v>
      </c>
      <c r="L352">
        <v>9</v>
      </c>
      <c r="M352">
        <v>234</v>
      </c>
      <c r="N352">
        <v>0</v>
      </c>
      <c r="O352">
        <v>0</v>
      </c>
      <c r="P352" s="2">
        <f>(H352 + J352) - (L352 + N352)</f>
        <v>0</v>
      </c>
      <c r="Q352" s="2">
        <f>P352 * G352</f>
        <v>0</v>
      </c>
      <c r="R352">
        <v>18</v>
      </c>
      <c r="S352" s="2">
        <f>R352 * G352</f>
        <v>0</v>
      </c>
      <c r="T352" s="2">
        <f>(H352 + J352) - (L352 + N352) - R352</f>
        <v>0</v>
      </c>
      <c r="U352" s="2">
        <f>T352 * G352</f>
        <v>0</v>
      </c>
      <c r="V352" s="2">
        <f>I352 + K352 - S352</f>
        <v>0</v>
      </c>
      <c r="W352" s="2">
        <f>M352 - V352</f>
        <v>0</v>
      </c>
      <c r="X352" s="2">
        <f>IFERROR(W352 / M352 * 100, 0)</f>
        <v>0</v>
      </c>
    </row>
    <row r="353" spans="1:24">
      <c r="A353" t="s">
        <v>373</v>
      </c>
      <c r="B353" t="s">
        <v>512</v>
      </c>
      <c r="C353" t="s">
        <v>866</v>
      </c>
      <c r="D353" t="s">
        <v>1008</v>
      </c>
      <c r="E353" t="s">
        <v>1009</v>
      </c>
      <c r="F353" t="s">
        <v>1361</v>
      </c>
      <c r="G353">
        <v>14</v>
      </c>
      <c r="H353">
        <v>43</v>
      </c>
      <c r="I353">
        <v>602</v>
      </c>
      <c r="J353">
        <v>-2</v>
      </c>
      <c r="K353">
        <v>-28</v>
      </c>
      <c r="L353">
        <v>31</v>
      </c>
      <c r="M353">
        <v>465</v>
      </c>
      <c r="N353">
        <v>0</v>
      </c>
      <c r="O353">
        <v>0</v>
      </c>
      <c r="P353" s="2">
        <f>(H353 + J353) - (L353 + N353)</f>
        <v>0</v>
      </c>
      <c r="Q353" s="2">
        <f>P353 * G353</f>
        <v>0</v>
      </c>
      <c r="R353">
        <v>8</v>
      </c>
      <c r="S353" s="2">
        <f>R353 * G353</f>
        <v>0</v>
      </c>
      <c r="T353" s="2">
        <f>(H353 + J353) - (L353 + N353) - R353</f>
        <v>0</v>
      </c>
      <c r="U353" s="2">
        <f>T353 * G353</f>
        <v>0</v>
      </c>
      <c r="V353" s="2">
        <f>I353 + K353 - S353</f>
        <v>0</v>
      </c>
      <c r="W353" s="2">
        <f>M353 - V353</f>
        <v>0</v>
      </c>
      <c r="X353" s="2">
        <f>IFERROR(W353 / M353 * 100, 0)</f>
        <v>0</v>
      </c>
    </row>
    <row r="354" spans="1:24">
      <c r="A354" t="s">
        <v>374</v>
      </c>
      <c r="B354" t="s">
        <v>512</v>
      </c>
      <c r="C354" t="s">
        <v>867</v>
      </c>
      <c r="D354" t="s">
        <v>1008</v>
      </c>
      <c r="E354" t="s">
        <v>1009</v>
      </c>
      <c r="F354" t="s">
        <v>1362</v>
      </c>
      <c r="G354">
        <v>33</v>
      </c>
      <c r="H354">
        <v>20</v>
      </c>
      <c r="I354">
        <v>660</v>
      </c>
      <c r="J354">
        <v>0</v>
      </c>
      <c r="K354">
        <v>0</v>
      </c>
      <c r="L354">
        <v>2</v>
      </c>
      <c r="M354">
        <v>68</v>
      </c>
      <c r="N354">
        <v>0</v>
      </c>
      <c r="O354">
        <v>0</v>
      </c>
      <c r="P354" s="2">
        <f>(H354 + J354) - (L354 + N354)</f>
        <v>0</v>
      </c>
      <c r="Q354" s="2">
        <f>P354 * G354</f>
        <v>0</v>
      </c>
      <c r="R354">
        <v>8</v>
      </c>
      <c r="S354" s="2">
        <f>R354 * G354</f>
        <v>0</v>
      </c>
      <c r="T354" s="2">
        <f>(H354 + J354) - (L354 + N354) - R354</f>
        <v>0</v>
      </c>
      <c r="U354" s="2">
        <f>T354 * G354</f>
        <v>0</v>
      </c>
      <c r="V354" s="2">
        <f>I354 + K354 - S354</f>
        <v>0</v>
      </c>
      <c r="W354" s="2">
        <f>M354 - V354</f>
        <v>0</v>
      </c>
      <c r="X354" s="2">
        <f>IFERROR(W354 / M354 * 100, 0)</f>
        <v>0</v>
      </c>
    </row>
    <row r="355" spans="1:24">
      <c r="A355" t="s">
        <v>375</v>
      </c>
      <c r="B355" t="s">
        <v>512</v>
      </c>
      <c r="C355" t="s">
        <v>868</v>
      </c>
      <c r="D355" t="s">
        <v>1008</v>
      </c>
      <c r="E355" t="s">
        <v>1009</v>
      </c>
      <c r="F355" t="s">
        <v>1363</v>
      </c>
      <c r="G355">
        <v>18</v>
      </c>
      <c r="H355">
        <v>101</v>
      </c>
      <c r="I355">
        <v>1818</v>
      </c>
      <c r="J355">
        <v>-4</v>
      </c>
      <c r="K355">
        <v>-72</v>
      </c>
      <c r="L355">
        <v>11</v>
      </c>
      <c r="M355">
        <v>209</v>
      </c>
      <c r="N355">
        <v>0</v>
      </c>
      <c r="O355">
        <v>0</v>
      </c>
      <c r="P355" s="2">
        <f>(H355 + J355) - (L355 + N355)</f>
        <v>0</v>
      </c>
      <c r="Q355" s="2">
        <f>P355 * G355</f>
        <v>0</v>
      </c>
      <c r="R355">
        <v>109</v>
      </c>
      <c r="S355" s="2">
        <f>R355 * G355</f>
        <v>0</v>
      </c>
      <c r="T355" s="2">
        <f>(H355 + J355) - (L355 + N355) - R355</f>
        <v>0</v>
      </c>
      <c r="U355" s="2">
        <f>T355 * G355</f>
        <v>0</v>
      </c>
      <c r="V355" s="2">
        <f>I355 + K355 - S355</f>
        <v>0</v>
      </c>
      <c r="W355" s="2">
        <f>M355 - V355</f>
        <v>0</v>
      </c>
      <c r="X355" s="2">
        <f>IFERROR(W355 / M355 * 100, 0)</f>
        <v>0</v>
      </c>
    </row>
    <row r="356" spans="1:24">
      <c r="A356" t="s">
        <v>376</v>
      </c>
      <c r="B356" t="s">
        <v>512</v>
      </c>
      <c r="C356" t="s">
        <v>869</v>
      </c>
      <c r="D356" t="s">
        <v>1008</v>
      </c>
      <c r="E356" t="s">
        <v>1009</v>
      </c>
      <c r="F356" t="s">
        <v>1364</v>
      </c>
      <c r="G356">
        <v>23</v>
      </c>
      <c r="H356">
        <v>27</v>
      </c>
      <c r="I356">
        <v>621</v>
      </c>
      <c r="J356">
        <v>0</v>
      </c>
      <c r="K356">
        <v>0</v>
      </c>
      <c r="L356">
        <v>1</v>
      </c>
      <c r="M356">
        <v>24</v>
      </c>
      <c r="N356">
        <v>0</v>
      </c>
      <c r="O356">
        <v>0</v>
      </c>
      <c r="P356" s="2">
        <f>(H356 + J356) - (L356 + N356)</f>
        <v>0</v>
      </c>
      <c r="Q356" s="2">
        <f>P356 * G356</f>
        <v>0</v>
      </c>
      <c r="R356">
        <v>35</v>
      </c>
      <c r="S356" s="2">
        <f>R356 * G356</f>
        <v>0</v>
      </c>
      <c r="T356" s="2">
        <f>(H356 + J356) - (L356 + N356) - R356</f>
        <v>0</v>
      </c>
      <c r="U356" s="2">
        <f>T356 * G356</f>
        <v>0</v>
      </c>
      <c r="V356" s="2">
        <f>I356 + K356 - S356</f>
        <v>0</v>
      </c>
      <c r="W356" s="2">
        <f>M356 - V356</f>
        <v>0</v>
      </c>
      <c r="X356" s="2">
        <f>IFERROR(W356 / M356 * 100, 0)</f>
        <v>0</v>
      </c>
    </row>
    <row r="357" spans="1:24">
      <c r="A357" t="s">
        <v>377</v>
      </c>
      <c r="B357" t="s">
        <v>512</v>
      </c>
      <c r="C357" t="s">
        <v>870</v>
      </c>
      <c r="D357" t="s">
        <v>1008</v>
      </c>
      <c r="E357" t="s">
        <v>1009</v>
      </c>
      <c r="F357" t="s">
        <v>1365</v>
      </c>
      <c r="G357">
        <v>13</v>
      </c>
      <c r="H357">
        <v>104</v>
      </c>
      <c r="I357">
        <v>1352</v>
      </c>
      <c r="J357">
        <v>-9</v>
      </c>
      <c r="K357">
        <v>-117</v>
      </c>
      <c r="L357">
        <v>15</v>
      </c>
      <c r="M357">
        <v>210</v>
      </c>
      <c r="N357">
        <v>0</v>
      </c>
      <c r="O357">
        <v>0</v>
      </c>
      <c r="P357" s="2">
        <f>(H357 + J357) - (L357 + N357)</f>
        <v>0</v>
      </c>
      <c r="Q357" s="2">
        <f>P357 * G357</f>
        <v>0</v>
      </c>
      <c r="R357">
        <v>73</v>
      </c>
      <c r="S357" s="2">
        <f>R357 * G357</f>
        <v>0</v>
      </c>
      <c r="T357" s="2">
        <f>(H357 + J357) - (L357 + N357) - R357</f>
        <v>0</v>
      </c>
      <c r="U357" s="2">
        <f>T357 * G357</f>
        <v>0</v>
      </c>
      <c r="V357" s="2">
        <f>I357 + K357 - S357</f>
        <v>0</v>
      </c>
      <c r="W357" s="2">
        <f>M357 - V357</f>
        <v>0</v>
      </c>
      <c r="X357" s="2">
        <f>IFERROR(W357 / M357 * 100, 0)</f>
        <v>0</v>
      </c>
    </row>
    <row r="358" spans="1:24">
      <c r="A358" t="s">
        <v>378</v>
      </c>
      <c r="B358" t="s">
        <v>512</v>
      </c>
      <c r="C358" t="s">
        <v>871</v>
      </c>
      <c r="D358" t="s">
        <v>1008</v>
      </c>
      <c r="E358" t="s">
        <v>1009</v>
      </c>
      <c r="F358" t="s">
        <v>1366</v>
      </c>
      <c r="G358">
        <v>23</v>
      </c>
      <c r="H358">
        <v>12</v>
      </c>
      <c r="I358">
        <v>276</v>
      </c>
      <c r="J358">
        <v>0</v>
      </c>
      <c r="K358">
        <v>0</v>
      </c>
      <c r="L358">
        <v>8</v>
      </c>
      <c r="M358">
        <v>192</v>
      </c>
      <c r="N358">
        <v>0</v>
      </c>
      <c r="O358">
        <v>0</v>
      </c>
      <c r="P358" s="2">
        <f>(H358 + J358) - (L358 + N358)</f>
        <v>0</v>
      </c>
      <c r="Q358" s="2">
        <f>P358 * G358</f>
        <v>0</v>
      </c>
      <c r="R358">
        <v>0</v>
      </c>
      <c r="S358" s="2">
        <f>R358 * G358</f>
        <v>0</v>
      </c>
      <c r="T358" s="2">
        <f>(H358 + J358) - (L358 + N358) - R358</f>
        <v>0</v>
      </c>
      <c r="U358" s="2">
        <f>T358 * G358</f>
        <v>0</v>
      </c>
      <c r="V358" s="2">
        <f>I358 + K358 - S358</f>
        <v>0</v>
      </c>
      <c r="W358" s="2">
        <f>M358 - V358</f>
        <v>0</v>
      </c>
      <c r="X358" s="2">
        <f>IFERROR(W358 / M358 * 100, 0)</f>
        <v>0</v>
      </c>
    </row>
    <row r="359" spans="1:24">
      <c r="A359" t="s">
        <v>379</v>
      </c>
      <c r="B359" t="s">
        <v>512</v>
      </c>
      <c r="C359" t="s">
        <v>872</v>
      </c>
      <c r="D359" t="s">
        <v>1008</v>
      </c>
      <c r="E359" t="s">
        <v>1009</v>
      </c>
      <c r="F359" t="s">
        <v>1367</v>
      </c>
      <c r="G359">
        <v>13</v>
      </c>
      <c r="H359">
        <v>22</v>
      </c>
      <c r="I359">
        <v>286</v>
      </c>
      <c r="J359">
        <v>-7</v>
      </c>
      <c r="K359">
        <v>-91</v>
      </c>
      <c r="L359">
        <v>17</v>
      </c>
      <c r="M359">
        <v>238</v>
      </c>
      <c r="N359">
        <v>0</v>
      </c>
      <c r="O359">
        <v>0</v>
      </c>
      <c r="P359" s="2">
        <f>(H359 + J359) - (L359 + N359)</f>
        <v>0</v>
      </c>
      <c r="Q359" s="2">
        <f>P359 * G359</f>
        <v>0</v>
      </c>
      <c r="R359">
        <v>36</v>
      </c>
      <c r="S359" s="2">
        <f>R359 * G359</f>
        <v>0</v>
      </c>
      <c r="T359" s="2">
        <f>(H359 + J359) - (L359 + N359) - R359</f>
        <v>0</v>
      </c>
      <c r="U359" s="2">
        <f>T359 * G359</f>
        <v>0</v>
      </c>
      <c r="V359" s="2">
        <f>I359 + K359 - S359</f>
        <v>0</v>
      </c>
      <c r="W359" s="2">
        <f>M359 - V359</f>
        <v>0</v>
      </c>
      <c r="X359" s="2">
        <f>IFERROR(W359 / M359 * 100, 0)</f>
        <v>0</v>
      </c>
    </row>
    <row r="360" spans="1:24">
      <c r="A360" t="s">
        <v>380</v>
      </c>
      <c r="B360" t="s">
        <v>512</v>
      </c>
      <c r="C360" t="s">
        <v>873</v>
      </c>
      <c r="D360" t="s">
        <v>1008</v>
      </c>
      <c r="E360" t="s">
        <v>1009</v>
      </c>
      <c r="F360" t="s">
        <v>1368</v>
      </c>
      <c r="G360">
        <v>36</v>
      </c>
      <c r="H360">
        <v>31</v>
      </c>
      <c r="I360">
        <v>1116</v>
      </c>
      <c r="J360">
        <v>-5</v>
      </c>
      <c r="K360">
        <v>-180</v>
      </c>
      <c r="L360">
        <v>4</v>
      </c>
      <c r="M360">
        <v>148</v>
      </c>
      <c r="N360">
        <v>0</v>
      </c>
      <c r="O360">
        <v>0</v>
      </c>
      <c r="P360" s="2">
        <f>(H360 + J360) - (L360 + N360)</f>
        <v>0</v>
      </c>
      <c r="Q360" s="2">
        <f>P360 * G360</f>
        <v>0</v>
      </c>
      <c r="R360">
        <v>23</v>
      </c>
      <c r="S360" s="2">
        <f>R360 * G360</f>
        <v>0</v>
      </c>
      <c r="T360" s="2">
        <f>(H360 + J360) - (L360 + N360) - R360</f>
        <v>0</v>
      </c>
      <c r="U360" s="2">
        <f>T360 * G360</f>
        <v>0</v>
      </c>
      <c r="V360" s="2">
        <f>I360 + K360 - S360</f>
        <v>0</v>
      </c>
      <c r="W360" s="2">
        <f>M360 - V360</f>
        <v>0</v>
      </c>
      <c r="X360" s="2">
        <f>IFERROR(W360 / M360 * 100, 0)</f>
        <v>0</v>
      </c>
    </row>
    <row r="361" spans="1:24">
      <c r="A361" t="s">
        <v>381</v>
      </c>
      <c r="B361" t="s">
        <v>512</v>
      </c>
      <c r="C361" t="s">
        <v>874</v>
      </c>
      <c r="D361" t="s">
        <v>1007</v>
      </c>
      <c r="E361" t="s">
        <v>1009</v>
      </c>
      <c r="F361" t="s">
        <v>1369</v>
      </c>
      <c r="G361">
        <v>7</v>
      </c>
      <c r="H361">
        <v>0</v>
      </c>
      <c r="I361">
        <v>0</v>
      </c>
      <c r="J361">
        <v>0</v>
      </c>
      <c r="K361">
        <v>0</v>
      </c>
      <c r="L361">
        <v>179.19</v>
      </c>
      <c r="M361">
        <v>1164.73</v>
      </c>
      <c r="N361">
        <v>0</v>
      </c>
      <c r="O361">
        <v>0</v>
      </c>
      <c r="P361" s="2">
        <f>(H361 + J361) - (L361 + N361)</f>
        <v>0</v>
      </c>
      <c r="Q361" s="2">
        <f>P361 * G361</f>
        <v>0</v>
      </c>
      <c r="R361">
        <v>0</v>
      </c>
      <c r="S361" s="2">
        <f>R361 * G361</f>
        <v>0</v>
      </c>
      <c r="T361" s="2">
        <f>(H361 + J361) - (L361 + N361) - R361</f>
        <v>0</v>
      </c>
      <c r="U361" s="2">
        <f>T361 * G361</f>
        <v>0</v>
      </c>
      <c r="V361" s="2">
        <f>I361 + K361 - S361</f>
        <v>0</v>
      </c>
      <c r="W361" s="2">
        <f>M361 - V361</f>
        <v>0</v>
      </c>
      <c r="X361" s="2">
        <f>IFERROR(W361 / M361 * 100, 0)</f>
        <v>0</v>
      </c>
    </row>
    <row r="362" spans="1:24">
      <c r="A362" t="s">
        <v>382</v>
      </c>
      <c r="B362" t="s">
        <v>512</v>
      </c>
      <c r="C362" t="s">
        <v>875</v>
      </c>
      <c r="D362" t="s">
        <v>1008</v>
      </c>
      <c r="E362" t="s">
        <v>1009</v>
      </c>
      <c r="F362" t="s">
        <v>1370</v>
      </c>
      <c r="G362">
        <v>2</v>
      </c>
      <c r="H362">
        <v>29</v>
      </c>
      <c r="I362">
        <v>58</v>
      </c>
      <c r="J362">
        <v>466</v>
      </c>
      <c r="K362">
        <v>932</v>
      </c>
      <c r="L362">
        <v>448</v>
      </c>
      <c r="M362">
        <v>1344</v>
      </c>
      <c r="N362">
        <v>0</v>
      </c>
      <c r="O362">
        <v>0</v>
      </c>
      <c r="P362" s="2">
        <f>(H362 + J362) - (L362 + N362)</f>
        <v>0</v>
      </c>
      <c r="Q362" s="2">
        <f>P362 * G362</f>
        <v>0</v>
      </c>
      <c r="R362">
        <v>15</v>
      </c>
      <c r="S362" s="2">
        <f>R362 * G362</f>
        <v>0</v>
      </c>
      <c r="T362" s="2">
        <f>(H362 + J362) - (L362 + N362) - R362</f>
        <v>0</v>
      </c>
      <c r="U362" s="2">
        <f>T362 * G362</f>
        <v>0</v>
      </c>
      <c r="V362" s="2">
        <f>I362 + K362 - S362</f>
        <v>0</v>
      </c>
      <c r="W362" s="2">
        <f>M362 - V362</f>
        <v>0</v>
      </c>
      <c r="X362" s="2">
        <f>IFERROR(W362 / M362 * 100, 0)</f>
        <v>0</v>
      </c>
    </row>
    <row r="363" spans="1:24">
      <c r="A363" t="s">
        <v>383</v>
      </c>
      <c r="B363" t="s">
        <v>512</v>
      </c>
      <c r="C363" t="s">
        <v>876</v>
      </c>
      <c r="D363" t="s">
        <v>1007</v>
      </c>
      <c r="E363" t="s">
        <v>1009</v>
      </c>
      <c r="F363" t="s">
        <v>1371</v>
      </c>
      <c r="G363">
        <v>5.38</v>
      </c>
      <c r="H363">
        <v>0</v>
      </c>
      <c r="I363">
        <v>0</v>
      </c>
      <c r="J363">
        <v>44.5</v>
      </c>
      <c r="K363">
        <v>239.41</v>
      </c>
      <c r="L363">
        <v>0</v>
      </c>
      <c r="M363">
        <v>0</v>
      </c>
      <c r="N363">
        <v>0</v>
      </c>
      <c r="O363">
        <v>0</v>
      </c>
      <c r="P363" s="2">
        <f>(H363 + J363) - (L363 + N363)</f>
        <v>0</v>
      </c>
      <c r="Q363" s="2">
        <f>P363 * G363</f>
        <v>0</v>
      </c>
      <c r="R363">
        <v>0</v>
      </c>
      <c r="S363" s="2">
        <f>R363 * G363</f>
        <v>0</v>
      </c>
      <c r="T363" s="2">
        <f>(H363 + J363) - (L363 + N363) - R363</f>
        <v>0</v>
      </c>
      <c r="U363" s="2">
        <f>T363 * G363</f>
        <v>0</v>
      </c>
      <c r="V363" s="2">
        <f>I363 + K363 - S363</f>
        <v>0</v>
      </c>
      <c r="W363" s="2">
        <f>M363 - V363</f>
        <v>0</v>
      </c>
      <c r="X363" s="2">
        <f>IFERROR(W363 / M363 * 100, 0)</f>
        <v>0</v>
      </c>
    </row>
    <row r="364" spans="1:24">
      <c r="A364" t="s">
        <v>384</v>
      </c>
      <c r="B364" t="s">
        <v>512</v>
      </c>
      <c r="C364" t="s">
        <v>877</v>
      </c>
      <c r="D364" t="s">
        <v>1007</v>
      </c>
      <c r="E364" t="s">
        <v>1009</v>
      </c>
      <c r="F364" t="s">
        <v>1372</v>
      </c>
      <c r="G364">
        <v>4.29</v>
      </c>
      <c r="H364">
        <v>45.7</v>
      </c>
      <c r="I364">
        <v>178.95</v>
      </c>
      <c r="J364">
        <v>424</v>
      </c>
      <c r="K364">
        <v>1673.34</v>
      </c>
      <c r="L364">
        <v>322.9</v>
      </c>
      <c r="M364">
        <v>1719.06</v>
      </c>
      <c r="N364">
        <v>68</v>
      </c>
      <c r="O364">
        <v>279.77</v>
      </c>
      <c r="P364" s="2">
        <f>(H364 + J364) - (L364 + N364)</f>
        <v>0</v>
      </c>
      <c r="Q364" s="2">
        <f>P364 * G364</f>
        <v>0</v>
      </c>
      <c r="R364">
        <v>42</v>
      </c>
      <c r="S364" s="2">
        <f>R364 * G364</f>
        <v>0</v>
      </c>
      <c r="T364" s="2">
        <f>(H364 + J364) - (L364 + N364) - R364</f>
        <v>0</v>
      </c>
      <c r="U364" s="2">
        <f>T364 * G364</f>
        <v>0</v>
      </c>
      <c r="V364" s="2">
        <f>I364 + K364 - S364</f>
        <v>0</v>
      </c>
      <c r="W364" s="2">
        <f>M364 - V364</f>
        <v>0</v>
      </c>
      <c r="X364" s="2">
        <f>IFERROR(W364 / M364 * 100, 0)</f>
        <v>0</v>
      </c>
    </row>
    <row r="365" spans="1:24">
      <c r="A365" t="s">
        <v>385</v>
      </c>
      <c r="B365" t="s">
        <v>512</v>
      </c>
      <c r="C365" t="s">
        <v>878</v>
      </c>
      <c r="D365" t="s">
        <v>1008</v>
      </c>
      <c r="E365" t="s">
        <v>1009</v>
      </c>
      <c r="F365" t="s">
        <v>1373</v>
      </c>
      <c r="G365">
        <v>5.62</v>
      </c>
      <c r="H365">
        <v>87</v>
      </c>
      <c r="I365">
        <v>481.6</v>
      </c>
      <c r="J365">
        <v>480</v>
      </c>
      <c r="K365">
        <v>2622</v>
      </c>
      <c r="L365">
        <v>445</v>
      </c>
      <c r="M365">
        <v>3448.75</v>
      </c>
      <c r="N365">
        <v>0</v>
      </c>
      <c r="O365">
        <v>0</v>
      </c>
      <c r="P365" s="2">
        <f>(H365 + J365) - (L365 + N365)</f>
        <v>0</v>
      </c>
      <c r="Q365" s="2">
        <f>P365 * G365</f>
        <v>0</v>
      </c>
      <c r="R365">
        <v>146</v>
      </c>
      <c r="S365" s="2">
        <f>R365 * G365</f>
        <v>0</v>
      </c>
      <c r="T365" s="2">
        <f>(H365 + J365) - (L365 + N365) - R365</f>
        <v>0</v>
      </c>
      <c r="U365" s="2">
        <f>T365 * G365</f>
        <v>0</v>
      </c>
      <c r="V365" s="2">
        <f>I365 + K365 - S365</f>
        <v>0</v>
      </c>
      <c r="W365" s="2">
        <f>M365 - V365</f>
        <v>0</v>
      </c>
      <c r="X365" s="2">
        <f>IFERROR(W365 / M365 * 100, 0)</f>
        <v>0</v>
      </c>
    </row>
    <row r="366" spans="1:24">
      <c r="A366" t="s">
        <v>386</v>
      </c>
      <c r="B366" t="s">
        <v>512</v>
      </c>
      <c r="C366" t="s">
        <v>879</v>
      </c>
      <c r="D366" t="s">
        <v>1007</v>
      </c>
      <c r="E366" t="s">
        <v>1009</v>
      </c>
      <c r="F366" t="s">
        <v>1374</v>
      </c>
      <c r="G366">
        <v>3.35</v>
      </c>
      <c r="H366">
        <v>0</v>
      </c>
      <c r="I366">
        <v>0</v>
      </c>
      <c r="J366">
        <v>4012.01</v>
      </c>
      <c r="K366">
        <v>12234.09</v>
      </c>
      <c r="L366">
        <v>4122.38</v>
      </c>
      <c r="M366">
        <v>21655.15</v>
      </c>
      <c r="N366">
        <v>52</v>
      </c>
      <c r="O366">
        <v>172.6</v>
      </c>
      <c r="P366" s="2">
        <f>(H366 + J366) - (L366 + N366)</f>
        <v>0</v>
      </c>
      <c r="Q366" s="2">
        <f>P366 * G366</f>
        <v>0</v>
      </c>
      <c r="R366">
        <v>595.3</v>
      </c>
      <c r="S366" s="2">
        <f>R366 * G366</f>
        <v>0</v>
      </c>
      <c r="T366" s="2">
        <f>(H366 + J366) - (L366 + N366) - R366</f>
        <v>0</v>
      </c>
      <c r="U366" s="2">
        <f>T366 * G366</f>
        <v>0</v>
      </c>
      <c r="V366" s="2">
        <f>I366 + K366 - S366</f>
        <v>0</v>
      </c>
      <c r="W366" s="2">
        <f>M366 - V366</f>
        <v>0</v>
      </c>
      <c r="X366" s="2">
        <f>IFERROR(W366 / M366 * 100, 0)</f>
        <v>0</v>
      </c>
    </row>
    <row r="367" spans="1:24">
      <c r="A367" t="s">
        <v>387</v>
      </c>
      <c r="B367" t="s">
        <v>512</v>
      </c>
      <c r="C367" t="s">
        <v>880</v>
      </c>
      <c r="D367" t="s">
        <v>1007</v>
      </c>
      <c r="E367" t="s">
        <v>1009</v>
      </c>
      <c r="F367" t="s">
        <v>1375</v>
      </c>
      <c r="G367">
        <v>3.72</v>
      </c>
      <c r="H367">
        <v>416.5</v>
      </c>
      <c r="I367">
        <v>1549.41</v>
      </c>
      <c r="J367">
        <v>-25.13</v>
      </c>
      <c r="K367">
        <v>-70.64</v>
      </c>
      <c r="L367">
        <v>27.73</v>
      </c>
      <c r="M367">
        <v>235.73</v>
      </c>
      <c r="N367">
        <v>78</v>
      </c>
      <c r="O367">
        <v>290.17</v>
      </c>
      <c r="P367" s="2">
        <f>(H367 + J367) - (L367 + N367)</f>
        <v>0</v>
      </c>
      <c r="Q367" s="2">
        <f>P367 * G367</f>
        <v>0</v>
      </c>
      <c r="R367">
        <v>0</v>
      </c>
      <c r="S367" s="2">
        <f>R367 * G367</f>
        <v>0</v>
      </c>
      <c r="T367" s="2">
        <f>(H367 + J367) - (L367 + N367) - R367</f>
        <v>0</v>
      </c>
      <c r="U367" s="2">
        <f>T367 * G367</f>
        <v>0</v>
      </c>
      <c r="V367" s="2">
        <f>I367 + K367 - S367</f>
        <v>0</v>
      </c>
      <c r="W367" s="2">
        <f>M367 - V367</f>
        <v>0</v>
      </c>
      <c r="X367" s="2">
        <f>IFERROR(W367 / M367 * 100, 0)</f>
        <v>0</v>
      </c>
    </row>
    <row r="368" spans="1:24">
      <c r="A368" t="s">
        <v>388</v>
      </c>
      <c r="B368" t="s">
        <v>512</v>
      </c>
      <c r="C368" t="s">
        <v>881</v>
      </c>
      <c r="D368" t="s">
        <v>1007</v>
      </c>
      <c r="E368" t="s">
        <v>1009</v>
      </c>
      <c r="F368" t="s">
        <v>1376</v>
      </c>
      <c r="G368">
        <v>3.24</v>
      </c>
      <c r="H368">
        <v>617.4</v>
      </c>
      <c r="I368">
        <v>1696.04</v>
      </c>
      <c r="J368">
        <v>25985</v>
      </c>
      <c r="K368">
        <v>72302.78</v>
      </c>
      <c r="L368">
        <v>25563.58</v>
      </c>
      <c r="M368">
        <v>88382.17</v>
      </c>
      <c r="N368">
        <v>21</v>
      </c>
      <c r="O368">
        <v>68.70999999999999</v>
      </c>
      <c r="P368" s="2">
        <f>(H368 + J368) - (L368 + N368)</f>
        <v>0</v>
      </c>
      <c r="Q368" s="2">
        <f>P368 * G368</f>
        <v>0</v>
      </c>
      <c r="R368">
        <v>929.5</v>
      </c>
      <c r="S368" s="2">
        <f>R368 * G368</f>
        <v>0</v>
      </c>
      <c r="T368" s="2">
        <f>(H368 + J368) - (L368 + N368) - R368</f>
        <v>0</v>
      </c>
      <c r="U368" s="2">
        <f>T368 * G368</f>
        <v>0</v>
      </c>
      <c r="V368" s="2">
        <f>I368 + K368 - S368</f>
        <v>0</v>
      </c>
      <c r="W368" s="2">
        <f>M368 - V368</f>
        <v>0</v>
      </c>
      <c r="X368" s="2">
        <f>IFERROR(W368 / M368 * 100, 0)</f>
        <v>0</v>
      </c>
    </row>
    <row r="369" spans="1:24">
      <c r="A369" t="s">
        <v>389</v>
      </c>
      <c r="B369" t="s">
        <v>512</v>
      </c>
      <c r="C369" t="s">
        <v>882</v>
      </c>
      <c r="D369" t="s">
        <v>1007</v>
      </c>
      <c r="E369" t="s">
        <v>1009</v>
      </c>
      <c r="F369" t="s">
        <v>1377</v>
      </c>
      <c r="G369">
        <v>3.47</v>
      </c>
      <c r="H369">
        <v>0</v>
      </c>
      <c r="I369">
        <v>0</v>
      </c>
      <c r="J369">
        <v>2417.69</v>
      </c>
      <c r="K369">
        <v>7890.83</v>
      </c>
      <c r="L369">
        <v>1765.09</v>
      </c>
      <c r="M369">
        <v>11423.91</v>
      </c>
      <c r="N369">
        <v>93</v>
      </c>
      <c r="O369">
        <v>297.99</v>
      </c>
      <c r="P369" s="2">
        <f>(H369 + J369) - (L369 + N369)</f>
        <v>0</v>
      </c>
      <c r="Q369" s="2">
        <f>P369 * G369</f>
        <v>0</v>
      </c>
      <c r="R369">
        <v>529</v>
      </c>
      <c r="S369" s="2">
        <f>R369 * G369</f>
        <v>0</v>
      </c>
      <c r="T369" s="2">
        <f>(H369 + J369) - (L369 + N369) - R369</f>
        <v>0</v>
      </c>
      <c r="U369" s="2">
        <f>T369 * G369</f>
        <v>0</v>
      </c>
      <c r="V369" s="2">
        <f>I369 + K369 - S369</f>
        <v>0</v>
      </c>
      <c r="W369" s="2">
        <f>M369 - V369</f>
        <v>0</v>
      </c>
      <c r="X369" s="2">
        <f>IFERROR(W369 / M369 * 100, 0)</f>
        <v>0</v>
      </c>
    </row>
    <row r="370" spans="1:24">
      <c r="A370" t="s">
        <v>390</v>
      </c>
      <c r="B370" t="s">
        <v>512</v>
      </c>
      <c r="C370" t="s">
        <v>883</v>
      </c>
      <c r="D370" t="s">
        <v>1007</v>
      </c>
      <c r="E370" t="s">
        <v>1009</v>
      </c>
      <c r="F370" t="s">
        <v>1378</v>
      </c>
      <c r="G370">
        <v>8.77</v>
      </c>
      <c r="H370">
        <v>27.1</v>
      </c>
      <c r="I370">
        <v>254.69</v>
      </c>
      <c r="J370">
        <v>73.5</v>
      </c>
      <c r="K370">
        <v>673.3</v>
      </c>
      <c r="L370">
        <v>91.92</v>
      </c>
      <c r="M370">
        <v>1149.17</v>
      </c>
      <c r="N370">
        <v>6</v>
      </c>
      <c r="O370">
        <v>53.35</v>
      </c>
      <c r="P370" s="2">
        <f>(H370 + J370) - (L370 + N370)</f>
        <v>0</v>
      </c>
      <c r="Q370" s="2">
        <f>P370 * G370</f>
        <v>0</v>
      </c>
      <c r="R370">
        <v>4.5</v>
      </c>
      <c r="S370" s="2">
        <f>R370 * G370</f>
        <v>0</v>
      </c>
      <c r="T370" s="2">
        <f>(H370 + J370) - (L370 + N370) - R370</f>
        <v>0</v>
      </c>
      <c r="U370" s="2">
        <f>T370 * G370</f>
        <v>0</v>
      </c>
      <c r="V370" s="2">
        <f>I370 + K370 - S370</f>
        <v>0</v>
      </c>
      <c r="W370" s="2">
        <f>M370 - V370</f>
        <v>0</v>
      </c>
      <c r="X370" s="2">
        <f>IFERROR(W370 / M370 * 100, 0)</f>
        <v>0</v>
      </c>
    </row>
    <row r="371" spans="1:24">
      <c r="A371" t="s">
        <v>391</v>
      </c>
      <c r="B371" t="s">
        <v>512</v>
      </c>
      <c r="C371" t="s">
        <v>884</v>
      </c>
      <c r="D371" t="s">
        <v>1007</v>
      </c>
      <c r="E371" t="s">
        <v>1009</v>
      </c>
      <c r="F371" t="s">
        <v>1379</v>
      </c>
      <c r="G371">
        <v>11.78</v>
      </c>
      <c r="H371">
        <v>102.6</v>
      </c>
      <c r="I371">
        <v>1200.57</v>
      </c>
      <c r="J371">
        <v>828.24</v>
      </c>
      <c r="K371">
        <v>9620.27</v>
      </c>
      <c r="L371">
        <v>793.54</v>
      </c>
      <c r="M371">
        <v>10316.48</v>
      </c>
      <c r="N371">
        <v>54</v>
      </c>
      <c r="O371">
        <v>627.79</v>
      </c>
      <c r="P371" s="2">
        <f>(H371 + J371) - (L371 + N371)</f>
        <v>0</v>
      </c>
      <c r="Q371" s="2">
        <f>P371 * G371</f>
        <v>0</v>
      </c>
      <c r="R371">
        <v>76.2</v>
      </c>
      <c r="S371" s="2">
        <f>R371 * G371</f>
        <v>0</v>
      </c>
      <c r="T371" s="2">
        <f>(H371 + J371) - (L371 + N371) - R371</f>
        <v>0</v>
      </c>
      <c r="U371" s="2">
        <f>T371 * G371</f>
        <v>0</v>
      </c>
      <c r="V371" s="2">
        <f>I371 + K371 - S371</f>
        <v>0</v>
      </c>
      <c r="W371" s="2">
        <f>M371 - V371</f>
        <v>0</v>
      </c>
      <c r="X371" s="2">
        <f>IFERROR(W371 / M371 * 100, 0)</f>
        <v>0</v>
      </c>
    </row>
    <row r="372" spans="1:24">
      <c r="A372" t="s">
        <v>392</v>
      </c>
      <c r="B372" t="s">
        <v>512</v>
      </c>
      <c r="C372" t="s">
        <v>885</v>
      </c>
      <c r="D372" t="s">
        <v>1007</v>
      </c>
      <c r="E372" t="s">
        <v>1009</v>
      </c>
      <c r="F372" t="s">
        <v>1380</v>
      </c>
      <c r="G372">
        <v>7.39</v>
      </c>
      <c r="H372">
        <v>15.4</v>
      </c>
      <c r="I372">
        <v>146.48</v>
      </c>
      <c r="J372">
        <v>124.5</v>
      </c>
      <c r="K372">
        <v>911.38</v>
      </c>
      <c r="L372">
        <v>94.11</v>
      </c>
      <c r="M372">
        <v>1364.73</v>
      </c>
      <c r="N372">
        <v>2</v>
      </c>
      <c r="O372">
        <v>14.6</v>
      </c>
      <c r="P372" s="2">
        <f>(H372 + J372) - (L372 + N372)</f>
        <v>0</v>
      </c>
      <c r="Q372" s="2">
        <f>P372 * G372</f>
        <v>0</v>
      </c>
      <c r="R372">
        <v>34.5</v>
      </c>
      <c r="S372" s="2">
        <f>R372 * G372</f>
        <v>0</v>
      </c>
      <c r="T372" s="2">
        <f>(H372 + J372) - (L372 + N372) - R372</f>
        <v>0</v>
      </c>
      <c r="U372" s="2">
        <f>T372 * G372</f>
        <v>0</v>
      </c>
      <c r="V372" s="2">
        <f>I372 + K372 - S372</f>
        <v>0</v>
      </c>
      <c r="W372" s="2">
        <f>M372 - V372</f>
        <v>0</v>
      </c>
      <c r="X372" s="2">
        <f>IFERROR(W372 / M372 * 100, 0)</f>
        <v>0</v>
      </c>
    </row>
    <row r="373" spans="1:24">
      <c r="A373" t="s">
        <v>393</v>
      </c>
      <c r="B373" t="s">
        <v>512</v>
      </c>
      <c r="C373" t="s">
        <v>886</v>
      </c>
      <c r="D373" t="s">
        <v>1007</v>
      </c>
      <c r="E373" t="s">
        <v>1009</v>
      </c>
      <c r="F373" t="s">
        <v>1381</v>
      </c>
      <c r="G373">
        <v>22.61</v>
      </c>
      <c r="H373">
        <v>0</v>
      </c>
      <c r="I373">
        <v>0</v>
      </c>
      <c r="J373">
        <v>16.9</v>
      </c>
      <c r="K373">
        <v>369.7</v>
      </c>
      <c r="L373">
        <v>10.98</v>
      </c>
      <c r="M373">
        <v>252.56</v>
      </c>
      <c r="N373">
        <v>7</v>
      </c>
      <c r="O373">
        <v>158.28</v>
      </c>
      <c r="P373" s="2">
        <f>(H373 + J373) - (L373 + N373)</f>
        <v>0</v>
      </c>
      <c r="Q373" s="2">
        <f>P373 * G373</f>
        <v>0</v>
      </c>
      <c r="R373">
        <v>0</v>
      </c>
      <c r="S373" s="2">
        <f>R373 * G373</f>
        <v>0</v>
      </c>
      <c r="T373" s="2">
        <f>(H373 + J373) - (L373 + N373) - R373</f>
        <v>0</v>
      </c>
      <c r="U373" s="2">
        <f>T373 * G373</f>
        <v>0</v>
      </c>
      <c r="V373" s="2">
        <f>I373 + K373 - S373</f>
        <v>0</v>
      </c>
      <c r="W373" s="2">
        <f>M373 - V373</f>
        <v>0</v>
      </c>
      <c r="X373" s="2">
        <f>IFERROR(W373 / M373 * 100, 0)</f>
        <v>0</v>
      </c>
    </row>
    <row r="374" spans="1:24">
      <c r="A374" t="s">
        <v>394</v>
      </c>
      <c r="B374" t="s">
        <v>512</v>
      </c>
      <c r="C374" t="s">
        <v>887</v>
      </c>
      <c r="D374" t="s">
        <v>1007</v>
      </c>
      <c r="E374" t="s">
        <v>1009</v>
      </c>
      <c r="F374" t="s">
        <v>1382</v>
      </c>
      <c r="G374">
        <v>7.66</v>
      </c>
      <c r="H374">
        <v>0</v>
      </c>
      <c r="I374">
        <v>0</v>
      </c>
      <c r="J374">
        <v>0</v>
      </c>
      <c r="K374">
        <v>0</v>
      </c>
      <c r="L374">
        <v>1.66</v>
      </c>
      <c r="M374">
        <v>13.3</v>
      </c>
      <c r="N374">
        <v>0</v>
      </c>
      <c r="O374">
        <v>0</v>
      </c>
      <c r="P374" s="2">
        <f>(H374 + J374) - (L374 + N374)</f>
        <v>0</v>
      </c>
      <c r="Q374" s="2">
        <f>P374 * G374</f>
        <v>0</v>
      </c>
      <c r="R374">
        <v>0</v>
      </c>
      <c r="S374" s="2">
        <f>R374 * G374</f>
        <v>0</v>
      </c>
      <c r="T374" s="2">
        <f>(H374 + J374) - (L374 + N374) - R374</f>
        <v>0</v>
      </c>
      <c r="U374" s="2">
        <f>T374 * G374</f>
        <v>0</v>
      </c>
      <c r="V374" s="2">
        <f>I374 + K374 - S374</f>
        <v>0</v>
      </c>
      <c r="W374" s="2">
        <f>M374 - V374</f>
        <v>0</v>
      </c>
      <c r="X374" s="2">
        <f>IFERROR(W374 / M374 * 100, 0)</f>
        <v>0</v>
      </c>
    </row>
    <row r="375" spans="1:24">
      <c r="A375" t="s">
        <v>395</v>
      </c>
      <c r="B375" t="s">
        <v>512</v>
      </c>
      <c r="C375" t="s">
        <v>888</v>
      </c>
      <c r="D375" t="s">
        <v>1007</v>
      </c>
      <c r="E375" t="s">
        <v>1009</v>
      </c>
      <c r="F375" t="s">
        <v>1383</v>
      </c>
      <c r="G375">
        <v>1.31</v>
      </c>
      <c r="H375">
        <v>179.2</v>
      </c>
      <c r="I375">
        <v>378.48</v>
      </c>
      <c r="J375">
        <v>527.42</v>
      </c>
      <c r="K375">
        <v>690.39</v>
      </c>
      <c r="L375">
        <v>1477.34</v>
      </c>
      <c r="M375">
        <v>3589.07</v>
      </c>
      <c r="N375">
        <v>42</v>
      </c>
      <c r="O375">
        <v>54.98</v>
      </c>
      <c r="P375" s="2">
        <f>(H375 + J375) - (L375 + N375)</f>
        <v>0</v>
      </c>
      <c r="Q375" s="2">
        <f>P375 * G375</f>
        <v>0</v>
      </c>
      <c r="R375">
        <v>58.3</v>
      </c>
      <c r="S375" s="2">
        <f>R375 * G375</f>
        <v>0</v>
      </c>
      <c r="T375" s="2">
        <f>(H375 + J375) - (L375 + N375) - R375</f>
        <v>0</v>
      </c>
      <c r="U375" s="2">
        <f>T375 * G375</f>
        <v>0</v>
      </c>
      <c r="V375" s="2">
        <f>I375 + K375 - S375</f>
        <v>0</v>
      </c>
      <c r="W375" s="2">
        <f>M375 - V375</f>
        <v>0</v>
      </c>
      <c r="X375" s="2">
        <f>IFERROR(W375 / M375 * 100, 0)</f>
        <v>0</v>
      </c>
    </row>
    <row r="376" spans="1:24">
      <c r="A376" t="s">
        <v>396</v>
      </c>
      <c r="B376" t="s">
        <v>512</v>
      </c>
      <c r="C376" t="s">
        <v>889</v>
      </c>
      <c r="D376" t="s">
        <v>1007</v>
      </c>
      <c r="E376" t="s">
        <v>1009</v>
      </c>
      <c r="F376" t="s">
        <v>1384</v>
      </c>
      <c r="G376">
        <v>4.35</v>
      </c>
      <c r="H376">
        <v>31.2</v>
      </c>
      <c r="I376">
        <v>136.32</v>
      </c>
      <c r="J376">
        <v>60</v>
      </c>
      <c r="K376">
        <v>250.4</v>
      </c>
      <c r="L376">
        <v>44.99</v>
      </c>
      <c r="M376">
        <v>188.96</v>
      </c>
      <c r="N376">
        <v>0</v>
      </c>
      <c r="O376">
        <v>0</v>
      </c>
      <c r="P376" s="2">
        <f>(H376 + J376) - (L376 + N376)</f>
        <v>0</v>
      </c>
      <c r="Q376" s="2">
        <f>P376 * G376</f>
        <v>0</v>
      </c>
      <c r="R376">
        <v>42.5</v>
      </c>
      <c r="S376" s="2">
        <f>R376 * G376</f>
        <v>0</v>
      </c>
      <c r="T376" s="2">
        <f>(H376 + J376) - (L376 + N376) - R376</f>
        <v>0</v>
      </c>
      <c r="U376" s="2">
        <f>T376 * G376</f>
        <v>0</v>
      </c>
      <c r="V376" s="2">
        <f>I376 + K376 - S376</f>
        <v>0</v>
      </c>
      <c r="W376" s="2">
        <f>M376 - V376</f>
        <v>0</v>
      </c>
      <c r="X376" s="2">
        <f>IFERROR(W376 / M376 * 100, 0)</f>
        <v>0</v>
      </c>
    </row>
    <row r="377" spans="1:24">
      <c r="A377" t="s">
        <v>397</v>
      </c>
      <c r="B377" t="s">
        <v>512</v>
      </c>
      <c r="C377" t="s">
        <v>890</v>
      </c>
      <c r="D377" t="s">
        <v>1007</v>
      </c>
      <c r="E377" t="s">
        <v>1009</v>
      </c>
      <c r="F377" t="s">
        <v>1385</v>
      </c>
      <c r="G377">
        <v>1.7</v>
      </c>
      <c r="H377">
        <v>0</v>
      </c>
      <c r="I377">
        <v>0</v>
      </c>
      <c r="J377">
        <v>1263.67</v>
      </c>
      <c r="K377">
        <v>2301.3</v>
      </c>
      <c r="L377">
        <v>252.57</v>
      </c>
      <c r="M377">
        <v>631.42</v>
      </c>
      <c r="N377">
        <v>29</v>
      </c>
      <c r="O377">
        <v>52.52</v>
      </c>
      <c r="P377" s="2">
        <f>(H377 + J377) - (L377 + N377)</f>
        <v>0</v>
      </c>
      <c r="Q377" s="2">
        <f>P377 * G377</f>
        <v>0</v>
      </c>
      <c r="R377">
        <v>0</v>
      </c>
      <c r="S377" s="2">
        <f>R377 * G377</f>
        <v>0</v>
      </c>
      <c r="T377" s="2">
        <f>(H377 + J377) - (L377 + N377) - R377</f>
        <v>0</v>
      </c>
      <c r="U377" s="2">
        <f>T377 * G377</f>
        <v>0</v>
      </c>
      <c r="V377" s="2">
        <f>I377 + K377 - S377</f>
        <v>0</v>
      </c>
      <c r="W377" s="2">
        <f>M377 - V377</f>
        <v>0</v>
      </c>
      <c r="X377" s="2">
        <f>IFERROR(W377 / M377 * 100, 0)</f>
        <v>0</v>
      </c>
    </row>
    <row r="378" spans="1:24">
      <c r="A378" t="s">
        <v>398</v>
      </c>
      <c r="B378" t="s">
        <v>512</v>
      </c>
      <c r="C378" t="s">
        <v>891</v>
      </c>
      <c r="D378" t="s">
        <v>1007</v>
      </c>
      <c r="E378" t="s">
        <v>1009</v>
      </c>
      <c r="F378" t="s">
        <v>1386</v>
      </c>
      <c r="G378">
        <v>13.58</v>
      </c>
      <c r="H378">
        <v>0</v>
      </c>
      <c r="I378">
        <v>0</v>
      </c>
      <c r="J378">
        <v>50.5</v>
      </c>
      <c r="K378">
        <v>719.25</v>
      </c>
      <c r="L378">
        <v>40.19</v>
      </c>
      <c r="M378">
        <v>652.87</v>
      </c>
      <c r="N378">
        <v>3</v>
      </c>
      <c r="O378">
        <v>40.89</v>
      </c>
      <c r="P378" s="2">
        <f>(H378 + J378) - (L378 + N378)</f>
        <v>0</v>
      </c>
      <c r="Q378" s="2">
        <f>P378 * G378</f>
        <v>0</v>
      </c>
      <c r="R378">
        <v>4.8</v>
      </c>
      <c r="S378" s="2">
        <f>R378 * G378</f>
        <v>0</v>
      </c>
      <c r="T378" s="2">
        <f>(H378 + J378) - (L378 + N378) - R378</f>
        <v>0</v>
      </c>
      <c r="U378" s="2">
        <f>T378 * G378</f>
        <v>0</v>
      </c>
      <c r="V378" s="2">
        <f>I378 + K378 - S378</f>
        <v>0</v>
      </c>
      <c r="W378" s="2">
        <f>M378 - V378</f>
        <v>0</v>
      </c>
      <c r="X378" s="2">
        <f>IFERROR(W378 / M378 * 100, 0)</f>
        <v>0</v>
      </c>
    </row>
    <row r="379" spans="1:24">
      <c r="A379" t="s">
        <v>399</v>
      </c>
      <c r="B379" t="s">
        <v>512</v>
      </c>
      <c r="C379" t="s">
        <v>892</v>
      </c>
      <c r="D379" t="s">
        <v>1007</v>
      </c>
      <c r="E379" t="s">
        <v>1009</v>
      </c>
      <c r="F379" t="s">
        <v>1387</v>
      </c>
      <c r="G379">
        <v>6.91</v>
      </c>
      <c r="H379">
        <v>0</v>
      </c>
      <c r="I379">
        <v>0</v>
      </c>
      <c r="J379">
        <v>794.9</v>
      </c>
      <c r="K379">
        <v>5754.46</v>
      </c>
      <c r="L379">
        <v>644.4400000000001</v>
      </c>
      <c r="M379">
        <v>4704.52</v>
      </c>
      <c r="N379">
        <v>18</v>
      </c>
      <c r="O379">
        <v>174.66</v>
      </c>
      <c r="P379" s="2">
        <f>(H379 + J379) - (L379 + N379)</f>
        <v>0</v>
      </c>
      <c r="Q379" s="2">
        <f>P379 * G379</f>
        <v>0</v>
      </c>
      <c r="R379">
        <v>30</v>
      </c>
      <c r="S379" s="2">
        <f>R379 * G379</f>
        <v>0</v>
      </c>
      <c r="T379" s="2">
        <f>(H379 + J379) - (L379 + N379) - R379</f>
        <v>0</v>
      </c>
      <c r="U379" s="2">
        <f>T379 * G379</f>
        <v>0</v>
      </c>
      <c r="V379" s="2">
        <f>I379 + K379 - S379</f>
        <v>0</v>
      </c>
      <c r="W379" s="2">
        <f>M379 - V379</f>
        <v>0</v>
      </c>
      <c r="X379" s="2">
        <f>IFERROR(W379 / M379 * 100, 0)</f>
        <v>0</v>
      </c>
    </row>
    <row r="380" spans="1:24">
      <c r="A380" t="s">
        <v>400</v>
      </c>
      <c r="B380" t="s">
        <v>512</v>
      </c>
      <c r="C380" t="s">
        <v>893</v>
      </c>
      <c r="D380" t="s">
        <v>1008</v>
      </c>
      <c r="E380" t="s">
        <v>1009</v>
      </c>
      <c r="F380" t="s">
        <v>1388</v>
      </c>
      <c r="G380">
        <v>14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18.5</v>
      </c>
      <c r="N380">
        <v>0</v>
      </c>
      <c r="O380">
        <v>0</v>
      </c>
      <c r="P380" s="2">
        <f>(H380 + J380) - (L380 + N380)</f>
        <v>0</v>
      </c>
      <c r="Q380" s="2">
        <f>P380 * G380</f>
        <v>0</v>
      </c>
      <c r="R380">
        <v>0</v>
      </c>
      <c r="S380" s="2">
        <f>R380 * G380</f>
        <v>0</v>
      </c>
      <c r="T380" s="2">
        <f>(H380 + J380) - (L380 + N380) - R380</f>
        <v>0</v>
      </c>
      <c r="U380" s="2">
        <f>T380 * G380</f>
        <v>0</v>
      </c>
      <c r="V380" s="2">
        <f>I380 + K380 - S380</f>
        <v>0</v>
      </c>
      <c r="W380" s="2">
        <f>M380 - V380</f>
        <v>0</v>
      </c>
      <c r="X380" s="2">
        <f>IFERROR(W380 / M380 * 100, 0)</f>
        <v>0</v>
      </c>
    </row>
    <row r="381" spans="1:24">
      <c r="A381" t="s">
        <v>401</v>
      </c>
      <c r="B381" t="s">
        <v>512</v>
      </c>
      <c r="C381" t="s">
        <v>894</v>
      </c>
      <c r="D381" t="s">
        <v>1007</v>
      </c>
      <c r="E381" t="s">
        <v>1009</v>
      </c>
      <c r="F381" t="s">
        <v>1389</v>
      </c>
      <c r="G381">
        <v>3.14</v>
      </c>
      <c r="H381">
        <v>113.5</v>
      </c>
      <c r="I381">
        <v>611.6799999999999</v>
      </c>
      <c r="J381">
        <v>2251.9</v>
      </c>
      <c r="K381">
        <v>7221.36</v>
      </c>
      <c r="L381">
        <v>2101.93</v>
      </c>
      <c r="M381">
        <v>9386.129999999999</v>
      </c>
      <c r="N381">
        <v>193</v>
      </c>
      <c r="O381">
        <v>577.1</v>
      </c>
      <c r="P381" s="2">
        <f>(H381 + J381) - (L381 + N381)</f>
        <v>0</v>
      </c>
      <c r="Q381" s="2">
        <f>P381 * G381</f>
        <v>0</v>
      </c>
      <c r="R381">
        <v>73.3</v>
      </c>
      <c r="S381" s="2">
        <f>R381 * G381</f>
        <v>0</v>
      </c>
      <c r="T381" s="2">
        <f>(H381 + J381) - (L381 + N381) - R381</f>
        <v>0</v>
      </c>
      <c r="U381" s="2">
        <f>T381 * G381</f>
        <v>0</v>
      </c>
      <c r="V381" s="2">
        <f>I381 + K381 - S381</f>
        <v>0</v>
      </c>
      <c r="W381" s="2">
        <f>M381 - V381</f>
        <v>0</v>
      </c>
      <c r="X381" s="2">
        <f>IFERROR(W381 / M381 * 100, 0)</f>
        <v>0</v>
      </c>
    </row>
    <row r="382" spans="1:24">
      <c r="A382" t="s">
        <v>402</v>
      </c>
      <c r="B382" t="s">
        <v>512</v>
      </c>
      <c r="C382" t="s">
        <v>895</v>
      </c>
      <c r="D382" t="s">
        <v>1007</v>
      </c>
      <c r="E382" t="s">
        <v>1009</v>
      </c>
      <c r="F382" t="s">
        <v>1390</v>
      </c>
      <c r="G382">
        <v>11.73</v>
      </c>
      <c r="H382">
        <v>0</v>
      </c>
      <c r="I382">
        <v>0</v>
      </c>
      <c r="J382">
        <v>62</v>
      </c>
      <c r="K382">
        <v>735.37</v>
      </c>
      <c r="L382">
        <v>53.3</v>
      </c>
      <c r="M382">
        <v>799.63</v>
      </c>
      <c r="N382">
        <v>0</v>
      </c>
      <c r="O382">
        <v>0</v>
      </c>
      <c r="P382" s="2">
        <f>(H382 + J382) - (L382 + N382)</f>
        <v>0</v>
      </c>
      <c r="Q382" s="2">
        <f>P382 * G382</f>
        <v>0</v>
      </c>
      <c r="R382">
        <v>6.3</v>
      </c>
      <c r="S382" s="2">
        <f>R382 * G382</f>
        <v>0</v>
      </c>
      <c r="T382" s="2">
        <f>(H382 + J382) - (L382 + N382) - R382</f>
        <v>0</v>
      </c>
      <c r="U382" s="2">
        <f>T382 * G382</f>
        <v>0</v>
      </c>
      <c r="V382" s="2">
        <f>I382 + K382 - S382</f>
        <v>0</v>
      </c>
      <c r="W382" s="2">
        <f>M382 - V382</f>
        <v>0</v>
      </c>
      <c r="X382" s="2">
        <f>IFERROR(W382 / M382 * 100, 0)</f>
        <v>0</v>
      </c>
    </row>
    <row r="383" spans="1:24">
      <c r="A383" t="s">
        <v>403</v>
      </c>
      <c r="B383" t="s">
        <v>512</v>
      </c>
      <c r="C383" t="s">
        <v>896</v>
      </c>
      <c r="D383" t="s">
        <v>1007</v>
      </c>
      <c r="E383" t="s">
        <v>1009</v>
      </c>
      <c r="F383" t="s">
        <v>1391</v>
      </c>
      <c r="G383">
        <v>8.970000000000001</v>
      </c>
      <c r="H383">
        <v>0</v>
      </c>
      <c r="I383">
        <v>0</v>
      </c>
      <c r="J383">
        <v>0</v>
      </c>
      <c r="K383">
        <v>0</v>
      </c>
      <c r="L383">
        <v>0.74</v>
      </c>
      <c r="M383">
        <v>7.05</v>
      </c>
      <c r="N383">
        <v>0</v>
      </c>
      <c r="O383">
        <v>0</v>
      </c>
      <c r="P383" s="2">
        <f>(H383 + J383) - (L383 + N383)</f>
        <v>0</v>
      </c>
      <c r="Q383" s="2">
        <f>P383 * G383</f>
        <v>0</v>
      </c>
      <c r="R383">
        <v>0</v>
      </c>
      <c r="S383" s="2">
        <f>R383 * G383</f>
        <v>0</v>
      </c>
      <c r="T383" s="2">
        <f>(H383 + J383) - (L383 + N383) - R383</f>
        <v>0</v>
      </c>
      <c r="U383" s="2">
        <f>T383 * G383</f>
        <v>0</v>
      </c>
      <c r="V383" s="2">
        <f>I383 + K383 - S383</f>
        <v>0</v>
      </c>
      <c r="W383" s="2">
        <f>M383 - V383</f>
        <v>0</v>
      </c>
      <c r="X383" s="2">
        <f>IFERROR(W383 / M383 * 100, 0)</f>
        <v>0</v>
      </c>
    </row>
    <row r="384" spans="1:24">
      <c r="A384" t="s">
        <v>404</v>
      </c>
      <c r="B384" t="s">
        <v>512</v>
      </c>
      <c r="C384" t="s">
        <v>897</v>
      </c>
      <c r="D384" t="s">
        <v>1007</v>
      </c>
      <c r="E384" t="s">
        <v>1009</v>
      </c>
      <c r="F384" t="s">
        <v>1392</v>
      </c>
      <c r="G384">
        <v>8</v>
      </c>
      <c r="H384">
        <v>0</v>
      </c>
      <c r="I384">
        <v>0</v>
      </c>
      <c r="J384">
        <v>0</v>
      </c>
      <c r="K384">
        <v>0</v>
      </c>
      <c r="L384">
        <v>0.7</v>
      </c>
      <c r="M384">
        <v>4.2</v>
      </c>
      <c r="N384">
        <v>0</v>
      </c>
      <c r="O384">
        <v>0</v>
      </c>
      <c r="P384" s="2">
        <f>(H384 + J384) - (L384 + N384)</f>
        <v>0</v>
      </c>
      <c r="Q384" s="2">
        <f>P384 * G384</f>
        <v>0</v>
      </c>
      <c r="R384">
        <v>0</v>
      </c>
      <c r="S384" s="2">
        <f>R384 * G384</f>
        <v>0</v>
      </c>
      <c r="T384" s="2">
        <f>(H384 + J384) - (L384 + N384) - R384</f>
        <v>0</v>
      </c>
      <c r="U384" s="2">
        <f>T384 * G384</f>
        <v>0</v>
      </c>
      <c r="V384" s="2">
        <f>I384 + K384 - S384</f>
        <v>0</v>
      </c>
      <c r="W384" s="2">
        <f>M384 - V384</f>
        <v>0</v>
      </c>
      <c r="X384" s="2">
        <f>IFERROR(W384 / M384 * 100, 0)</f>
        <v>0</v>
      </c>
    </row>
    <row r="385" spans="1:24">
      <c r="A385" t="s">
        <v>405</v>
      </c>
      <c r="B385" t="s">
        <v>512</v>
      </c>
      <c r="C385" t="s">
        <v>898</v>
      </c>
      <c r="D385" t="s">
        <v>1007</v>
      </c>
      <c r="E385" t="s">
        <v>1009</v>
      </c>
      <c r="F385" t="s">
        <v>1393</v>
      </c>
      <c r="G385">
        <v>4.13</v>
      </c>
      <c r="H385">
        <v>0</v>
      </c>
      <c r="I385">
        <v>0</v>
      </c>
      <c r="J385">
        <v>201</v>
      </c>
      <c r="K385">
        <v>813.25</v>
      </c>
      <c r="L385">
        <v>81.37</v>
      </c>
      <c r="M385">
        <v>382.02</v>
      </c>
      <c r="N385">
        <v>0</v>
      </c>
      <c r="O385">
        <v>0</v>
      </c>
      <c r="P385" s="2">
        <f>(H385 + J385) - (L385 + N385)</f>
        <v>0</v>
      </c>
      <c r="Q385" s="2">
        <f>P385 * G385</f>
        <v>0</v>
      </c>
      <c r="R385">
        <v>0</v>
      </c>
      <c r="S385" s="2">
        <f>R385 * G385</f>
        <v>0</v>
      </c>
      <c r="T385" s="2">
        <f>(H385 + J385) - (L385 + N385) - R385</f>
        <v>0</v>
      </c>
      <c r="U385" s="2">
        <f>T385 * G385</f>
        <v>0</v>
      </c>
      <c r="V385" s="2">
        <f>I385 + K385 - S385</f>
        <v>0</v>
      </c>
      <c r="W385" s="2">
        <f>M385 - V385</f>
        <v>0</v>
      </c>
      <c r="X385" s="2">
        <f>IFERROR(W385 / M385 * 100, 0)</f>
        <v>0</v>
      </c>
    </row>
    <row r="386" spans="1:24">
      <c r="A386" t="s">
        <v>406</v>
      </c>
      <c r="B386" t="s">
        <v>512</v>
      </c>
      <c r="C386" t="s">
        <v>899</v>
      </c>
      <c r="D386" t="s">
        <v>1007</v>
      </c>
      <c r="E386" t="s">
        <v>1009</v>
      </c>
      <c r="F386" t="s">
        <v>1394</v>
      </c>
      <c r="G386">
        <v>6.48</v>
      </c>
      <c r="H386">
        <v>96.90000000000001</v>
      </c>
      <c r="I386">
        <v>630.55</v>
      </c>
      <c r="J386">
        <v>1682.73</v>
      </c>
      <c r="K386">
        <v>10246.64</v>
      </c>
      <c r="L386">
        <v>1636.94</v>
      </c>
      <c r="M386">
        <v>14138.9</v>
      </c>
      <c r="N386">
        <v>12</v>
      </c>
      <c r="O386">
        <v>76.15000000000001</v>
      </c>
      <c r="P386" s="2">
        <f>(H386 + J386) - (L386 + N386)</f>
        <v>0</v>
      </c>
      <c r="Q386" s="2">
        <f>P386 * G386</f>
        <v>0</v>
      </c>
      <c r="R386">
        <v>115.6</v>
      </c>
      <c r="S386" s="2">
        <f>R386 * G386</f>
        <v>0</v>
      </c>
      <c r="T386" s="2">
        <f>(H386 + J386) - (L386 + N386) - R386</f>
        <v>0</v>
      </c>
      <c r="U386" s="2">
        <f>T386 * G386</f>
        <v>0</v>
      </c>
      <c r="V386" s="2">
        <f>I386 + K386 - S386</f>
        <v>0</v>
      </c>
      <c r="W386" s="2">
        <f>M386 - V386</f>
        <v>0</v>
      </c>
      <c r="X386" s="2">
        <f>IFERROR(W386 / M386 * 100, 0)</f>
        <v>0</v>
      </c>
    </row>
    <row r="387" spans="1:24">
      <c r="A387" t="s">
        <v>407</v>
      </c>
      <c r="B387" t="s">
        <v>512</v>
      </c>
      <c r="C387" t="s">
        <v>900</v>
      </c>
      <c r="D387" t="s">
        <v>1008</v>
      </c>
      <c r="E387" t="s">
        <v>1009</v>
      </c>
      <c r="F387" t="s">
        <v>1395</v>
      </c>
      <c r="G387">
        <v>18</v>
      </c>
      <c r="H387">
        <v>1</v>
      </c>
      <c r="I387">
        <v>18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 s="2">
        <f>(H387 + J387) - (L387 + N387)</f>
        <v>0</v>
      </c>
      <c r="Q387" s="2">
        <f>P387 * G387</f>
        <v>0</v>
      </c>
      <c r="R387">
        <v>0</v>
      </c>
      <c r="S387" s="2">
        <f>R387 * G387</f>
        <v>0</v>
      </c>
      <c r="T387" s="2">
        <f>(H387 + J387) - (L387 + N387) - R387</f>
        <v>0</v>
      </c>
      <c r="U387" s="2">
        <f>T387 * G387</f>
        <v>0</v>
      </c>
      <c r="V387" s="2">
        <f>I387 + K387 - S387</f>
        <v>0</v>
      </c>
      <c r="W387" s="2">
        <f>M387 - V387</f>
        <v>0</v>
      </c>
      <c r="X387" s="2">
        <f>IFERROR(W387 / M387 * 100, 0)</f>
        <v>0</v>
      </c>
    </row>
    <row r="388" spans="1:24">
      <c r="A388" t="s">
        <v>408</v>
      </c>
      <c r="B388" t="s">
        <v>512</v>
      </c>
      <c r="C388" t="s">
        <v>901</v>
      </c>
      <c r="D388" t="s">
        <v>1007</v>
      </c>
      <c r="E388" t="s">
        <v>1009</v>
      </c>
      <c r="F388" t="s">
        <v>1396</v>
      </c>
      <c r="G388">
        <v>12.67</v>
      </c>
      <c r="H388">
        <v>0</v>
      </c>
      <c r="I388">
        <v>0</v>
      </c>
      <c r="J388">
        <v>316.52</v>
      </c>
      <c r="K388">
        <v>3583.48</v>
      </c>
      <c r="L388">
        <v>250.73</v>
      </c>
      <c r="M388">
        <v>3138.36</v>
      </c>
      <c r="N388">
        <v>11</v>
      </c>
      <c r="O388">
        <v>124.8</v>
      </c>
      <c r="P388" s="2">
        <f>(H388 + J388) - (L388 + N388)</f>
        <v>0</v>
      </c>
      <c r="Q388" s="2">
        <f>P388 * G388</f>
        <v>0</v>
      </c>
      <c r="R388">
        <v>26</v>
      </c>
      <c r="S388" s="2">
        <f>R388 * G388</f>
        <v>0</v>
      </c>
      <c r="T388" s="2">
        <f>(H388 + J388) - (L388 + N388) - R388</f>
        <v>0</v>
      </c>
      <c r="U388" s="2">
        <f>T388 * G388</f>
        <v>0</v>
      </c>
      <c r="V388" s="2">
        <f>I388 + K388 - S388</f>
        <v>0</v>
      </c>
      <c r="W388" s="2">
        <f>M388 - V388</f>
        <v>0</v>
      </c>
      <c r="X388" s="2">
        <f>IFERROR(W388 / M388 * 100, 0)</f>
        <v>0</v>
      </c>
    </row>
    <row r="389" spans="1:24">
      <c r="A389" t="s">
        <v>409</v>
      </c>
      <c r="B389" t="s">
        <v>512</v>
      </c>
      <c r="C389" t="s">
        <v>902</v>
      </c>
      <c r="D389" t="s">
        <v>1008</v>
      </c>
      <c r="E389" t="s">
        <v>1009</v>
      </c>
      <c r="F389" t="s">
        <v>1397</v>
      </c>
      <c r="G389">
        <v>5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5</v>
      </c>
      <c r="N389">
        <v>0</v>
      </c>
      <c r="O389">
        <v>0</v>
      </c>
      <c r="P389" s="2">
        <f>(H389 + J389) - (L389 + N389)</f>
        <v>0</v>
      </c>
      <c r="Q389" s="2">
        <f>P389 * G389</f>
        <v>0</v>
      </c>
      <c r="R389">
        <v>0</v>
      </c>
      <c r="S389" s="2">
        <f>R389 * G389</f>
        <v>0</v>
      </c>
      <c r="T389" s="2">
        <f>(H389 + J389) - (L389 + N389) - R389</f>
        <v>0</v>
      </c>
      <c r="U389" s="2">
        <f>T389 * G389</f>
        <v>0</v>
      </c>
      <c r="V389" s="2">
        <f>I389 + K389 - S389</f>
        <v>0</v>
      </c>
      <c r="W389" s="2">
        <f>M389 - V389</f>
        <v>0</v>
      </c>
      <c r="X389" s="2">
        <f>IFERROR(W389 / M389 * 100, 0)</f>
        <v>0</v>
      </c>
    </row>
    <row r="390" spans="1:24">
      <c r="A390" t="s">
        <v>410</v>
      </c>
      <c r="B390" t="s">
        <v>512</v>
      </c>
      <c r="C390" t="s">
        <v>903</v>
      </c>
      <c r="D390" t="s">
        <v>1008</v>
      </c>
      <c r="E390" t="s">
        <v>1009</v>
      </c>
      <c r="F390" t="s">
        <v>1398</v>
      </c>
      <c r="G390">
        <v>1.74</v>
      </c>
      <c r="H390">
        <v>0</v>
      </c>
      <c r="I390">
        <v>0</v>
      </c>
      <c r="J390">
        <v>0</v>
      </c>
      <c r="K390">
        <v>0</v>
      </c>
      <c r="L390">
        <v>4155</v>
      </c>
      <c r="M390">
        <v>12465</v>
      </c>
      <c r="N390">
        <v>0</v>
      </c>
      <c r="O390">
        <v>0</v>
      </c>
      <c r="P390" s="2">
        <f>(H390 + J390) - (L390 + N390)</f>
        <v>0</v>
      </c>
      <c r="Q390" s="2">
        <f>P390 * G390</f>
        <v>0</v>
      </c>
      <c r="R390">
        <v>0</v>
      </c>
      <c r="S390" s="2">
        <f>R390 * G390</f>
        <v>0</v>
      </c>
      <c r="T390" s="2">
        <f>(H390 + J390) - (L390 + N390) - R390</f>
        <v>0</v>
      </c>
      <c r="U390" s="2">
        <f>T390 * G390</f>
        <v>0</v>
      </c>
      <c r="V390" s="2">
        <f>I390 + K390 - S390</f>
        <v>0</v>
      </c>
      <c r="W390" s="2">
        <f>M390 - V390</f>
        <v>0</v>
      </c>
      <c r="X390" s="2">
        <f>IFERROR(W390 / M390 * 100, 0)</f>
        <v>0</v>
      </c>
    </row>
    <row r="391" spans="1:24">
      <c r="A391" t="s">
        <v>411</v>
      </c>
      <c r="B391" t="s">
        <v>512</v>
      </c>
      <c r="C391" t="s">
        <v>904</v>
      </c>
      <c r="D391" t="s">
        <v>1007</v>
      </c>
      <c r="E391" t="s">
        <v>1009</v>
      </c>
      <c r="F391" t="s">
        <v>1399</v>
      </c>
      <c r="G391">
        <v>3.5</v>
      </c>
      <c r="H391">
        <v>26.9</v>
      </c>
      <c r="I391">
        <v>113.66</v>
      </c>
      <c r="J391">
        <v>220.52</v>
      </c>
      <c r="K391">
        <v>830.33</v>
      </c>
      <c r="L391">
        <v>256.05</v>
      </c>
      <c r="M391">
        <v>1082.86</v>
      </c>
      <c r="N391">
        <v>1</v>
      </c>
      <c r="O391">
        <v>3.67</v>
      </c>
      <c r="P391" s="2">
        <f>(H391 + J391) - (L391 + N391)</f>
        <v>0</v>
      </c>
      <c r="Q391" s="2">
        <f>P391 * G391</f>
        <v>0</v>
      </c>
      <c r="R391">
        <v>0</v>
      </c>
      <c r="S391" s="2">
        <f>R391 * G391</f>
        <v>0</v>
      </c>
      <c r="T391" s="2">
        <f>(H391 + J391) - (L391 + N391) - R391</f>
        <v>0</v>
      </c>
      <c r="U391" s="2">
        <f>T391 * G391</f>
        <v>0</v>
      </c>
      <c r="V391" s="2">
        <f>I391 + K391 - S391</f>
        <v>0</v>
      </c>
      <c r="W391" s="2">
        <f>M391 - V391</f>
        <v>0</v>
      </c>
      <c r="X391" s="2">
        <f>IFERROR(W391 / M391 * 100, 0)</f>
        <v>0</v>
      </c>
    </row>
    <row r="392" spans="1:24">
      <c r="A392" t="s">
        <v>412</v>
      </c>
      <c r="B392" t="s">
        <v>512</v>
      </c>
      <c r="C392" t="s">
        <v>905</v>
      </c>
      <c r="D392" t="s">
        <v>1007</v>
      </c>
      <c r="E392" t="s">
        <v>1009</v>
      </c>
      <c r="F392" t="s">
        <v>1400</v>
      </c>
      <c r="G392">
        <v>4.76</v>
      </c>
      <c r="H392">
        <v>64.40000000000001</v>
      </c>
      <c r="I392">
        <v>331.35</v>
      </c>
      <c r="J392">
        <v>717.5</v>
      </c>
      <c r="K392">
        <v>3473.75</v>
      </c>
      <c r="L392">
        <v>490.42</v>
      </c>
      <c r="M392">
        <v>3191.96</v>
      </c>
      <c r="N392">
        <v>222</v>
      </c>
      <c r="O392">
        <v>1109.69</v>
      </c>
      <c r="P392" s="2">
        <f>(H392 + J392) - (L392 + N392)</f>
        <v>0</v>
      </c>
      <c r="Q392" s="2">
        <f>P392 * G392</f>
        <v>0</v>
      </c>
      <c r="R392">
        <v>66</v>
      </c>
      <c r="S392" s="2">
        <f>R392 * G392</f>
        <v>0</v>
      </c>
      <c r="T392" s="2">
        <f>(H392 + J392) - (L392 + N392) - R392</f>
        <v>0</v>
      </c>
      <c r="U392" s="2">
        <f>T392 * G392</f>
        <v>0</v>
      </c>
      <c r="V392" s="2">
        <f>I392 + K392 - S392</f>
        <v>0</v>
      </c>
      <c r="W392" s="2">
        <f>M392 - V392</f>
        <v>0</v>
      </c>
      <c r="X392" s="2">
        <f>IFERROR(W392 / M392 * 100, 0)</f>
        <v>0</v>
      </c>
    </row>
    <row r="393" spans="1:24">
      <c r="A393" t="s">
        <v>413</v>
      </c>
      <c r="B393" t="s">
        <v>512</v>
      </c>
      <c r="C393" t="s">
        <v>906</v>
      </c>
      <c r="D393" t="s">
        <v>1007</v>
      </c>
      <c r="E393" t="s">
        <v>1009</v>
      </c>
      <c r="F393" t="s">
        <v>1401</v>
      </c>
      <c r="G393">
        <v>10.75</v>
      </c>
      <c r="H393">
        <v>0</v>
      </c>
      <c r="I393">
        <v>0</v>
      </c>
      <c r="J393">
        <v>24</v>
      </c>
      <c r="K393">
        <v>258</v>
      </c>
      <c r="L393">
        <v>4.51</v>
      </c>
      <c r="M393">
        <v>49.64</v>
      </c>
      <c r="N393">
        <v>14</v>
      </c>
      <c r="O393">
        <v>150.5</v>
      </c>
      <c r="P393" s="2">
        <f>(H393 + J393) - (L393 + N393)</f>
        <v>0</v>
      </c>
      <c r="Q393" s="2">
        <f>P393 * G393</f>
        <v>0</v>
      </c>
      <c r="R393">
        <v>0</v>
      </c>
      <c r="S393" s="2">
        <f>R393 * G393</f>
        <v>0</v>
      </c>
      <c r="T393" s="2">
        <f>(H393 + J393) - (L393 + N393) - R393</f>
        <v>0</v>
      </c>
      <c r="U393" s="2">
        <f>T393 * G393</f>
        <v>0</v>
      </c>
      <c r="V393" s="2">
        <f>I393 + K393 - S393</f>
        <v>0</v>
      </c>
      <c r="W393" s="2">
        <f>M393 - V393</f>
        <v>0</v>
      </c>
      <c r="X393" s="2">
        <f>IFERROR(W393 / M393 * 100, 0)</f>
        <v>0</v>
      </c>
    </row>
    <row r="394" spans="1:24">
      <c r="A394" t="s">
        <v>414</v>
      </c>
      <c r="B394" t="s">
        <v>512</v>
      </c>
      <c r="C394" t="s">
        <v>907</v>
      </c>
      <c r="D394" t="s">
        <v>1007</v>
      </c>
      <c r="E394" t="s">
        <v>1009</v>
      </c>
      <c r="F394" t="s">
        <v>1402</v>
      </c>
      <c r="G394">
        <v>9.51</v>
      </c>
      <c r="H394">
        <v>184</v>
      </c>
      <c r="I394">
        <v>1862.41</v>
      </c>
      <c r="J394">
        <v>1643.23</v>
      </c>
      <c r="K394">
        <v>15987.18</v>
      </c>
      <c r="L394">
        <v>1449.11</v>
      </c>
      <c r="M394">
        <v>18116.14</v>
      </c>
      <c r="N394">
        <v>145</v>
      </c>
      <c r="O394">
        <v>1403.95</v>
      </c>
      <c r="P394" s="2">
        <f>(H394 + J394) - (L394 + N394)</f>
        <v>0</v>
      </c>
      <c r="Q394" s="2">
        <f>P394 * G394</f>
        <v>0</v>
      </c>
      <c r="R394">
        <v>244.8</v>
      </c>
      <c r="S394" s="2">
        <f>R394 * G394</f>
        <v>0</v>
      </c>
      <c r="T394" s="2">
        <f>(H394 + J394) - (L394 + N394) - R394</f>
        <v>0</v>
      </c>
      <c r="U394" s="2">
        <f>T394 * G394</f>
        <v>0</v>
      </c>
      <c r="V394" s="2">
        <f>I394 + K394 - S394</f>
        <v>0</v>
      </c>
      <c r="W394" s="2">
        <f>M394 - V394</f>
        <v>0</v>
      </c>
      <c r="X394" s="2">
        <f>IFERROR(W394 / M394 * 100, 0)</f>
        <v>0</v>
      </c>
    </row>
    <row r="395" spans="1:24">
      <c r="A395" t="s">
        <v>415</v>
      </c>
      <c r="B395" t="s">
        <v>512</v>
      </c>
      <c r="C395" t="s">
        <v>908</v>
      </c>
      <c r="D395" t="s">
        <v>1007</v>
      </c>
      <c r="E395" t="s">
        <v>1009</v>
      </c>
      <c r="F395" t="s">
        <v>1403</v>
      </c>
      <c r="G395">
        <v>10.25</v>
      </c>
      <c r="H395">
        <v>177.3</v>
      </c>
      <c r="I395">
        <v>1708.44</v>
      </c>
      <c r="J395">
        <v>1583.1</v>
      </c>
      <c r="K395">
        <v>15283.6</v>
      </c>
      <c r="L395">
        <v>1148.08</v>
      </c>
      <c r="M395">
        <v>13880.65</v>
      </c>
      <c r="N395">
        <v>396</v>
      </c>
      <c r="O395">
        <v>3842.47</v>
      </c>
      <c r="P395" s="2">
        <f>(H395 + J395) - (L395 + N395)</f>
        <v>0</v>
      </c>
      <c r="Q395" s="2">
        <f>P395 * G395</f>
        <v>0</v>
      </c>
      <c r="R395">
        <v>219</v>
      </c>
      <c r="S395" s="2">
        <f>R395 * G395</f>
        <v>0</v>
      </c>
      <c r="T395" s="2">
        <f>(H395 + J395) - (L395 + N395) - R395</f>
        <v>0</v>
      </c>
      <c r="U395" s="2">
        <f>T395 * G395</f>
        <v>0</v>
      </c>
      <c r="V395" s="2">
        <f>I395 + K395 - S395</f>
        <v>0</v>
      </c>
      <c r="W395" s="2">
        <f>M395 - V395</f>
        <v>0</v>
      </c>
      <c r="X395" s="2">
        <f>IFERROR(W395 / M395 * 100, 0)</f>
        <v>0</v>
      </c>
    </row>
    <row r="396" spans="1:24">
      <c r="A396" t="s">
        <v>416</v>
      </c>
      <c r="B396" t="s">
        <v>512</v>
      </c>
      <c r="C396" t="s">
        <v>909</v>
      </c>
      <c r="D396" t="s">
        <v>1008</v>
      </c>
      <c r="E396" t="s">
        <v>1009</v>
      </c>
      <c r="F396" t="s">
        <v>1404</v>
      </c>
      <c r="G396">
        <v>9.699999999999999</v>
      </c>
      <c r="H396">
        <v>0</v>
      </c>
      <c r="I396">
        <v>0</v>
      </c>
      <c r="J396">
        <v>0</v>
      </c>
      <c r="K396">
        <v>0</v>
      </c>
      <c r="L396">
        <v>3</v>
      </c>
      <c r="M396">
        <v>60</v>
      </c>
      <c r="N396">
        <v>0</v>
      </c>
      <c r="O396">
        <v>0</v>
      </c>
      <c r="P396" s="2">
        <f>(H396 + J396) - (L396 + N396)</f>
        <v>0</v>
      </c>
      <c r="Q396" s="2">
        <f>P396 * G396</f>
        <v>0</v>
      </c>
      <c r="R396">
        <v>0</v>
      </c>
      <c r="S396" s="2">
        <f>R396 * G396</f>
        <v>0</v>
      </c>
      <c r="T396" s="2">
        <f>(H396 + J396) - (L396 + N396) - R396</f>
        <v>0</v>
      </c>
      <c r="U396" s="2">
        <f>T396 * G396</f>
        <v>0</v>
      </c>
      <c r="V396" s="2">
        <f>I396 + K396 - S396</f>
        <v>0</v>
      </c>
      <c r="W396" s="2">
        <f>M396 - V396</f>
        <v>0</v>
      </c>
      <c r="X396" s="2">
        <f>IFERROR(W396 / M396 * 100, 0)</f>
        <v>0</v>
      </c>
    </row>
    <row r="397" spans="1:24">
      <c r="A397" t="s">
        <v>417</v>
      </c>
      <c r="B397" t="s">
        <v>512</v>
      </c>
      <c r="C397" t="s">
        <v>910</v>
      </c>
      <c r="D397" t="s">
        <v>1007</v>
      </c>
      <c r="E397" t="s">
        <v>1009</v>
      </c>
      <c r="F397" t="s">
        <v>1405</v>
      </c>
      <c r="G397">
        <v>8.859999999999999</v>
      </c>
      <c r="H397">
        <v>47.1</v>
      </c>
      <c r="I397">
        <v>482.69</v>
      </c>
      <c r="J397">
        <v>240.93</v>
      </c>
      <c r="K397">
        <v>2161.56</v>
      </c>
      <c r="L397">
        <v>189.9</v>
      </c>
      <c r="M397">
        <v>2461.91</v>
      </c>
      <c r="N397">
        <v>45</v>
      </c>
      <c r="O397">
        <v>406.04</v>
      </c>
      <c r="P397" s="2">
        <f>(H397 + J397) - (L397 + N397)</f>
        <v>0</v>
      </c>
      <c r="Q397" s="2">
        <f>P397 * G397</f>
        <v>0</v>
      </c>
      <c r="R397">
        <v>34.8</v>
      </c>
      <c r="S397" s="2">
        <f>R397 * G397</f>
        <v>0</v>
      </c>
      <c r="T397" s="2">
        <f>(H397 + J397) - (L397 + N397) - R397</f>
        <v>0</v>
      </c>
      <c r="U397" s="2">
        <f>T397 * G397</f>
        <v>0</v>
      </c>
      <c r="V397" s="2">
        <f>I397 + K397 - S397</f>
        <v>0</v>
      </c>
      <c r="W397" s="2">
        <f>M397 - V397</f>
        <v>0</v>
      </c>
      <c r="X397" s="2">
        <f>IFERROR(W397 / M397 * 100, 0)</f>
        <v>0</v>
      </c>
    </row>
    <row r="398" spans="1:24">
      <c r="A398" t="s">
        <v>418</v>
      </c>
      <c r="B398" t="s">
        <v>512</v>
      </c>
      <c r="C398" t="s">
        <v>911</v>
      </c>
      <c r="D398" t="s">
        <v>1007</v>
      </c>
      <c r="E398" t="s">
        <v>1009</v>
      </c>
      <c r="F398" t="s">
        <v>1406</v>
      </c>
      <c r="G398">
        <v>5</v>
      </c>
      <c r="H398">
        <v>881.1</v>
      </c>
      <c r="I398">
        <v>3990.57</v>
      </c>
      <c r="J398">
        <v>21948.71</v>
      </c>
      <c r="K398">
        <v>101457.19</v>
      </c>
      <c r="L398">
        <v>23052.86</v>
      </c>
      <c r="M398">
        <v>121380</v>
      </c>
      <c r="N398">
        <v>0</v>
      </c>
      <c r="O398">
        <v>0</v>
      </c>
      <c r="P398" s="2">
        <f>(H398 + J398) - (L398 + N398)</f>
        <v>0</v>
      </c>
      <c r="Q398" s="2">
        <f>P398 * G398</f>
        <v>0</v>
      </c>
      <c r="R398">
        <v>595</v>
      </c>
      <c r="S398" s="2">
        <f>R398 * G398</f>
        <v>0</v>
      </c>
      <c r="T398" s="2">
        <f>(H398 + J398) - (L398 + N398) - R398</f>
        <v>0</v>
      </c>
      <c r="U398" s="2">
        <f>T398 * G398</f>
        <v>0</v>
      </c>
      <c r="V398" s="2">
        <f>I398 + K398 - S398</f>
        <v>0</v>
      </c>
      <c r="W398" s="2">
        <f>M398 - V398</f>
        <v>0</v>
      </c>
      <c r="X398" s="2">
        <f>IFERROR(W398 / M398 * 100, 0)</f>
        <v>0</v>
      </c>
    </row>
    <row r="399" spans="1:24">
      <c r="A399" t="s">
        <v>419</v>
      </c>
      <c r="B399" t="s">
        <v>512</v>
      </c>
      <c r="C399" t="s">
        <v>912</v>
      </c>
      <c r="D399" t="s">
        <v>1007</v>
      </c>
      <c r="E399" t="s">
        <v>1009</v>
      </c>
      <c r="F399" t="s">
        <v>1407</v>
      </c>
      <c r="G399">
        <v>8</v>
      </c>
      <c r="H399">
        <v>0</v>
      </c>
      <c r="I399">
        <v>0</v>
      </c>
      <c r="J399">
        <v>0</v>
      </c>
      <c r="K399">
        <v>0</v>
      </c>
      <c r="L399">
        <v>15.6</v>
      </c>
      <c r="M399">
        <v>140.37</v>
      </c>
      <c r="N399">
        <v>0</v>
      </c>
      <c r="O399">
        <v>0</v>
      </c>
      <c r="P399" s="2">
        <f>(H399 + J399) - (L399 + N399)</f>
        <v>0</v>
      </c>
      <c r="Q399" s="2">
        <f>P399 * G399</f>
        <v>0</v>
      </c>
      <c r="R399">
        <v>0</v>
      </c>
      <c r="S399" s="2">
        <f>R399 * G399</f>
        <v>0</v>
      </c>
      <c r="T399" s="2">
        <f>(H399 + J399) - (L399 + N399) - R399</f>
        <v>0</v>
      </c>
      <c r="U399" s="2">
        <f>T399 * G399</f>
        <v>0</v>
      </c>
      <c r="V399" s="2">
        <f>I399 + K399 - S399</f>
        <v>0</v>
      </c>
      <c r="W399" s="2">
        <f>M399 - V399</f>
        <v>0</v>
      </c>
      <c r="X399" s="2">
        <f>IFERROR(W399 / M399 * 100, 0)</f>
        <v>0</v>
      </c>
    </row>
    <row r="400" spans="1:24">
      <c r="A400" t="s">
        <v>420</v>
      </c>
      <c r="B400" t="s">
        <v>512</v>
      </c>
      <c r="C400" t="s">
        <v>913</v>
      </c>
      <c r="D400" t="s">
        <v>1007</v>
      </c>
      <c r="E400" t="s">
        <v>1009</v>
      </c>
      <c r="F400" t="s">
        <v>1408</v>
      </c>
      <c r="G400">
        <v>12.5</v>
      </c>
      <c r="H400">
        <v>0</v>
      </c>
      <c r="I400">
        <v>0</v>
      </c>
      <c r="J400">
        <v>75</v>
      </c>
      <c r="K400">
        <v>937.5</v>
      </c>
      <c r="L400">
        <v>42.2</v>
      </c>
      <c r="M400">
        <v>738.59</v>
      </c>
      <c r="N400">
        <v>0</v>
      </c>
      <c r="O400">
        <v>0</v>
      </c>
      <c r="P400" s="2">
        <f>(H400 + J400) - (L400 + N400)</f>
        <v>0</v>
      </c>
      <c r="Q400" s="2">
        <f>P400 * G400</f>
        <v>0</v>
      </c>
      <c r="R400">
        <v>31.8</v>
      </c>
      <c r="S400" s="2">
        <f>R400 * G400</f>
        <v>0</v>
      </c>
      <c r="T400" s="2">
        <f>(H400 + J400) - (L400 + N400) - R400</f>
        <v>0</v>
      </c>
      <c r="U400" s="2">
        <f>T400 * G400</f>
        <v>0</v>
      </c>
      <c r="V400" s="2">
        <f>I400 + K400 - S400</f>
        <v>0</v>
      </c>
      <c r="W400" s="2">
        <f>M400 - V400</f>
        <v>0</v>
      </c>
      <c r="X400" s="2">
        <f>IFERROR(W400 / M400 * 100, 0)</f>
        <v>0</v>
      </c>
    </row>
    <row r="401" spans="1:24">
      <c r="A401" t="s">
        <v>421</v>
      </c>
      <c r="B401" t="s">
        <v>512</v>
      </c>
      <c r="C401" t="s">
        <v>914</v>
      </c>
      <c r="D401" t="s">
        <v>1007</v>
      </c>
      <c r="E401" t="s">
        <v>1009</v>
      </c>
      <c r="F401" t="s">
        <v>1409</v>
      </c>
      <c r="G401">
        <v>5.21</v>
      </c>
      <c r="H401">
        <v>32</v>
      </c>
      <c r="I401">
        <v>185.3</v>
      </c>
      <c r="J401">
        <v>182</v>
      </c>
      <c r="K401">
        <v>976.66</v>
      </c>
      <c r="L401">
        <v>129.86</v>
      </c>
      <c r="M401">
        <v>973.96</v>
      </c>
      <c r="N401">
        <v>42</v>
      </c>
      <c r="O401">
        <v>224.52</v>
      </c>
      <c r="P401" s="2">
        <f>(H401 + J401) - (L401 + N401)</f>
        <v>0</v>
      </c>
      <c r="Q401" s="2">
        <f>P401 * G401</f>
        <v>0</v>
      </c>
      <c r="R401">
        <v>24.2</v>
      </c>
      <c r="S401" s="2">
        <f>R401 * G401</f>
        <v>0</v>
      </c>
      <c r="T401" s="2">
        <f>(H401 + J401) - (L401 + N401) - R401</f>
        <v>0</v>
      </c>
      <c r="U401" s="2">
        <f>T401 * G401</f>
        <v>0</v>
      </c>
      <c r="V401" s="2">
        <f>I401 + K401 - S401</f>
        <v>0</v>
      </c>
      <c r="W401" s="2">
        <f>M401 - V401</f>
        <v>0</v>
      </c>
      <c r="X401" s="2">
        <f>IFERROR(W401 / M401 * 100, 0)</f>
        <v>0</v>
      </c>
    </row>
    <row r="402" spans="1:24">
      <c r="A402" t="s">
        <v>422</v>
      </c>
      <c r="B402" t="s">
        <v>512</v>
      </c>
      <c r="C402" t="s">
        <v>915</v>
      </c>
      <c r="D402" t="s">
        <v>1008</v>
      </c>
      <c r="E402" t="s">
        <v>1009</v>
      </c>
      <c r="F402" t="s">
        <v>1410</v>
      </c>
      <c r="G402">
        <v>4.25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7</v>
      </c>
      <c r="N402">
        <v>0</v>
      </c>
      <c r="O402">
        <v>0</v>
      </c>
      <c r="P402" s="2">
        <f>(H402 + J402) - (L402 + N402)</f>
        <v>0</v>
      </c>
      <c r="Q402" s="2">
        <f>P402 * G402</f>
        <v>0</v>
      </c>
      <c r="R402">
        <v>0</v>
      </c>
      <c r="S402" s="2">
        <f>R402 * G402</f>
        <v>0</v>
      </c>
      <c r="T402" s="2">
        <f>(H402 + J402) - (L402 + N402) - R402</f>
        <v>0</v>
      </c>
      <c r="U402" s="2">
        <f>T402 * G402</f>
        <v>0</v>
      </c>
      <c r="V402" s="2">
        <f>I402 + K402 - S402</f>
        <v>0</v>
      </c>
      <c r="W402" s="2">
        <f>M402 - V402</f>
        <v>0</v>
      </c>
      <c r="X402" s="2">
        <f>IFERROR(W402 / M402 * 100, 0)</f>
        <v>0</v>
      </c>
    </row>
    <row r="403" spans="1:24">
      <c r="A403" t="s">
        <v>423</v>
      </c>
      <c r="B403" t="s">
        <v>512</v>
      </c>
      <c r="C403" t="s">
        <v>916</v>
      </c>
      <c r="D403" t="s">
        <v>1007</v>
      </c>
      <c r="E403" t="s">
        <v>1009</v>
      </c>
      <c r="F403" t="s">
        <v>1411</v>
      </c>
      <c r="G403">
        <v>2.13</v>
      </c>
      <c r="H403">
        <v>1911.6</v>
      </c>
      <c r="I403">
        <v>4067.39</v>
      </c>
      <c r="J403">
        <v>-1470.95</v>
      </c>
      <c r="K403">
        <v>-2966.67</v>
      </c>
      <c r="L403">
        <v>365.48</v>
      </c>
      <c r="M403">
        <v>913.7</v>
      </c>
      <c r="N403">
        <v>0</v>
      </c>
      <c r="O403">
        <v>0</v>
      </c>
      <c r="P403" s="2">
        <f>(H403 + J403) - (L403 + N403)</f>
        <v>0</v>
      </c>
      <c r="Q403" s="2">
        <f>P403 * G403</f>
        <v>0</v>
      </c>
      <c r="R403">
        <v>0</v>
      </c>
      <c r="S403" s="2">
        <f>R403 * G403</f>
        <v>0</v>
      </c>
      <c r="T403" s="2">
        <f>(H403 + J403) - (L403 + N403) - R403</f>
        <v>0</v>
      </c>
      <c r="U403" s="2">
        <f>T403 * G403</f>
        <v>0</v>
      </c>
      <c r="V403" s="2">
        <f>I403 + K403 - S403</f>
        <v>0</v>
      </c>
      <c r="W403" s="2">
        <f>M403 - V403</f>
        <v>0</v>
      </c>
      <c r="X403" s="2">
        <f>IFERROR(W403 / M403 * 100, 0)</f>
        <v>0</v>
      </c>
    </row>
    <row r="404" spans="1:24">
      <c r="A404" t="s">
        <v>424</v>
      </c>
      <c r="B404" t="s">
        <v>512</v>
      </c>
      <c r="C404" t="s">
        <v>917</v>
      </c>
      <c r="D404" t="s">
        <v>1007</v>
      </c>
      <c r="E404" t="s">
        <v>1009</v>
      </c>
      <c r="F404" t="s">
        <v>1412</v>
      </c>
      <c r="G404">
        <v>8.65</v>
      </c>
      <c r="H404">
        <v>141</v>
      </c>
      <c r="I404">
        <v>839.3</v>
      </c>
      <c r="J404">
        <v>972.99</v>
      </c>
      <c r="K404">
        <v>6314.96</v>
      </c>
      <c r="L404">
        <v>1095.6</v>
      </c>
      <c r="M404">
        <v>7853.96</v>
      </c>
      <c r="N404">
        <v>12</v>
      </c>
      <c r="O404">
        <v>85.06999999999999</v>
      </c>
      <c r="P404" s="2">
        <f>(H404 + J404) - (L404 + N404)</f>
        <v>0</v>
      </c>
      <c r="Q404" s="2">
        <f>P404 * G404</f>
        <v>0</v>
      </c>
      <c r="R404">
        <v>45.1</v>
      </c>
      <c r="S404" s="2">
        <f>R404 * G404</f>
        <v>0</v>
      </c>
      <c r="T404" s="2">
        <f>(H404 + J404) - (L404 + N404) - R404</f>
        <v>0</v>
      </c>
      <c r="U404" s="2">
        <f>T404 * G404</f>
        <v>0</v>
      </c>
      <c r="V404" s="2">
        <f>I404 + K404 - S404</f>
        <v>0</v>
      </c>
      <c r="W404" s="2">
        <f>M404 - V404</f>
        <v>0</v>
      </c>
      <c r="X404" s="2">
        <f>IFERROR(W404 / M404 * 100, 0)</f>
        <v>0</v>
      </c>
    </row>
    <row r="405" spans="1:24">
      <c r="A405" t="s">
        <v>425</v>
      </c>
      <c r="B405" t="s">
        <v>512</v>
      </c>
      <c r="C405" t="s">
        <v>918</v>
      </c>
      <c r="D405" t="s">
        <v>1007</v>
      </c>
      <c r="E405" t="s">
        <v>1009</v>
      </c>
      <c r="F405" t="s">
        <v>1413</v>
      </c>
      <c r="G405">
        <v>9.5</v>
      </c>
      <c r="H405">
        <v>62.3</v>
      </c>
      <c r="I405">
        <v>603.21</v>
      </c>
      <c r="J405">
        <v>411.3</v>
      </c>
      <c r="K405">
        <v>3234.23</v>
      </c>
      <c r="L405">
        <v>433.42</v>
      </c>
      <c r="M405">
        <v>4752.39</v>
      </c>
      <c r="N405">
        <v>5</v>
      </c>
      <c r="O405">
        <v>38.16</v>
      </c>
      <c r="P405" s="2">
        <f>(H405 + J405) - (L405 + N405)</f>
        <v>0</v>
      </c>
      <c r="Q405" s="2">
        <f>P405 * G405</f>
        <v>0</v>
      </c>
      <c r="R405">
        <v>52.5</v>
      </c>
      <c r="S405" s="2">
        <f>R405 * G405</f>
        <v>0</v>
      </c>
      <c r="T405" s="2">
        <f>(H405 + J405) - (L405 + N405) - R405</f>
        <v>0</v>
      </c>
      <c r="U405" s="2">
        <f>T405 * G405</f>
        <v>0</v>
      </c>
      <c r="V405" s="2">
        <f>I405 + K405 - S405</f>
        <v>0</v>
      </c>
      <c r="W405" s="2">
        <f>M405 - V405</f>
        <v>0</v>
      </c>
      <c r="X405" s="2">
        <f>IFERROR(W405 / M405 * 100, 0)</f>
        <v>0</v>
      </c>
    </row>
    <row r="406" spans="1:24">
      <c r="A406" t="s">
        <v>426</v>
      </c>
      <c r="B406" t="s">
        <v>512</v>
      </c>
      <c r="C406" t="s">
        <v>919</v>
      </c>
      <c r="D406" t="s">
        <v>1008</v>
      </c>
      <c r="E406" t="s">
        <v>1009</v>
      </c>
      <c r="F406" t="s">
        <v>1414</v>
      </c>
      <c r="G406">
        <v>6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7.5</v>
      </c>
      <c r="N406">
        <v>0</v>
      </c>
      <c r="O406">
        <v>0</v>
      </c>
      <c r="P406" s="2">
        <f>(H406 + J406) - (L406 + N406)</f>
        <v>0</v>
      </c>
      <c r="Q406" s="2">
        <f>P406 * G406</f>
        <v>0</v>
      </c>
      <c r="R406">
        <v>0</v>
      </c>
      <c r="S406" s="2">
        <f>R406 * G406</f>
        <v>0</v>
      </c>
      <c r="T406" s="2">
        <f>(H406 + J406) - (L406 + N406) - R406</f>
        <v>0</v>
      </c>
      <c r="U406" s="2">
        <f>T406 * G406</f>
        <v>0</v>
      </c>
      <c r="V406" s="2">
        <f>I406 + K406 - S406</f>
        <v>0</v>
      </c>
      <c r="W406" s="2">
        <f>M406 - V406</f>
        <v>0</v>
      </c>
      <c r="X406" s="2">
        <f>IFERROR(W406 / M406 * 100, 0)</f>
        <v>0</v>
      </c>
    </row>
    <row r="407" spans="1:24">
      <c r="A407" t="s">
        <v>427</v>
      </c>
      <c r="B407" t="s">
        <v>512</v>
      </c>
      <c r="C407" t="s">
        <v>920</v>
      </c>
      <c r="D407" t="s">
        <v>1008</v>
      </c>
      <c r="E407" t="s">
        <v>1009</v>
      </c>
      <c r="F407" t="s">
        <v>1415</v>
      </c>
      <c r="G407">
        <v>2.77</v>
      </c>
      <c r="H407">
        <v>143</v>
      </c>
      <c r="I407">
        <v>393.2</v>
      </c>
      <c r="J407">
        <v>1940</v>
      </c>
      <c r="K407">
        <v>5439</v>
      </c>
      <c r="L407">
        <v>1932</v>
      </c>
      <c r="M407">
        <v>5796</v>
      </c>
      <c r="N407">
        <v>0</v>
      </c>
      <c r="O407">
        <v>0</v>
      </c>
      <c r="P407" s="2">
        <f>(H407 + J407) - (L407 + N407)</f>
        <v>0</v>
      </c>
      <c r="Q407" s="2">
        <f>P407 * G407</f>
        <v>0</v>
      </c>
      <c r="R407">
        <v>53</v>
      </c>
      <c r="S407" s="2">
        <f>R407 * G407</f>
        <v>0</v>
      </c>
      <c r="T407" s="2">
        <f>(H407 + J407) - (L407 + N407) - R407</f>
        <v>0</v>
      </c>
      <c r="U407" s="2">
        <f>T407 * G407</f>
        <v>0</v>
      </c>
      <c r="V407" s="2">
        <f>I407 + K407 - S407</f>
        <v>0</v>
      </c>
      <c r="W407" s="2">
        <f>M407 - V407</f>
        <v>0</v>
      </c>
      <c r="X407" s="2">
        <f>IFERROR(W407 / M407 * 100, 0)</f>
        <v>0</v>
      </c>
    </row>
    <row r="408" spans="1:24">
      <c r="A408" t="s">
        <v>428</v>
      </c>
      <c r="B408" t="s">
        <v>512</v>
      </c>
      <c r="C408" t="s">
        <v>921</v>
      </c>
      <c r="D408" t="s">
        <v>1007</v>
      </c>
      <c r="E408" t="s">
        <v>1009</v>
      </c>
      <c r="F408" t="s">
        <v>1416</v>
      </c>
      <c r="G408">
        <v>5.25</v>
      </c>
      <c r="H408">
        <v>15.7</v>
      </c>
      <c r="I408">
        <v>82.48999999999999</v>
      </c>
      <c r="J408">
        <v>0</v>
      </c>
      <c r="K408">
        <v>0</v>
      </c>
      <c r="L408">
        <v>0</v>
      </c>
      <c r="M408">
        <v>0</v>
      </c>
      <c r="N408">
        <v>9</v>
      </c>
      <c r="O408">
        <v>47.28</v>
      </c>
      <c r="P408" s="2">
        <f>(H408 + J408) - (L408 + N408)</f>
        <v>0</v>
      </c>
      <c r="Q408" s="2">
        <f>P408 * G408</f>
        <v>0</v>
      </c>
      <c r="R408">
        <v>9</v>
      </c>
      <c r="S408" s="2">
        <f>R408 * G408</f>
        <v>0</v>
      </c>
      <c r="T408" s="2">
        <f>(H408 + J408) - (L408 + N408) - R408</f>
        <v>0</v>
      </c>
      <c r="U408" s="2">
        <f>T408 * G408</f>
        <v>0</v>
      </c>
      <c r="V408" s="2">
        <f>I408 + K408 - S408</f>
        <v>0</v>
      </c>
      <c r="W408" s="2">
        <f>M408 - V408</f>
        <v>0</v>
      </c>
      <c r="X408" s="2">
        <f>IFERROR(W408 / M408 * 100, 0)</f>
        <v>0</v>
      </c>
    </row>
    <row r="409" spans="1:24">
      <c r="A409" t="s">
        <v>429</v>
      </c>
      <c r="B409" t="s">
        <v>512</v>
      </c>
      <c r="C409" t="s">
        <v>922</v>
      </c>
      <c r="D409" t="s">
        <v>1007</v>
      </c>
      <c r="E409" t="s">
        <v>1009</v>
      </c>
      <c r="F409" t="s">
        <v>1417</v>
      </c>
      <c r="G409">
        <v>8.9</v>
      </c>
      <c r="H409">
        <v>0</v>
      </c>
      <c r="I409">
        <v>0</v>
      </c>
      <c r="J409">
        <v>0</v>
      </c>
      <c r="K409">
        <v>0</v>
      </c>
      <c r="L409">
        <v>0.2</v>
      </c>
      <c r="M409">
        <v>2.35</v>
      </c>
      <c r="N409">
        <v>0</v>
      </c>
      <c r="O409">
        <v>0</v>
      </c>
      <c r="P409" s="2">
        <f>(H409 + J409) - (L409 + N409)</f>
        <v>0</v>
      </c>
      <c r="Q409" s="2">
        <f>P409 * G409</f>
        <v>0</v>
      </c>
      <c r="R409">
        <v>0</v>
      </c>
      <c r="S409" s="2">
        <f>R409 * G409</f>
        <v>0</v>
      </c>
      <c r="T409" s="2">
        <f>(H409 + J409) - (L409 + N409) - R409</f>
        <v>0</v>
      </c>
      <c r="U409" s="2">
        <f>T409 * G409</f>
        <v>0</v>
      </c>
      <c r="V409" s="2">
        <f>I409 + K409 - S409</f>
        <v>0</v>
      </c>
      <c r="W409" s="2">
        <f>M409 - V409</f>
        <v>0</v>
      </c>
      <c r="X409" s="2">
        <f>IFERROR(W409 / M409 * 100, 0)</f>
        <v>0</v>
      </c>
    </row>
    <row r="410" spans="1:24">
      <c r="A410" t="s">
        <v>430</v>
      </c>
      <c r="B410" t="s">
        <v>512</v>
      </c>
      <c r="C410" t="s">
        <v>923</v>
      </c>
      <c r="D410" t="s">
        <v>1007</v>
      </c>
      <c r="E410" t="s">
        <v>1009</v>
      </c>
      <c r="F410" t="s">
        <v>1418</v>
      </c>
      <c r="G410">
        <v>2.9</v>
      </c>
      <c r="H410">
        <v>456.4</v>
      </c>
      <c r="I410">
        <v>1258.31</v>
      </c>
      <c r="J410">
        <v>2347.78</v>
      </c>
      <c r="K410">
        <v>6697.03</v>
      </c>
      <c r="L410">
        <v>2995.75</v>
      </c>
      <c r="M410">
        <v>8993.620000000001</v>
      </c>
      <c r="N410">
        <v>5</v>
      </c>
      <c r="O410">
        <v>14.25</v>
      </c>
      <c r="P410" s="2">
        <f>(H410 + J410) - (L410 + N410)</f>
        <v>0</v>
      </c>
      <c r="Q410" s="2">
        <f>P410 * G410</f>
        <v>0</v>
      </c>
      <c r="R410">
        <v>0</v>
      </c>
      <c r="S410" s="2">
        <f>R410 * G410</f>
        <v>0</v>
      </c>
      <c r="T410" s="2">
        <f>(H410 + J410) - (L410 + N410) - R410</f>
        <v>0</v>
      </c>
      <c r="U410" s="2">
        <f>T410 * G410</f>
        <v>0</v>
      </c>
      <c r="V410" s="2">
        <f>I410 + K410 - S410</f>
        <v>0</v>
      </c>
      <c r="W410" s="2">
        <f>M410 - V410</f>
        <v>0</v>
      </c>
      <c r="X410" s="2">
        <f>IFERROR(W410 / M410 * 100, 0)</f>
        <v>0</v>
      </c>
    </row>
    <row r="411" spans="1:24">
      <c r="A411" t="s">
        <v>431</v>
      </c>
      <c r="B411" t="s">
        <v>512</v>
      </c>
      <c r="C411" t="s">
        <v>924</v>
      </c>
      <c r="D411" t="s">
        <v>1007</v>
      </c>
      <c r="E411" t="s">
        <v>1009</v>
      </c>
      <c r="F411" t="s">
        <v>1419</v>
      </c>
      <c r="G411">
        <v>11.2</v>
      </c>
      <c r="H411">
        <v>0</v>
      </c>
      <c r="I411">
        <v>0</v>
      </c>
      <c r="J411">
        <v>0</v>
      </c>
      <c r="K411">
        <v>0</v>
      </c>
      <c r="L411">
        <v>6.98</v>
      </c>
      <c r="M411">
        <v>104.77</v>
      </c>
      <c r="N411">
        <v>0</v>
      </c>
      <c r="O411">
        <v>0</v>
      </c>
      <c r="P411" s="2">
        <f>(H411 + J411) - (L411 + N411)</f>
        <v>0</v>
      </c>
      <c r="Q411" s="2">
        <f>P411 * G411</f>
        <v>0</v>
      </c>
      <c r="R411">
        <v>0</v>
      </c>
      <c r="S411" s="2">
        <f>R411 * G411</f>
        <v>0</v>
      </c>
      <c r="T411" s="2">
        <f>(H411 + J411) - (L411 + N411) - R411</f>
        <v>0</v>
      </c>
      <c r="U411" s="2">
        <f>T411 * G411</f>
        <v>0</v>
      </c>
      <c r="V411" s="2">
        <f>I411 + K411 - S411</f>
        <v>0</v>
      </c>
      <c r="W411" s="2">
        <f>M411 - V411</f>
        <v>0</v>
      </c>
      <c r="X411" s="2">
        <f>IFERROR(W411 / M411 * 100, 0)</f>
        <v>0</v>
      </c>
    </row>
    <row r="412" spans="1:24">
      <c r="A412" t="s">
        <v>432</v>
      </c>
      <c r="B412" t="s">
        <v>512</v>
      </c>
      <c r="C412" t="s">
        <v>925</v>
      </c>
      <c r="D412" t="s">
        <v>1008</v>
      </c>
      <c r="E412" t="s">
        <v>1009</v>
      </c>
      <c r="F412" t="s">
        <v>1420</v>
      </c>
      <c r="G412">
        <v>17.81</v>
      </c>
      <c r="H412">
        <v>3</v>
      </c>
      <c r="I412">
        <v>55.5</v>
      </c>
      <c r="J412">
        <v>37</v>
      </c>
      <c r="K412">
        <v>670.48</v>
      </c>
      <c r="L412">
        <v>25</v>
      </c>
      <c r="M412">
        <v>500</v>
      </c>
      <c r="N412">
        <v>0</v>
      </c>
      <c r="O412">
        <v>0</v>
      </c>
      <c r="P412" s="2">
        <f>(H412 + J412) - (L412 + N412)</f>
        <v>0</v>
      </c>
      <c r="Q412" s="2">
        <f>P412 * G412</f>
        <v>0</v>
      </c>
      <c r="R412">
        <v>4</v>
      </c>
      <c r="S412" s="2">
        <f>R412 * G412</f>
        <v>0</v>
      </c>
      <c r="T412" s="2">
        <f>(H412 + J412) - (L412 + N412) - R412</f>
        <v>0</v>
      </c>
      <c r="U412" s="2">
        <f>T412 * G412</f>
        <v>0</v>
      </c>
      <c r="V412" s="2">
        <f>I412 + K412 - S412</f>
        <v>0</v>
      </c>
      <c r="W412" s="2">
        <f>M412 - V412</f>
        <v>0</v>
      </c>
      <c r="X412" s="2">
        <f>IFERROR(W412 / M412 * 100, 0)</f>
        <v>0</v>
      </c>
    </row>
    <row r="413" spans="1:24">
      <c r="A413" t="s">
        <v>433</v>
      </c>
      <c r="B413" t="s">
        <v>512</v>
      </c>
      <c r="C413" t="s">
        <v>926</v>
      </c>
      <c r="D413" t="s">
        <v>1007</v>
      </c>
      <c r="E413" t="s">
        <v>1009</v>
      </c>
      <c r="F413" t="s">
        <v>1421</v>
      </c>
      <c r="G413">
        <v>6.5</v>
      </c>
      <c r="H413">
        <v>0</v>
      </c>
      <c r="I413">
        <v>0</v>
      </c>
      <c r="J413">
        <v>11</v>
      </c>
      <c r="K413">
        <v>71.5</v>
      </c>
      <c r="L413">
        <v>0</v>
      </c>
      <c r="M413">
        <v>0</v>
      </c>
      <c r="N413">
        <v>0</v>
      </c>
      <c r="O413">
        <v>0</v>
      </c>
      <c r="P413" s="2">
        <f>(H413 + J413) - (L413 + N413)</f>
        <v>0</v>
      </c>
      <c r="Q413" s="2">
        <f>P413 * G413</f>
        <v>0</v>
      </c>
      <c r="R413">
        <v>0</v>
      </c>
      <c r="S413" s="2">
        <f>R413 * G413</f>
        <v>0</v>
      </c>
      <c r="T413" s="2">
        <f>(H413 + J413) - (L413 + N413) - R413</f>
        <v>0</v>
      </c>
      <c r="U413" s="2">
        <f>T413 * G413</f>
        <v>0</v>
      </c>
      <c r="V413" s="2">
        <f>I413 + K413 - S413</f>
        <v>0</v>
      </c>
      <c r="W413" s="2">
        <f>M413 - V413</f>
        <v>0</v>
      </c>
      <c r="X413" s="2">
        <f>IFERROR(W413 / M413 * 100, 0)</f>
        <v>0</v>
      </c>
    </row>
    <row r="414" spans="1:24">
      <c r="A414" t="s">
        <v>434</v>
      </c>
      <c r="B414" t="s">
        <v>512</v>
      </c>
      <c r="C414" t="s">
        <v>927</v>
      </c>
      <c r="D414" t="s">
        <v>1007</v>
      </c>
      <c r="E414" t="s">
        <v>1009</v>
      </c>
      <c r="F414" t="s">
        <v>1422</v>
      </c>
      <c r="G414">
        <v>10.38</v>
      </c>
      <c r="H414">
        <v>140.6</v>
      </c>
      <c r="I414">
        <v>1396.72</v>
      </c>
      <c r="J414">
        <v>618.2</v>
      </c>
      <c r="K414">
        <v>6476.68</v>
      </c>
      <c r="L414">
        <v>564.63</v>
      </c>
      <c r="M414">
        <v>7623.3</v>
      </c>
      <c r="N414">
        <v>163</v>
      </c>
      <c r="O414">
        <v>1707.11</v>
      </c>
      <c r="P414" s="2">
        <f>(H414 + J414) - (L414 + N414)</f>
        <v>0</v>
      </c>
      <c r="Q414" s="2">
        <f>P414 * G414</f>
        <v>0</v>
      </c>
      <c r="R414">
        <v>49</v>
      </c>
      <c r="S414" s="2">
        <f>R414 * G414</f>
        <v>0</v>
      </c>
      <c r="T414" s="2">
        <f>(H414 + J414) - (L414 + N414) - R414</f>
        <v>0</v>
      </c>
      <c r="U414" s="2">
        <f>T414 * G414</f>
        <v>0</v>
      </c>
      <c r="V414" s="2">
        <f>I414 + K414 - S414</f>
        <v>0</v>
      </c>
      <c r="W414" s="2">
        <f>M414 - V414</f>
        <v>0</v>
      </c>
      <c r="X414" s="2">
        <f>IFERROR(W414 / M414 * 100, 0)</f>
        <v>0</v>
      </c>
    </row>
    <row r="415" spans="1:24">
      <c r="A415" t="s">
        <v>435</v>
      </c>
      <c r="B415" t="s">
        <v>512</v>
      </c>
      <c r="C415" t="s">
        <v>928</v>
      </c>
      <c r="D415" t="s">
        <v>1007</v>
      </c>
      <c r="E415" t="s">
        <v>1009</v>
      </c>
      <c r="F415" t="s">
        <v>1423</v>
      </c>
      <c r="G415">
        <v>4.5</v>
      </c>
      <c r="H415">
        <v>0</v>
      </c>
      <c r="I415">
        <v>0</v>
      </c>
      <c r="J415">
        <v>10</v>
      </c>
      <c r="K415">
        <v>45</v>
      </c>
      <c r="L415">
        <v>0</v>
      </c>
      <c r="M415">
        <v>0</v>
      </c>
      <c r="N415">
        <v>0</v>
      </c>
      <c r="O415">
        <v>0</v>
      </c>
      <c r="P415" s="2">
        <f>(H415 + J415) - (L415 + N415)</f>
        <v>0</v>
      </c>
      <c r="Q415" s="2">
        <f>P415 * G415</f>
        <v>0</v>
      </c>
      <c r="R415">
        <v>0</v>
      </c>
      <c r="S415" s="2">
        <f>R415 * G415</f>
        <v>0</v>
      </c>
      <c r="T415" s="2">
        <f>(H415 + J415) - (L415 + N415) - R415</f>
        <v>0</v>
      </c>
      <c r="U415" s="2">
        <f>T415 * G415</f>
        <v>0</v>
      </c>
      <c r="V415" s="2">
        <f>I415 + K415 - S415</f>
        <v>0</v>
      </c>
      <c r="W415" s="2">
        <f>M415 - V415</f>
        <v>0</v>
      </c>
      <c r="X415" s="2">
        <f>IFERROR(W415 / M415 * 100, 0)</f>
        <v>0</v>
      </c>
    </row>
    <row r="416" spans="1:24">
      <c r="A416" t="s">
        <v>436</v>
      </c>
      <c r="B416" t="s">
        <v>512</v>
      </c>
      <c r="C416" t="s">
        <v>929</v>
      </c>
      <c r="D416" t="s">
        <v>1007</v>
      </c>
      <c r="E416" t="s">
        <v>1009</v>
      </c>
      <c r="F416" t="s">
        <v>1424</v>
      </c>
      <c r="G416">
        <v>5.25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2.5</v>
      </c>
      <c r="N416">
        <v>0</v>
      </c>
      <c r="O416">
        <v>0</v>
      </c>
      <c r="P416" s="2">
        <f>(H416 + J416) - (L416 + N416)</f>
        <v>0</v>
      </c>
      <c r="Q416" s="2">
        <f>P416 * G416</f>
        <v>0</v>
      </c>
      <c r="R416">
        <v>0</v>
      </c>
      <c r="S416" s="2">
        <f>R416 * G416</f>
        <v>0</v>
      </c>
      <c r="T416" s="2">
        <f>(H416 + J416) - (L416 + N416) - R416</f>
        <v>0</v>
      </c>
      <c r="U416" s="2">
        <f>T416 * G416</f>
        <v>0</v>
      </c>
      <c r="V416" s="2">
        <f>I416 + K416 - S416</f>
        <v>0</v>
      </c>
      <c r="W416" s="2">
        <f>M416 - V416</f>
        <v>0</v>
      </c>
      <c r="X416" s="2">
        <f>IFERROR(W416 / M416 * 100, 0)</f>
        <v>0</v>
      </c>
    </row>
    <row r="417" spans="1:24">
      <c r="A417" t="s">
        <v>437</v>
      </c>
      <c r="B417" t="s">
        <v>512</v>
      </c>
      <c r="C417" t="s">
        <v>930</v>
      </c>
      <c r="D417" t="s">
        <v>1007</v>
      </c>
      <c r="E417" t="s">
        <v>1009</v>
      </c>
      <c r="F417" t="s">
        <v>1425</v>
      </c>
      <c r="G417">
        <v>37</v>
      </c>
      <c r="H417">
        <v>0</v>
      </c>
      <c r="I417">
        <v>0</v>
      </c>
      <c r="J417">
        <v>192.6</v>
      </c>
      <c r="K417">
        <v>5066.1</v>
      </c>
      <c r="L417">
        <v>213.72</v>
      </c>
      <c r="M417">
        <v>7424.85</v>
      </c>
      <c r="N417">
        <v>0</v>
      </c>
      <c r="O417">
        <v>0</v>
      </c>
      <c r="P417" s="2">
        <f>(H417 + J417) - (L417 + N417)</f>
        <v>0</v>
      </c>
      <c r="Q417" s="2">
        <f>P417 * G417</f>
        <v>0</v>
      </c>
      <c r="R417">
        <v>10</v>
      </c>
      <c r="S417" s="2">
        <f>R417 * G417</f>
        <v>0</v>
      </c>
      <c r="T417" s="2">
        <f>(H417 + J417) - (L417 + N417) - R417</f>
        <v>0</v>
      </c>
      <c r="U417" s="2">
        <f>T417 * G417</f>
        <v>0</v>
      </c>
      <c r="V417" s="2">
        <f>I417 + K417 - S417</f>
        <v>0</v>
      </c>
      <c r="W417" s="2">
        <f>M417 - V417</f>
        <v>0</v>
      </c>
      <c r="X417" s="2">
        <f>IFERROR(W417 / M417 * 100, 0)</f>
        <v>0</v>
      </c>
    </row>
    <row r="418" spans="1:24">
      <c r="A418" t="s">
        <v>438</v>
      </c>
      <c r="B418" t="s">
        <v>512</v>
      </c>
      <c r="C418" t="s">
        <v>931</v>
      </c>
      <c r="D418" t="s">
        <v>1007</v>
      </c>
      <c r="E418" t="s">
        <v>1009</v>
      </c>
      <c r="F418" t="s">
        <v>1426</v>
      </c>
      <c r="G418">
        <v>6.57</v>
      </c>
      <c r="H418">
        <v>275.3</v>
      </c>
      <c r="I418">
        <v>1811.28</v>
      </c>
      <c r="J418">
        <v>122</v>
      </c>
      <c r="K418">
        <v>705.8200000000001</v>
      </c>
      <c r="L418">
        <v>178.49</v>
      </c>
      <c r="M418">
        <v>1963.52</v>
      </c>
      <c r="N418">
        <v>19</v>
      </c>
      <c r="O418">
        <v>124.9</v>
      </c>
      <c r="P418" s="2">
        <f>(H418 + J418) - (L418 + N418)</f>
        <v>0</v>
      </c>
      <c r="Q418" s="2">
        <f>P418 * G418</f>
        <v>0</v>
      </c>
      <c r="R418">
        <v>0</v>
      </c>
      <c r="S418" s="2">
        <f>R418 * G418</f>
        <v>0</v>
      </c>
      <c r="T418" s="2">
        <f>(H418 + J418) - (L418 + N418) - R418</f>
        <v>0</v>
      </c>
      <c r="U418" s="2">
        <f>T418 * G418</f>
        <v>0</v>
      </c>
      <c r="V418" s="2">
        <f>I418 + K418 - S418</f>
        <v>0</v>
      </c>
      <c r="W418" s="2">
        <f>M418 - V418</f>
        <v>0</v>
      </c>
      <c r="X418" s="2">
        <f>IFERROR(W418 / M418 * 100, 0)</f>
        <v>0</v>
      </c>
    </row>
    <row r="419" spans="1:24">
      <c r="A419" t="s">
        <v>439</v>
      </c>
      <c r="B419" t="s">
        <v>512</v>
      </c>
      <c r="C419" t="s">
        <v>932</v>
      </c>
      <c r="D419" t="s">
        <v>1007</v>
      </c>
      <c r="E419" t="s">
        <v>1009</v>
      </c>
      <c r="F419" t="s">
        <v>1427</v>
      </c>
      <c r="G419">
        <v>2.25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6</v>
      </c>
      <c r="N419">
        <v>0</v>
      </c>
      <c r="O419">
        <v>0</v>
      </c>
      <c r="P419" s="2">
        <f>(H419 + J419) - (L419 + N419)</f>
        <v>0</v>
      </c>
      <c r="Q419" s="2">
        <f>P419 * G419</f>
        <v>0</v>
      </c>
      <c r="R419">
        <v>0</v>
      </c>
      <c r="S419" s="2">
        <f>R419 * G419</f>
        <v>0</v>
      </c>
      <c r="T419" s="2">
        <f>(H419 + J419) - (L419 + N419) - R419</f>
        <v>0</v>
      </c>
      <c r="U419" s="2">
        <f>T419 * G419</f>
        <v>0</v>
      </c>
      <c r="V419" s="2">
        <f>I419 + K419 - S419</f>
        <v>0</v>
      </c>
      <c r="W419" s="2">
        <f>M419 - V419</f>
        <v>0</v>
      </c>
      <c r="X419" s="2">
        <f>IFERROR(W419 / M419 * 100, 0)</f>
        <v>0</v>
      </c>
    </row>
    <row r="420" spans="1:24">
      <c r="A420" t="s">
        <v>439</v>
      </c>
      <c r="B420" t="s">
        <v>513</v>
      </c>
      <c r="C420" t="s">
        <v>933</v>
      </c>
      <c r="D420" t="s">
        <v>1007</v>
      </c>
      <c r="E420" t="s">
        <v>1009</v>
      </c>
      <c r="F420" t="s">
        <v>1428</v>
      </c>
      <c r="G420">
        <v>1.5</v>
      </c>
      <c r="H420">
        <v>189.7</v>
      </c>
      <c r="I420">
        <v>377.69</v>
      </c>
      <c r="J420">
        <v>2161.5</v>
      </c>
      <c r="K420">
        <v>3674.88</v>
      </c>
      <c r="L420">
        <v>2251.03</v>
      </c>
      <c r="M420">
        <v>6304.3</v>
      </c>
      <c r="N420">
        <v>0</v>
      </c>
      <c r="O420">
        <v>0</v>
      </c>
      <c r="P420" s="2">
        <f>(H420 + J420) - (L420 + N420)</f>
        <v>0</v>
      </c>
      <c r="Q420" s="2">
        <f>P420 * G420</f>
        <v>0</v>
      </c>
      <c r="R420">
        <v>69.5</v>
      </c>
      <c r="S420" s="2">
        <f>R420 * G420</f>
        <v>0</v>
      </c>
      <c r="T420" s="2">
        <f>(H420 + J420) - (L420 + N420) - R420</f>
        <v>0</v>
      </c>
      <c r="U420" s="2">
        <f>T420 * G420</f>
        <v>0</v>
      </c>
      <c r="V420" s="2">
        <f>I420 + K420 - S420</f>
        <v>0</v>
      </c>
      <c r="W420" s="2">
        <f>M420 - V420</f>
        <v>0</v>
      </c>
      <c r="X420" s="2">
        <f>IFERROR(W420 / M420 * 100, 0)</f>
        <v>0</v>
      </c>
    </row>
    <row r="421" spans="1:24">
      <c r="A421" t="s">
        <v>440</v>
      </c>
      <c r="B421" t="s">
        <v>512</v>
      </c>
      <c r="C421" t="s">
        <v>934</v>
      </c>
      <c r="D421" t="s">
        <v>1007</v>
      </c>
      <c r="E421" t="s">
        <v>1009</v>
      </c>
      <c r="F421" t="s">
        <v>1429</v>
      </c>
      <c r="G421">
        <v>9.119999999999999</v>
      </c>
      <c r="H421">
        <v>42.7</v>
      </c>
      <c r="I421">
        <v>389.46</v>
      </c>
      <c r="J421">
        <v>-14</v>
      </c>
      <c r="K421">
        <v>-105</v>
      </c>
      <c r="L421">
        <v>31.54</v>
      </c>
      <c r="M421">
        <v>473.3</v>
      </c>
      <c r="N421">
        <v>0</v>
      </c>
      <c r="O421">
        <v>0</v>
      </c>
      <c r="P421" s="2">
        <f>(H421 + J421) - (L421 + N421)</f>
        <v>0</v>
      </c>
      <c r="Q421" s="2">
        <f>P421 * G421</f>
        <v>0</v>
      </c>
      <c r="R421">
        <v>0</v>
      </c>
      <c r="S421" s="2">
        <f>R421 * G421</f>
        <v>0</v>
      </c>
      <c r="T421" s="2">
        <f>(H421 + J421) - (L421 + N421) - R421</f>
        <v>0</v>
      </c>
      <c r="U421" s="2">
        <f>T421 * G421</f>
        <v>0</v>
      </c>
      <c r="V421" s="2">
        <f>I421 + K421 - S421</f>
        <v>0</v>
      </c>
      <c r="W421" s="2">
        <f>M421 - V421</f>
        <v>0</v>
      </c>
      <c r="X421" s="2">
        <f>IFERROR(W421 / M421 * 100, 0)</f>
        <v>0</v>
      </c>
    </row>
    <row r="422" spans="1:24">
      <c r="A422" t="s">
        <v>441</v>
      </c>
      <c r="B422" t="s">
        <v>512</v>
      </c>
      <c r="C422" t="s">
        <v>935</v>
      </c>
      <c r="D422" t="s">
        <v>1007</v>
      </c>
      <c r="E422" t="s">
        <v>1009</v>
      </c>
      <c r="F422" t="s">
        <v>1430</v>
      </c>
      <c r="G422">
        <v>14</v>
      </c>
      <c r="H422">
        <v>0</v>
      </c>
      <c r="I422">
        <v>0</v>
      </c>
      <c r="J422">
        <v>0</v>
      </c>
      <c r="K422">
        <v>0</v>
      </c>
      <c r="L422">
        <v>0.14</v>
      </c>
      <c r="M422">
        <v>2.38</v>
      </c>
      <c r="N422">
        <v>0</v>
      </c>
      <c r="O422">
        <v>0</v>
      </c>
      <c r="P422" s="2">
        <f>(H422 + J422) - (L422 + N422)</f>
        <v>0</v>
      </c>
      <c r="Q422" s="2">
        <f>P422 * G422</f>
        <v>0</v>
      </c>
      <c r="R422">
        <v>0</v>
      </c>
      <c r="S422" s="2">
        <f>R422 * G422</f>
        <v>0</v>
      </c>
      <c r="T422" s="2">
        <f>(H422 + J422) - (L422 + N422) - R422</f>
        <v>0</v>
      </c>
      <c r="U422" s="2">
        <f>T422 * G422</f>
        <v>0</v>
      </c>
      <c r="V422" s="2">
        <f>I422 + K422 - S422</f>
        <v>0</v>
      </c>
      <c r="W422" s="2">
        <f>M422 - V422</f>
        <v>0</v>
      </c>
      <c r="X422" s="2">
        <f>IFERROR(W422 / M422 * 100, 0)</f>
        <v>0</v>
      </c>
    </row>
    <row r="423" spans="1:24">
      <c r="A423" t="s">
        <v>442</v>
      </c>
      <c r="B423" t="s">
        <v>512</v>
      </c>
      <c r="C423" t="s">
        <v>936</v>
      </c>
      <c r="D423" t="s">
        <v>1007</v>
      </c>
      <c r="E423" t="s">
        <v>1009</v>
      </c>
      <c r="F423" t="s">
        <v>1431</v>
      </c>
      <c r="G423">
        <v>4.82</v>
      </c>
      <c r="H423">
        <v>97.40000000000001</v>
      </c>
      <c r="I423">
        <v>461.78</v>
      </c>
      <c r="J423">
        <v>648</v>
      </c>
      <c r="K423">
        <v>2981.34</v>
      </c>
      <c r="L423">
        <v>459.12</v>
      </c>
      <c r="M423">
        <v>2984.33</v>
      </c>
      <c r="N423">
        <v>126</v>
      </c>
      <c r="O423">
        <v>577.36</v>
      </c>
      <c r="P423" s="2">
        <f>(H423 + J423) - (L423 + N423)</f>
        <v>0</v>
      </c>
      <c r="Q423" s="2">
        <f>P423 * G423</f>
        <v>0</v>
      </c>
      <c r="R423">
        <v>136</v>
      </c>
      <c r="S423" s="2">
        <f>R423 * G423</f>
        <v>0</v>
      </c>
      <c r="T423" s="2">
        <f>(H423 + J423) - (L423 + N423) - R423</f>
        <v>0</v>
      </c>
      <c r="U423" s="2">
        <f>T423 * G423</f>
        <v>0</v>
      </c>
      <c r="V423" s="2">
        <f>I423 + K423 - S423</f>
        <v>0</v>
      </c>
      <c r="W423" s="2">
        <f>M423 - V423</f>
        <v>0</v>
      </c>
      <c r="X423" s="2">
        <f>IFERROR(W423 / M423 * 100, 0)</f>
        <v>0</v>
      </c>
    </row>
    <row r="424" spans="1:24">
      <c r="A424" t="s">
        <v>443</v>
      </c>
      <c r="B424" t="s">
        <v>512</v>
      </c>
      <c r="C424" t="s">
        <v>937</v>
      </c>
      <c r="D424" t="s">
        <v>1008</v>
      </c>
      <c r="E424" t="s">
        <v>1009</v>
      </c>
      <c r="F424" t="s">
        <v>1432</v>
      </c>
      <c r="G424">
        <v>5.75</v>
      </c>
      <c r="H424">
        <v>3</v>
      </c>
      <c r="I424">
        <v>17.25</v>
      </c>
      <c r="J424">
        <v>0</v>
      </c>
      <c r="K424">
        <v>0</v>
      </c>
      <c r="L424">
        <v>2</v>
      </c>
      <c r="M424">
        <v>15</v>
      </c>
      <c r="N424">
        <v>0</v>
      </c>
      <c r="O424">
        <v>0</v>
      </c>
      <c r="P424" s="2">
        <f>(H424 + J424) - (L424 + N424)</f>
        <v>0</v>
      </c>
      <c r="Q424" s="2">
        <f>P424 * G424</f>
        <v>0</v>
      </c>
      <c r="R424">
        <v>0</v>
      </c>
      <c r="S424" s="2">
        <f>R424 * G424</f>
        <v>0</v>
      </c>
      <c r="T424" s="2">
        <f>(H424 + J424) - (L424 + N424) - R424</f>
        <v>0</v>
      </c>
      <c r="U424" s="2">
        <f>T424 * G424</f>
        <v>0</v>
      </c>
      <c r="V424" s="2">
        <f>I424 + K424 - S424</f>
        <v>0</v>
      </c>
      <c r="W424" s="2">
        <f>M424 - V424</f>
        <v>0</v>
      </c>
      <c r="X424" s="2">
        <f>IFERROR(W424 / M424 * 100, 0)</f>
        <v>0</v>
      </c>
    </row>
    <row r="425" spans="1:24">
      <c r="A425" t="s">
        <v>444</v>
      </c>
      <c r="B425" t="s">
        <v>512</v>
      </c>
      <c r="C425" t="s">
        <v>938</v>
      </c>
      <c r="D425" t="s">
        <v>1008</v>
      </c>
      <c r="E425" t="s">
        <v>1009</v>
      </c>
      <c r="F425" t="s">
        <v>1433</v>
      </c>
      <c r="G425">
        <v>6.34</v>
      </c>
      <c r="H425">
        <v>4</v>
      </c>
      <c r="I425">
        <v>28.45</v>
      </c>
      <c r="J425">
        <v>17</v>
      </c>
      <c r="K425">
        <v>113</v>
      </c>
      <c r="L425">
        <v>15</v>
      </c>
      <c r="M425">
        <v>150</v>
      </c>
      <c r="N425">
        <v>2</v>
      </c>
      <c r="O425">
        <v>14.05</v>
      </c>
      <c r="P425" s="2">
        <f>(H425 + J425) - (L425 + N425)</f>
        <v>0</v>
      </c>
      <c r="Q425" s="2">
        <f>P425 * G425</f>
        <v>0</v>
      </c>
      <c r="R425">
        <v>3</v>
      </c>
      <c r="S425" s="2">
        <f>R425 * G425</f>
        <v>0</v>
      </c>
      <c r="T425" s="2">
        <f>(H425 + J425) - (L425 + N425) - R425</f>
        <v>0</v>
      </c>
      <c r="U425" s="2">
        <f>T425 * G425</f>
        <v>0</v>
      </c>
      <c r="V425" s="2">
        <f>I425 + K425 - S425</f>
        <v>0</v>
      </c>
      <c r="W425" s="2">
        <f>M425 - V425</f>
        <v>0</v>
      </c>
      <c r="X425" s="2">
        <f>IFERROR(W425 / M425 * 100, 0)</f>
        <v>0</v>
      </c>
    </row>
    <row r="426" spans="1:24">
      <c r="A426" t="s">
        <v>445</v>
      </c>
      <c r="B426" t="s">
        <v>512</v>
      </c>
      <c r="C426" t="s">
        <v>939</v>
      </c>
      <c r="D426" t="s">
        <v>1007</v>
      </c>
      <c r="E426" t="s">
        <v>1009</v>
      </c>
      <c r="F426" t="s">
        <v>1434</v>
      </c>
      <c r="G426">
        <v>0.9</v>
      </c>
      <c r="H426">
        <v>0</v>
      </c>
      <c r="I426">
        <v>0</v>
      </c>
      <c r="J426">
        <v>0</v>
      </c>
      <c r="K426">
        <v>0</v>
      </c>
      <c r="L426">
        <v>0.8100000000000001</v>
      </c>
      <c r="M426">
        <v>2.42</v>
      </c>
      <c r="N426">
        <v>0</v>
      </c>
      <c r="O426">
        <v>0</v>
      </c>
      <c r="P426" s="2">
        <f>(H426 + J426) - (L426 + N426)</f>
        <v>0</v>
      </c>
      <c r="Q426" s="2">
        <f>P426 * G426</f>
        <v>0</v>
      </c>
      <c r="R426">
        <v>0</v>
      </c>
      <c r="S426" s="2">
        <f>R426 * G426</f>
        <v>0</v>
      </c>
      <c r="T426" s="2">
        <f>(H426 + J426) - (L426 + N426) - R426</f>
        <v>0</v>
      </c>
      <c r="U426" s="2">
        <f>T426 * G426</f>
        <v>0</v>
      </c>
      <c r="V426" s="2">
        <f>I426 + K426 - S426</f>
        <v>0</v>
      </c>
      <c r="W426" s="2">
        <f>M426 - V426</f>
        <v>0</v>
      </c>
      <c r="X426" s="2">
        <f>IFERROR(W426 / M426 * 100, 0)</f>
        <v>0</v>
      </c>
    </row>
    <row r="427" spans="1:24">
      <c r="A427" t="s">
        <v>446</v>
      </c>
      <c r="B427" t="s">
        <v>512</v>
      </c>
      <c r="C427" t="s">
        <v>940</v>
      </c>
      <c r="D427" t="s">
        <v>1008</v>
      </c>
      <c r="E427" t="s">
        <v>1009</v>
      </c>
      <c r="F427" t="s">
        <v>1435</v>
      </c>
      <c r="G427">
        <v>2.96</v>
      </c>
      <c r="H427">
        <v>45</v>
      </c>
      <c r="I427">
        <v>136.79</v>
      </c>
      <c r="J427">
        <v>20</v>
      </c>
      <c r="K427">
        <v>55.9</v>
      </c>
      <c r="L427">
        <v>44</v>
      </c>
      <c r="M427">
        <v>242</v>
      </c>
      <c r="N427">
        <v>0</v>
      </c>
      <c r="O427">
        <v>0</v>
      </c>
      <c r="P427" s="2">
        <f>(H427 + J427) - (L427 + N427)</f>
        <v>0</v>
      </c>
      <c r="Q427" s="2">
        <f>P427 * G427</f>
        <v>0</v>
      </c>
      <c r="R427">
        <v>16</v>
      </c>
      <c r="S427" s="2">
        <f>R427 * G427</f>
        <v>0</v>
      </c>
      <c r="T427" s="2">
        <f>(H427 + J427) - (L427 + N427) - R427</f>
        <v>0</v>
      </c>
      <c r="U427" s="2">
        <f>T427 * G427</f>
        <v>0</v>
      </c>
      <c r="V427" s="2">
        <f>I427 + K427 - S427</f>
        <v>0</v>
      </c>
      <c r="W427" s="2">
        <f>M427 - V427</f>
        <v>0</v>
      </c>
      <c r="X427" s="2">
        <f>IFERROR(W427 / M427 * 100, 0)</f>
        <v>0</v>
      </c>
    </row>
    <row r="428" spans="1:24">
      <c r="A428" t="s">
        <v>447</v>
      </c>
      <c r="B428" t="s">
        <v>512</v>
      </c>
      <c r="C428" t="s">
        <v>941</v>
      </c>
      <c r="D428" t="s">
        <v>1007</v>
      </c>
      <c r="E428" t="s">
        <v>1009</v>
      </c>
      <c r="F428" t="s">
        <v>1436</v>
      </c>
      <c r="G428">
        <v>7.28</v>
      </c>
      <c r="H428">
        <v>0</v>
      </c>
      <c r="I428">
        <v>0</v>
      </c>
      <c r="J428">
        <v>0</v>
      </c>
      <c r="K428">
        <v>0</v>
      </c>
      <c r="L428">
        <v>0.22</v>
      </c>
      <c r="M428">
        <v>1.85</v>
      </c>
      <c r="N428">
        <v>0</v>
      </c>
      <c r="O428">
        <v>0</v>
      </c>
      <c r="P428" s="2">
        <f>(H428 + J428) - (L428 + N428)</f>
        <v>0</v>
      </c>
      <c r="Q428" s="2">
        <f>P428 * G428</f>
        <v>0</v>
      </c>
      <c r="R428">
        <v>0</v>
      </c>
      <c r="S428" s="2">
        <f>R428 * G428</f>
        <v>0</v>
      </c>
      <c r="T428" s="2">
        <f>(H428 + J428) - (L428 + N428) - R428</f>
        <v>0</v>
      </c>
      <c r="U428" s="2">
        <f>T428 * G428</f>
        <v>0</v>
      </c>
      <c r="V428" s="2">
        <f>I428 + K428 - S428</f>
        <v>0</v>
      </c>
      <c r="W428" s="2">
        <f>M428 - V428</f>
        <v>0</v>
      </c>
      <c r="X428" s="2">
        <f>IFERROR(W428 / M428 * 100, 0)</f>
        <v>0</v>
      </c>
    </row>
    <row r="429" spans="1:24">
      <c r="A429" t="s">
        <v>448</v>
      </c>
      <c r="B429" t="s">
        <v>512</v>
      </c>
      <c r="C429" t="s">
        <v>942</v>
      </c>
      <c r="D429" t="s">
        <v>1008</v>
      </c>
      <c r="E429" t="s">
        <v>1009</v>
      </c>
      <c r="F429" t="s">
        <v>1437</v>
      </c>
      <c r="G429">
        <v>20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3.5</v>
      </c>
      <c r="N429">
        <v>0</v>
      </c>
      <c r="O429">
        <v>0</v>
      </c>
      <c r="P429" s="2">
        <f>(H429 + J429) - (L429 + N429)</f>
        <v>0</v>
      </c>
      <c r="Q429" s="2">
        <f>P429 * G429</f>
        <v>0</v>
      </c>
      <c r="R429">
        <v>0</v>
      </c>
      <c r="S429" s="2">
        <f>R429 * G429</f>
        <v>0</v>
      </c>
      <c r="T429" s="2">
        <f>(H429 + J429) - (L429 + N429) - R429</f>
        <v>0</v>
      </c>
      <c r="U429" s="2">
        <f>T429 * G429</f>
        <v>0</v>
      </c>
      <c r="V429" s="2">
        <f>I429 + K429 - S429</f>
        <v>0</v>
      </c>
      <c r="W429" s="2">
        <f>M429 - V429</f>
        <v>0</v>
      </c>
      <c r="X429" s="2">
        <f>IFERROR(W429 / M429 * 100, 0)</f>
        <v>0</v>
      </c>
    </row>
    <row r="430" spans="1:24">
      <c r="A430" t="s">
        <v>449</v>
      </c>
      <c r="B430" t="s">
        <v>512</v>
      </c>
      <c r="C430" t="s">
        <v>943</v>
      </c>
      <c r="D430" t="s">
        <v>1008</v>
      </c>
      <c r="E430" t="s">
        <v>1009</v>
      </c>
      <c r="F430" t="s">
        <v>1438</v>
      </c>
      <c r="G430">
        <v>0</v>
      </c>
      <c r="H430">
        <v>0</v>
      </c>
      <c r="I430">
        <v>0</v>
      </c>
      <c r="J430">
        <v>3</v>
      </c>
      <c r="K430">
        <v>18.9</v>
      </c>
      <c r="L430">
        <v>0</v>
      </c>
      <c r="M430">
        <v>0</v>
      </c>
      <c r="N430">
        <v>0</v>
      </c>
      <c r="O430">
        <v>0</v>
      </c>
      <c r="P430" s="2">
        <f>(H430 + J430) - (L430 + N430)</f>
        <v>0</v>
      </c>
      <c r="Q430" s="2">
        <f>P430 * G430</f>
        <v>0</v>
      </c>
      <c r="R430">
        <v>3</v>
      </c>
      <c r="S430" s="2">
        <f>R430 * G430</f>
        <v>0</v>
      </c>
      <c r="T430" s="2">
        <f>(H430 + J430) - (L430 + N430) - R430</f>
        <v>0</v>
      </c>
      <c r="U430" s="2">
        <f>T430 * G430</f>
        <v>0</v>
      </c>
      <c r="V430" s="2">
        <f>I430 + K430 - S430</f>
        <v>0</v>
      </c>
      <c r="W430" s="2">
        <f>M430 - V430</f>
        <v>0</v>
      </c>
      <c r="X430" s="2">
        <f>IFERROR(W430 / M430 * 100, 0)</f>
        <v>0</v>
      </c>
    </row>
    <row r="431" spans="1:24">
      <c r="A431" t="s">
        <v>450</v>
      </c>
      <c r="B431" t="s">
        <v>512</v>
      </c>
      <c r="C431" t="s">
        <v>944</v>
      </c>
      <c r="D431" t="s">
        <v>1007</v>
      </c>
      <c r="E431" t="s">
        <v>1009</v>
      </c>
      <c r="F431" t="s">
        <v>1439</v>
      </c>
      <c r="G431">
        <v>5.04</v>
      </c>
      <c r="H431">
        <v>3.3</v>
      </c>
      <c r="I431">
        <v>28.05</v>
      </c>
      <c r="J431">
        <v>65</v>
      </c>
      <c r="K431">
        <v>343.25</v>
      </c>
      <c r="L431">
        <v>16.69</v>
      </c>
      <c r="M431">
        <v>168.21</v>
      </c>
      <c r="N431">
        <v>5</v>
      </c>
      <c r="O431">
        <v>19.22</v>
      </c>
      <c r="P431" s="2">
        <f>(H431 + J431) - (L431 + N431)</f>
        <v>0</v>
      </c>
      <c r="Q431" s="2">
        <f>P431 * G431</f>
        <v>0</v>
      </c>
      <c r="R431">
        <v>12.6</v>
      </c>
      <c r="S431" s="2">
        <f>R431 * G431</f>
        <v>0</v>
      </c>
      <c r="T431" s="2">
        <f>(H431 + J431) - (L431 + N431) - R431</f>
        <v>0</v>
      </c>
      <c r="U431" s="2">
        <f>T431 * G431</f>
        <v>0</v>
      </c>
      <c r="V431" s="2">
        <f>I431 + K431 - S431</f>
        <v>0</v>
      </c>
      <c r="W431" s="2">
        <f>M431 - V431</f>
        <v>0</v>
      </c>
      <c r="X431" s="2">
        <f>IFERROR(W431 / M431 * 100, 0)</f>
        <v>0</v>
      </c>
    </row>
    <row r="432" spans="1:24">
      <c r="A432" t="s">
        <v>451</v>
      </c>
      <c r="B432" t="s">
        <v>512</v>
      </c>
      <c r="C432" t="s">
        <v>945</v>
      </c>
      <c r="D432" t="s">
        <v>1007</v>
      </c>
      <c r="E432" t="s">
        <v>1009</v>
      </c>
      <c r="F432" t="s">
        <v>1440</v>
      </c>
      <c r="G432">
        <v>6.75</v>
      </c>
      <c r="H432">
        <v>0</v>
      </c>
      <c r="I432">
        <v>0</v>
      </c>
      <c r="J432">
        <v>14.4</v>
      </c>
      <c r="K432">
        <v>97.2</v>
      </c>
      <c r="L432">
        <v>0.11</v>
      </c>
      <c r="M432">
        <v>0.64</v>
      </c>
      <c r="N432">
        <v>0</v>
      </c>
      <c r="O432">
        <v>0</v>
      </c>
      <c r="P432" s="2">
        <f>(H432 + J432) - (L432 + N432)</f>
        <v>0</v>
      </c>
      <c r="Q432" s="2">
        <f>P432 * G432</f>
        <v>0</v>
      </c>
      <c r="R432">
        <v>0</v>
      </c>
      <c r="S432" s="2">
        <f>R432 * G432</f>
        <v>0</v>
      </c>
      <c r="T432" s="2">
        <f>(H432 + J432) - (L432 + N432) - R432</f>
        <v>0</v>
      </c>
      <c r="U432" s="2">
        <f>T432 * G432</f>
        <v>0</v>
      </c>
      <c r="V432" s="2">
        <f>I432 + K432 - S432</f>
        <v>0</v>
      </c>
      <c r="W432" s="2">
        <f>M432 - V432</f>
        <v>0</v>
      </c>
      <c r="X432" s="2">
        <f>IFERROR(W432 / M432 * 100, 0)</f>
        <v>0</v>
      </c>
    </row>
    <row r="433" spans="1:24">
      <c r="A433" t="s">
        <v>452</v>
      </c>
      <c r="B433" t="s">
        <v>512</v>
      </c>
      <c r="C433" t="s">
        <v>946</v>
      </c>
      <c r="D433" t="s">
        <v>1008</v>
      </c>
      <c r="E433" t="s">
        <v>1009</v>
      </c>
      <c r="F433" t="s">
        <v>1441</v>
      </c>
      <c r="G433">
        <v>4.96</v>
      </c>
      <c r="H433">
        <v>65</v>
      </c>
      <c r="I433">
        <v>348.38</v>
      </c>
      <c r="J433">
        <v>1819</v>
      </c>
      <c r="K433">
        <v>9272.75</v>
      </c>
      <c r="L433">
        <v>1367</v>
      </c>
      <c r="M433">
        <v>7518.5</v>
      </c>
      <c r="N433">
        <v>0</v>
      </c>
      <c r="O433">
        <v>0</v>
      </c>
      <c r="P433" s="2">
        <f>(H433 + J433) - (L433 + N433)</f>
        <v>0</v>
      </c>
      <c r="Q433" s="2">
        <f>P433 * G433</f>
        <v>0</v>
      </c>
      <c r="R433">
        <v>140</v>
      </c>
      <c r="S433" s="2">
        <f>R433 * G433</f>
        <v>0</v>
      </c>
      <c r="T433" s="2">
        <f>(H433 + J433) - (L433 + N433) - R433</f>
        <v>0</v>
      </c>
      <c r="U433" s="2">
        <f>T433 * G433</f>
        <v>0</v>
      </c>
      <c r="V433" s="2">
        <f>I433 + K433 - S433</f>
        <v>0</v>
      </c>
      <c r="W433" s="2">
        <f>M433 - V433</f>
        <v>0</v>
      </c>
      <c r="X433" s="2">
        <f>IFERROR(W433 / M433 * 100, 0)</f>
        <v>0</v>
      </c>
    </row>
    <row r="434" spans="1:24">
      <c r="A434" t="s">
        <v>453</v>
      </c>
      <c r="B434" t="s">
        <v>512</v>
      </c>
      <c r="C434" t="s">
        <v>947</v>
      </c>
      <c r="D434" t="s">
        <v>1007</v>
      </c>
      <c r="E434" t="s">
        <v>1009</v>
      </c>
      <c r="F434" t="s">
        <v>1442</v>
      </c>
      <c r="G434">
        <v>11.55</v>
      </c>
      <c r="H434">
        <v>93.5</v>
      </c>
      <c r="I434">
        <v>1097.32</v>
      </c>
      <c r="J434">
        <v>372.5</v>
      </c>
      <c r="K434">
        <v>4309</v>
      </c>
      <c r="L434">
        <v>317.1</v>
      </c>
      <c r="M434">
        <v>4280.95</v>
      </c>
      <c r="N434">
        <v>36</v>
      </c>
      <c r="O434">
        <v>417.5</v>
      </c>
      <c r="P434" s="2">
        <f>(H434 + J434) - (L434 + N434)</f>
        <v>0</v>
      </c>
      <c r="Q434" s="2">
        <f>P434 * G434</f>
        <v>0</v>
      </c>
      <c r="R434">
        <v>98</v>
      </c>
      <c r="S434" s="2">
        <f>R434 * G434</f>
        <v>0</v>
      </c>
      <c r="T434" s="2">
        <f>(H434 + J434) - (L434 + N434) - R434</f>
        <v>0</v>
      </c>
      <c r="U434" s="2">
        <f>T434 * G434</f>
        <v>0</v>
      </c>
      <c r="V434" s="2">
        <f>I434 + K434 - S434</f>
        <v>0</v>
      </c>
      <c r="W434" s="2">
        <f>M434 - V434</f>
        <v>0</v>
      </c>
      <c r="X434" s="2">
        <f>IFERROR(W434 / M434 * 100, 0)</f>
        <v>0</v>
      </c>
    </row>
    <row r="435" spans="1:24">
      <c r="A435" t="s">
        <v>454</v>
      </c>
      <c r="B435" t="s">
        <v>512</v>
      </c>
      <c r="C435" t="s">
        <v>948</v>
      </c>
      <c r="D435" t="s">
        <v>1007</v>
      </c>
      <c r="E435" t="s">
        <v>1009</v>
      </c>
      <c r="F435" t="s">
        <v>1443</v>
      </c>
      <c r="G435">
        <v>9.99</v>
      </c>
      <c r="H435">
        <v>50.2</v>
      </c>
      <c r="I435">
        <v>492.54</v>
      </c>
      <c r="J435">
        <v>156.92</v>
      </c>
      <c r="K435">
        <v>1569.26</v>
      </c>
      <c r="L435">
        <v>158.84</v>
      </c>
      <c r="M435">
        <v>1747.42</v>
      </c>
      <c r="N435">
        <v>34</v>
      </c>
      <c r="O435">
        <v>339.15</v>
      </c>
      <c r="P435" s="2">
        <f>(H435 + J435) - (L435 + N435)</f>
        <v>0</v>
      </c>
      <c r="Q435" s="2">
        <f>P435 * G435</f>
        <v>0</v>
      </c>
      <c r="R435">
        <v>7.6</v>
      </c>
      <c r="S435" s="2">
        <f>R435 * G435</f>
        <v>0</v>
      </c>
      <c r="T435" s="2">
        <f>(H435 + J435) - (L435 + N435) - R435</f>
        <v>0</v>
      </c>
      <c r="U435" s="2">
        <f>T435 * G435</f>
        <v>0</v>
      </c>
      <c r="V435" s="2">
        <f>I435 + K435 - S435</f>
        <v>0</v>
      </c>
      <c r="W435" s="2">
        <f>M435 - V435</f>
        <v>0</v>
      </c>
      <c r="X435" s="2">
        <f>IFERROR(W435 / M435 * 100, 0)</f>
        <v>0</v>
      </c>
    </row>
    <row r="436" spans="1:24">
      <c r="A436" t="s">
        <v>455</v>
      </c>
      <c r="B436" t="s">
        <v>512</v>
      </c>
      <c r="C436" t="s">
        <v>949</v>
      </c>
      <c r="D436" t="s">
        <v>1007</v>
      </c>
      <c r="E436" t="s">
        <v>1009</v>
      </c>
      <c r="F436" t="s">
        <v>1444</v>
      </c>
      <c r="G436">
        <v>10</v>
      </c>
      <c r="H436">
        <v>0</v>
      </c>
      <c r="I436">
        <v>0</v>
      </c>
      <c r="J436">
        <v>0</v>
      </c>
      <c r="K436">
        <v>0</v>
      </c>
      <c r="L436">
        <v>0.57</v>
      </c>
      <c r="M436">
        <v>7.15</v>
      </c>
      <c r="N436">
        <v>0</v>
      </c>
      <c r="O436">
        <v>0</v>
      </c>
      <c r="P436" s="2">
        <f>(H436 + J436) - (L436 + N436)</f>
        <v>0</v>
      </c>
      <c r="Q436" s="2">
        <f>P436 * G436</f>
        <v>0</v>
      </c>
      <c r="R436">
        <v>0</v>
      </c>
      <c r="S436" s="2">
        <f>R436 * G436</f>
        <v>0</v>
      </c>
      <c r="T436" s="2">
        <f>(H436 + J436) - (L436 + N436) - R436</f>
        <v>0</v>
      </c>
      <c r="U436" s="2">
        <f>T436 * G436</f>
        <v>0</v>
      </c>
      <c r="V436" s="2">
        <f>I436 + K436 - S436</f>
        <v>0</v>
      </c>
      <c r="W436" s="2">
        <f>M436 - V436</f>
        <v>0</v>
      </c>
      <c r="X436" s="2">
        <f>IFERROR(W436 / M436 * 100, 0)</f>
        <v>0</v>
      </c>
    </row>
    <row r="437" spans="1:24">
      <c r="A437" t="s">
        <v>456</v>
      </c>
      <c r="B437" t="s">
        <v>512</v>
      </c>
      <c r="C437" t="s">
        <v>950</v>
      </c>
      <c r="D437" t="s">
        <v>1007</v>
      </c>
      <c r="E437" t="s">
        <v>1009</v>
      </c>
      <c r="F437" t="s">
        <v>1445</v>
      </c>
      <c r="G437">
        <v>5.75</v>
      </c>
      <c r="H437">
        <v>0</v>
      </c>
      <c r="I437">
        <v>0</v>
      </c>
      <c r="J437">
        <v>0</v>
      </c>
      <c r="K437">
        <v>0</v>
      </c>
      <c r="L437">
        <v>0.12</v>
      </c>
      <c r="M437">
        <v>0.85</v>
      </c>
      <c r="N437">
        <v>0</v>
      </c>
      <c r="O437">
        <v>0</v>
      </c>
      <c r="P437" s="2">
        <f>(H437 + J437) - (L437 + N437)</f>
        <v>0</v>
      </c>
      <c r="Q437" s="2">
        <f>P437 * G437</f>
        <v>0</v>
      </c>
      <c r="R437">
        <v>0</v>
      </c>
      <c r="S437" s="2">
        <f>R437 * G437</f>
        <v>0</v>
      </c>
      <c r="T437" s="2">
        <f>(H437 + J437) - (L437 + N437) - R437</f>
        <v>0</v>
      </c>
      <c r="U437" s="2">
        <f>T437 * G437</f>
        <v>0</v>
      </c>
      <c r="V437" s="2">
        <f>I437 + K437 - S437</f>
        <v>0</v>
      </c>
      <c r="W437" s="2">
        <f>M437 - V437</f>
        <v>0</v>
      </c>
      <c r="X437" s="2">
        <f>IFERROR(W437 / M437 * 100, 0)</f>
        <v>0</v>
      </c>
    </row>
    <row r="438" spans="1:24">
      <c r="A438" t="s">
        <v>457</v>
      </c>
      <c r="B438" t="s">
        <v>512</v>
      </c>
      <c r="C438" t="s">
        <v>951</v>
      </c>
      <c r="D438" t="s">
        <v>1007</v>
      </c>
      <c r="E438" t="s">
        <v>1009</v>
      </c>
      <c r="F438" t="s">
        <v>1446</v>
      </c>
      <c r="G438">
        <v>3</v>
      </c>
      <c r="H438">
        <v>0</v>
      </c>
      <c r="I438">
        <v>0</v>
      </c>
      <c r="J438">
        <v>0</v>
      </c>
      <c r="K438">
        <v>0</v>
      </c>
      <c r="L438">
        <v>21.28</v>
      </c>
      <c r="M438">
        <v>127.68</v>
      </c>
      <c r="N438">
        <v>0</v>
      </c>
      <c r="O438">
        <v>0</v>
      </c>
      <c r="P438" s="2">
        <f>(H438 + J438) - (L438 + N438)</f>
        <v>0</v>
      </c>
      <c r="Q438" s="2">
        <f>P438 * G438</f>
        <v>0</v>
      </c>
      <c r="R438">
        <v>0</v>
      </c>
      <c r="S438" s="2">
        <f>R438 * G438</f>
        <v>0</v>
      </c>
      <c r="T438" s="2">
        <f>(H438 + J438) - (L438 + N438) - R438</f>
        <v>0</v>
      </c>
      <c r="U438" s="2">
        <f>T438 * G438</f>
        <v>0</v>
      </c>
      <c r="V438" s="2">
        <f>I438 + K438 - S438</f>
        <v>0</v>
      </c>
      <c r="W438" s="2">
        <f>M438 - V438</f>
        <v>0</v>
      </c>
      <c r="X438" s="2">
        <f>IFERROR(W438 / M438 * 100, 0)</f>
        <v>0</v>
      </c>
    </row>
    <row r="439" spans="1:24">
      <c r="A439" t="s">
        <v>458</v>
      </c>
      <c r="B439" t="s">
        <v>512</v>
      </c>
      <c r="C439" t="s">
        <v>952</v>
      </c>
      <c r="D439" t="s">
        <v>1007</v>
      </c>
      <c r="E439" t="s">
        <v>1009</v>
      </c>
      <c r="F439" t="s">
        <v>1447</v>
      </c>
      <c r="G439">
        <v>5.31</v>
      </c>
      <c r="H439">
        <v>691.3</v>
      </c>
      <c r="I439">
        <v>3174.04</v>
      </c>
      <c r="J439">
        <v>7575.06</v>
      </c>
      <c r="K439">
        <v>38043.35</v>
      </c>
      <c r="L439">
        <v>7521.32</v>
      </c>
      <c r="M439">
        <v>43907.59</v>
      </c>
      <c r="N439">
        <v>381</v>
      </c>
      <c r="O439">
        <v>1906.87</v>
      </c>
      <c r="P439" s="2">
        <f>(H439 + J439) - (L439 + N439)</f>
        <v>0</v>
      </c>
      <c r="Q439" s="2">
        <f>P439 * G439</f>
        <v>0</v>
      </c>
      <c r="R439">
        <v>327.7</v>
      </c>
      <c r="S439" s="2">
        <f>R439 * G439</f>
        <v>0</v>
      </c>
      <c r="T439" s="2">
        <f>(H439 + J439) - (L439 + N439) - R439</f>
        <v>0</v>
      </c>
      <c r="U439" s="2">
        <f>T439 * G439</f>
        <v>0</v>
      </c>
      <c r="V439" s="2">
        <f>I439 + K439 - S439</f>
        <v>0</v>
      </c>
      <c r="W439" s="2">
        <f>M439 - V439</f>
        <v>0</v>
      </c>
      <c r="X439" s="2">
        <f>IFERROR(W439 / M439 * 100, 0)</f>
        <v>0</v>
      </c>
    </row>
    <row r="440" spans="1:24">
      <c r="A440" t="s">
        <v>459</v>
      </c>
      <c r="B440" t="s">
        <v>512</v>
      </c>
      <c r="C440" t="s">
        <v>953</v>
      </c>
      <c r="D440" t="s">
        <v>1007</v>
      </c>
      <c r="E440" t="s">
        <v>1009</v>
      </c>
      <c r="F440" t="s">
        <v>1448</v>
      </c>
      <c r="G440">
        <v>6.38</v>
      </c>
      <c r="H440">
        <v>0</v>
      </c>
      <c r="I440">
        <v>0</v>
      </c>
      <c r="J440">
        <v>0</v>
      </c>
      <c r="K440">
        <v>0</v>
      </c>
      <c r="L440">
        <v>0.43</v>
      </c>
      <c r="M440">
        <v>3.2</v>
      </c>
      <c r="N440">
        <v>0</v>
      </c>
      <c r="O440">
        <v>0</v>
      </c>
      <c r="P440" s="2">
        <f>(H440 + J440) - (L440 + N440)</f>
        <v>0</v>
      </c>
      <c r="Q440" s="2">
        <f>P440 * G440</f>
        <v>0</v>
      </c>
      <c r="R440">
        <v>0</v>
      </c>
      <c r="S440" s="2">
        <f>R440 * G440</f>
        <v>0</v>
      </c>
      <c r="T440" s="2">
        <f>(H440 + J440) - (L440 + N440) - R440</f>
        <v>0</v>
      </c>
      <c r="U440" s="2">
        <f>T440 * G440</f>
        <v>0</v>
      </c>
      <c r="V440" s="2">
        <f>I440 + K440 - S440</f>
        <v>0</v>
      </c>
      <c r="W440" s="2">
        <f>M440 - V440</f>
        <v>0</v>
      </c>
      <c r="X440" s="2">
        <f>IFERROR(W440 / M440 * 100, 0)</f>
        <v>0</v>
      </c>
    </row>
    <row r="441" spans="1:24">
      <c r="A441" t="s">
        <v>460</v>
      </c>
      <c r="B441" t="s">
        <v>512</v>
      </c>
      <c r="C441" t="s">
        <v>954</v>
      </c>
      <c r="D441" t="s">
        <v>1007</v>
      </c>
      <c r="E441" t="s">
        <v>1009</v>
      </c>
      <c r="F441" t="s">
        <v>1449</v>
      </c>
      <c r="G441">
        <v>3.82</v>
      </c>
      <c r="H441">
        <v>0</v>
      </c>
      <c r="I441">
        <v>0</v>
      </c>
      <c r="J441">
        <v>4522.13</v>
      </c>
      <c r="K441">
        <v>15873.25</v>
      </c>
      <c r="L441">
        <v>3939.15</v>
      </c>
      <c r="M441">
        <v>19228.44</v>
      </c>
      <c r="N441">
        <v>65</v>
      </c>
      <c r="O441">
        <v>205</v>
      </c>
      <c r="P441" s="2">
        <f>(H441 + J441) - (L441 + N441)</f>
        <v>0</v>
      </c>
      <c r="Q441" s="2">
        <f>P441 * G441</f>
        <v>0</v>
      </c>
      <c r="R441">
        <v>565.3</v>
      </c>
      <c r="S441" s="2">
        <f>R441 * G441</f>
        <v>0</v>
      </c>
      <c r="T441" s="2">
        <f>(H441 + J441) - (L441 + N441) - R441</f>
        <v>0</v>
      </c>
      <c r="U441" s="2">
        <f>T441 * G441</f>
        <v>0</v>
      </c>
      <c r="V441" s="2">
        <f>I441 + K441 - S441</f>
        <v>0</v>
      </c>
      <c r="W441" s="2">
        <f>M441 - V441</f>
        <v>0</v>
      </c>
      <c r="X441" s="2">
        <f>IFERROR(W441 / M441 * 100, 0)</f>
        <v>0</v>
      </c>
    </row>
    <row r="442" spans="1:24">
      <c r="A442" t="s">
        <v>461</v>
      </c>
      <c r="B442" t="s">
        <v>512</v>
      </c>
      <c r="C442" t="s">
        <v>955</v>
      </c>
      <c r="D442" t="s">
        <v>1007</v>
      </c>
      <c r="E442" t="s">
        <v>1009</v>
      </c>
      <c r="F442" t="s">
        <v>1450</v>
      </c>
      <c r="G442">
        <v>6.31</v>
      </c>
      <c r="H442">
        <v>11.5</v>
      </c>
      <c r="I442">
        <v>91.31</v>
      </c>
      <c r="J442">
        <v>106</v>
      </c>
      <c r="K442">
        <v>657</v>
      </c>
      <c r="L442">
        <v>70.65000000000001</v>
      </c>
      <c r="M442">
        <v>918.7</v>
      </c>
      <c r="N442">
        <v>17</v>
      </c>
      <c r="O442">
        <v>109.1</v>
      </c>
      <c r="P442" s="2">
        <f>(H442 + J442) - (L442 + N442)</f>
        <v>0</v>
      </c>
      <c r="Q442" s="2">
        <f>P442 * G442</f>
        <v>0</v>
      </c>
      <c r="R442">
        <v>24</v>
      </c>
      <c r="S442" s="2">
        <f>R442 * G442</f>
        <v>0</v>
      </c>
      <c r="T442" s="2">
        <f>(H442 + J442) - (L442 + N442) - R442</f>
        <v>0</v>
      </c>
      <c r="U442" s="2">
        <f>T442 * G442</f>
        <v>0</v>
      </c>
      <c r="V442" s="2">
        <f>I442 + K442 - S442</f>
        <v>0</v>
      </c>
      <c r="W442" s="2">
        <f>M442 - V442</f>
        <v>0</v>
      </c>
      <c r="X442" s="2">
        <f>IFERROR(W442 / M442 * 100, 0)</f>
        <v>0</v>
      </c>
    </row>
    <row r="443" spans="1:24">
      <c r="A443" t="s">
        <v>462</v>
      </c>
      <c r="B443" t="s">
        <v>512</v>
      </c>
      <c r="C443" t="s">
        <v>956</v>
      </c>
      <c r="D443" t="s">
        <v>1007</v>
      </c>
      <c r="E443" t="s">
        <v>1009</v>
      </c>
      <c r="F443" t="s">
        <v>1451</v>
      </c>
      <c r="G443">
        <v>9.5</v>
      </c>
      <c r="H443">
        <v>7.1</v>
      </c>
      <c r="I443">
        <v>67.45</v>
      </c>
      <c r="J443">
        <v>105</v>
      </c>
      <c r="K443">
        <v>997.5</v>
      </c>
      <c r="L443">
        <v>90.02</v>
      </c>
      <c r="M443">
        <v>1125.36</v>
      </c>
      <c r="N443">
        <v>0</v>
      </c>
      <c r="O443">
        <v>0</v>
      </c>
      <c r="P443" s="2">
        <f>(H443 + J443) - (L443 + N443)</f>
        <v>0</v>
      </c>
      <c r="Q443" s="2">
        <f>P443 * G443</f>
        <v>0</v>
      </c>
      <c r="R443">
        <v>28.1</v>
      </c>
      <c r="S443" s="2">
        <f>R443 * G443</f>
        <v>0</v>
      </c>
      <c r="T443" s="2">
        <f>(H443 + J443) - (L443 + N443) - R443</f>
        <v>0</v>
      </c>
      <c r="U443" s="2">
        <f>T443 * G443</f>
        <v>0</v>
      </c>
      <c r="V443" s="2">
        <f>I443 + K443 - S443</f>
        <v>0</v>
      </c>
      <c r="W443" s="2">
        <f>M443 - V443</f>
        <v>0</v>
      </c>
      <c r="X443" s="2">
        <f>IFERROR(W443 / M443 * 100, 0)</f>
        <v>0</v>
      </c>
    </row>
    <row r="444" spans="1:24">
      <c r="A444" t="s">
        <v>463</v>
      </c>
      <c r="B444" t="s">
        <v>512</v>
      </c>
      <c r="C444" t="s">
        <v>957</v>
      </c>
      <c r="D444" t="s">
        <v>1008</v>
      </c>
      <c r="E444" t="s">
        <v>1009</v>
      </c>
      <c r="F444" t="s">
        <v>1452</v>
      </c>
      <c r="G444">
        <v>19</v>
      </c>
      <c r="H444">
        <v>0</v>
      </c>
      <c r="I444">
        <v>0</v>
      </c>
      <c r="J444">
        <v>17</v>
      </c>
      <c r="K444">
        <v>313</v>
      </c>
      <c r="L444">
        <v>8</v>
      </c>
      <c r="M444">
        <v>168</v>
      </c>
      <c r="N444">
        <v>4</v>
      </c>
      <c r="O444">
        <v>72.61</v>
      </c>
      <c r="P444" s="2">
        <f>(H444 + J444) - (L444 + N444)</f>
        <v>0</v>
      </c>
      <c r="Q444" s="2">
        <f>P444 * G444</f>
        <v>0</v>
      </c>
      <c r="R444">
        <v>7</v>
      </c>
      <c r="S444" s="2">
        <f>R444 * G444</f>
        <v>0</v>
      </c>
      <c r="T444" s="2">
        <f>(H444 + J444) - (L444 + N444) - R444</f>
        <v>0</v>
      </c>
      <c r="U444" s="2">
        <f>T444 * G444</f>
        <v>0</v>
      </c>
      <c r="V444" s="2">
        <f>I444 + K444 - S444</f>
        <v>0</v>
      </c>
      <c r="W444" s="2">
        <f>M444 - V444</f>
        <v>0</v>
      </c>
      <c r="X444" s="2">
        <f>IFERROR(W444 / M444 * 100, 0)</f>
        <v>0</v>
      </c>
    </row>
    <row r="445" spans="1:24">
      <c r="A445" t="s">
        <v>464</v>
      </c>
      <c r="B445" t="s">
        <v>512</v>
      </c>
      <c r="C445" t="s">
        <v>958</v>
      </c>
      <c r="D445" t="s">
        <v>1007</v>
      </c>
      <c r="E445" t="s">
        <v>1009</v>
      </c>
      <c r="F445" t="s">
        <v>1453</v>
      </c>
      <c r="G445">
        <v>2</v>
      </c>
      <c r="H445">
        <v>0</v>
      </c>
      <c r="I445">
        <v>0</v>
      </c>
      <c r="J445">
        <v>0</v>
      </c>
      <c r="K445">
        <v>0</v>
      </c>
      <c r="L445">
        <v>1.52</v>
      </c>
      <c r="M445">
        <v>3.8</v>
      </c>
      <c r="N445">
        <v>0</v>
      </c>
      <c r="O445">
        <v>0</v>
      </c>
      <c r="P445" s="2">
        <f>(H445 + J445) - (L445 + N445)</f>
        <v>0</v>
      </c>
      <c r="Q445" s="2">
        <f>P445 * G445</f>
        <v>0</v>
      </c>
      <c r="R445">
        <v>0</v>
      </c>
      <c r="S445" s="2">
        <f>R445 * G445</f>
        <v>0</v>
      </c>
      <c r="T445" s="2">
        <f>(H445 + J445) - (L445 + N445) - R445</f>
        <v>0</v>
      </c>
      <c r="U445" s="2">
        <f>T445 * G445</f>
        <v>0</v>
      </c>
      <c r="V445" s="2">
        <f>I445 + K445 - S445</f>
        <v>0</v>
      </c>
      <c r="W445" s="2">
        <f>M445 - V445</f>
        <v>0</v>
      </c>
      <c r="X445" s="2">
        <f>IFERROR(W445 / M445 * 100, 0)</f>
        <v>0</v>
      </c>
    </row>
    <row r="446" spans="1:24">
      <c r="A446" t="s">
        <v>465</v>
      </c>
      <c r="B446" t="s">
        <v>512</v>
      </c>
      <c r="C446" t="s">
        <v>959</v>
      </c>
      <c r="D446" t="s">
        <v>1008</v>
      </c>
      <c r="E446" t="s">
        <v>1009</v>
      </c>
      <c r="F446" t="s">
        <v>1454</v>
      </c>
      <c r="G446">
        <v>1.5</v>
      </c>
      <c r="H446">
        <v>46</v>
      </c>
      <c r="I446">
        <v>69.20999999999999</v>
      </c>
      <c r="J446">
        <v>321</v>
      </c>
      <c r="K446">
        <v>492</v>
      </c>
      <c r="L446">
        <v>226</v>
      </c>
      <c r="M446">
        <v>678</v>
      </c>
      <c r="N446">
        <v>0</v>
      </c>
      <c r="O446">
        <v>0</v>
      </c>
      <c r="P446" s="2">
        <f>(H446 + J446) - (L446 + N446)</f>
        <v>0</v>
      </c>
      <c r="Q446" s="2">
        <f>P446 * G446</f>
        <v>0</v>
      </c>
      <c r="R446">
        <v>97</v>
      </c>
      <c r="S446" s="2">
        <f>R446 * G446</f>
        <v>0</v>
      </c>
      <c r="T446" s="2">
        <f>(H446 + J446) - (L446 + N446) - R446</f>
        <v>0</v>
      </c>
      <c r="U446" s="2">
        <f>T446 * G446</f>
        <v>0</v>
      </c>
      <c r="V446" s="2">
        <f>I446 + K446 - S446</f>
        <v>0</v>
      </c>
      <c r="W446" s="2">
        <f>M446 - V446</f>
        <v>0</v>
      </c>
      <c r="X446" s="2">
        <f>IFERROR(W446 / M446 * 100, 0)</f>
        <v>0</v>
      </c>
    </row>
    <row r="447" spans="1:24">
      <c r="A447" t="s">
        <v>466</v>
      </c>
      <c r="B447" t="s">
        <v>512</v>
      </c>
      <c r="C447" t="s">
        <v>960</v>
      </c>
      <c r="D447" t="s">
        <v>1007</v>
      </c>
      <c r="E447" t="s">
        <v>1009</v>
      </c>
      <c r="F447" t="s">
        <v>1455</v>
      </c>
      <c r="G447">
        <v>9.34</v>
      </c>
      <c r="H447">
        <v>37.5</v>
      </c>
      <c r="I447">
        <v>348.27</v>
      </c>
      <c r="J447">
        <v>174.5</v>
      </c>
      <c r="K447">
        <v>1705</v>
      </c>
      <c r="L447">
        <v>144.35</v>
      </c>
      <c r="M447">
        <v>1876.74</v>
      </c>
      <c r="N447">
        <v>36</v>
      </c>
      <c r="O447">
        <v>347.67</v>
      </c>
      <c r="P447" s="2">
        <f>(H447 + J447) - (L447 + N447)</f>
        <v>0</v>
      </c>
      <c r="Q447" s="2">
        <f>P447 * G447</f>
        <v>0</v>
      </c>
      <c r="R447">
        <v>22.3</v>
      </c>
      <c r="S447" s="2">
        <f>R447 * G447</f>
        <v>0</v>
      </c>
      <c r="T447" s="2">
        <f>(H447 + J447) - (L447 + N447) - R447</f>
        <v>0</v>
      </c>
      <c r="U447" s="2">
        <f>T447 * G447</f>
        <v>0</v>
      </c>
      <c r="V447" s="2">
        <f>I447 + K447 - S447</f>
        <v>0</v>
      </c>
      <c r="W447" s="2">
        <f>M447 - V447</f>
        <v>0</v>
      </c>
      <c r="X447" s="2">
        <f>IFERROR(W447 / M447 * 100, 0)</f>
        <v>0</v>
      </c>
    </row>
    <row r="448" spans="1:24">
      <c r="A448" t="s">
        <v>467</v>
      </c>
      <c r="B448" t="s">
        <v>512</v>
      </c>
      <c r="C448" t="s">
        <v>961</v>
      </c>
      <c r="D448" t="s">
        <v>1008</v>
      </c>
      <c r="E448" t="s">
        <v>1009</v>
      </c>
      <c r="F448" t="s">
        <v>1456</v>
      </c>
      <c r="G448">
        <v>14.17</v>
      </c>
      <c r="H448">
        <v>1</v>
      </c>
      <c r="I448">
        <v>15.17</v>
      </c>
      <c r="J448">
        <v>4</v>
      </c>
      <c r="K448">
        <v>58</v>
      </c>
      <c r="L448">
        <v>3</v>
      </c>
      <c r="M448">
        <v>72</v>
      </c>
      <c r="N448">
        <v>0</v>
      </c>
      <c r="O448">
        <v>0</v>
      </c>
      <c r="P448" s="2">
        <f>(H448 + J448) - (L448 + N448)</f>
        <v>0</v>
      </c>
      <c r="Q448" s="2">
        <f>P448 * G448</f>
        <v>0</v>
      </c>
      <c r="R448">
        <v>0</v>
      </c>
      <c r="S448" s="2">
        <f>R448 * G448</f>
        <v>0</v>
      </c>
      <c r="T448" s="2">
        <f>(H448 + J448) - (L448 + N448) - R448</f>
        <v>0</v>
      </c>
      <c r="U448" s="2">
        <f>T448 * G448</f>
        <v>0</v>
      </c>
      <c r="V448" s="2">
        <f>I448 + K448 - S448</f>
        <v>0</v>
      </c>
      <c r="W448" s="2">
        <f>M448 - V448</f>
        <v>0</v>
      </c>
      <c r="X448" s="2">
        <f>IFERROR(W448 / M448 * 100, 0)</f>
        <v>0</v>
      </c>
    </row>
    <row r="449" spans="1:24">
      <c r="A449" t="s">
        <v>468</v>
      </c>
      <c r="B449" t="s">
        <v>512</v>
      </c>
      <c r="C449" t="s">
        <v>962</v>
      </c>
      <c r="D449" t="s">
        <v>1008</v>
      </c>
      <c r="E449" t="s">
        <v>1009</v>
      </c>
      <c r="F449" t="s">
        <v>1457</v>
      </c>
      <c r="G449">
        <v>0.72</v>
      </c>
      <c r="H449">
        <v>44</v>
      </c>
      <c r="I449">
        <v>31.68</v>
      </c>
      <c r="J449">
        <v>358</v>
      </c>
      <c r="K449">
        <v>271.37</v>
      </c>
      <c r="L449">
        <v>195</v>
      </c>
      <c r="M449">
        <v>195</v>
      </c>
      <c r="N449">
        <v>61</v>
      </c>
      <c r="O449">
        <v>48.82</v>
      </c>
      <c r="P449" s="2">
        <f>(H449 + J449) - (L449 + N449)</f>
        <v>0</v>
      </c>
      <c r="Q449" s="2">
        <f>P449 * G449</f>
        <v>0</v>
      </c>
      <c r="R449">
        <v>46</v>
      </c>
      <c r="S449" s="2">
        <f>R449 * G449</f>
        <v>0</v>
      </c>
      <c r="T449" s="2">
        <f>(H449 + J449) - (L449 + N449) - R449</f>
        <v>0</v>
      </c>
      <c r="U449" s="2">
        <f>T449 * G449</f>
        <v>0</v>
      </c>
      <c r="V449" s="2">
        <f>I449 + K449 - S449</f>
        <v>0</v>
      </c>
      <c r="W449" s="2">
        <f>M449 - V449</f>
        <v>0</v>
      </c>
      <c r="X449" s="2">
        <f>IFERROR(W449 / M449 * 100, 0)</f>
        <v>0</v>
      </c>
    </row>
    <row r="450" spans="1:24">
      <c r="A450" t="s">
        <v>469</v>
      </c>
      <c r="B450" t="s">
        <v>512</v>
      </c>
      <c r="C450" t="s">
        <v>963</v>
      </c>
      <c r="D450" t="s">
        <v>1007</v>
      </c>
      <c r="E450" t="s">
        <v>1009</v>
      </c>
      <c r="F450" t="s">
        <v>1458</v>
      </c>
      <c r="G450">
        <v>8.359999999999999</v>
      </c>
      <c r="H450">
        <v>0</v>
      </c>
      <c r="I450">
        <v>0</v>
      </c>
      <c r="J450">
        <v>0</v>
      </c>
      <c r="K450">
        <v>0</v>
      </c>
      <c r="L450">
        <v>0.85</v>
      </c>
      <c r="M450">
        <v>11.44</v>
      </c>
      <c r="N450">
        <v>0</v>
      </c>
      <c r="O450">
        <v>0</v>
      </c>
      <c r="P450" s="2">
        <f>(H450 + J450) - (L450 + N450)</f>
        <v>0</v>
      </c>
      <c r="Q450" s="2">
        <f>P450 * G450</f>
        <v>0</v>
      </c>
      <c r="R450">
        <v>0</v>
      </c>
      <c r="S450" s="2">
        <f>R450 * G450</f>
        <v>0</v>
      </c>
      <c r="T450" s="2">
        <f>(H450 + J450) - (L450 + N450) - R450</f>
        <v>0</v>
      </c>
      <c r="U450" s="2">
        <f>T450 * G450</f>
        <v>0</v>
      </c>
      <c r="V450" s="2">
        <f>I450 + K450 - S450</f>
        <v>0</v>
      </c>
      <c r="W450" s="2">
        <f>M450 - V450</f>
        <v>0</v>
      </c>
      <c r="X450" s="2">
        <f>IFERROR(W450 / M450 * 100, 0)</f>
        <v>0</v>
      </c>
    </row>
    <row r="451" spans="1:24">
      <c r="A451" t="s">
        <v>470</v>
      </c>
      <c r="B451" t="s">
        <v>512</v>
      </c>
      <c r="C451" t="s">
        <v>964</v>
      </c>
      <c r="D451" t="s">
        <v>1007</v>
      </c>
      <c r="E451" t="s">
        <v>1009</v>
      </c>
      <c r="F451" t="s">
        <v>1459</v>
      </c>
      <c r="G451">
        <v>11.18</v>
      </c>
      <c r="H451">
        <v>24.8</v>
      </c>
      <c r="I451">
        <v>290.64</v>
      </c>
      <c r="J451">
        <v>608.6799999999999</v>
      </c>
      <c r="K451">
        <v>6842.13</v>
      </c>
      <c r="L451">
        <v>706.63</v>
      </c>
      <c r="M451">
        <v>10954.5</v>
      </c>
      <c r="N451">
        <v>3</v>
      </c>
      <c r="O451">
        <v>33.76</v>
      </c>
      <c r="P451" s="2">
        <f>(H451 + J451) - (L451 + N451)</f>
        <v>0</v>
      </c>
      <c r="Q451" s="2">
        <f>P451 * G451</f>
        <v>0</v>
      </c>
      <c r="R451">
        <v>24.7</v>
      </c>
      <c r="S451" s="2">
        <f>R451 * G451</f>
        <v>0</v>
      </c>
      <c r="T451" s="2">
        <f>(H451 + J451) - (L451 + N451) - R451</f>
        <v>0</v>
      </c>
      <c r="U451" s="2">
        <f>T451 * G451</f>
        <v>0</v>
      </c>
      <c r="V451" s="2">
        <f>I451 + K451 - S451</f>
        <v>0</v>
      </c>
      <c r="W451" s="2">
        <f>M451 - V451</f>
        <v>0</v>
      </c>
      <c r="X451" s="2">
        <f>IFERROR(W451 / M451 * 100, 0)</f>
        <v>0</v>
      </c>
    </row>
    <row r="452" spans="1:24">
      <c r="A452" t="s">
        <v>471</v>
      </c>
      <c r="B452" t="s">
        <v>512</v>
      </c>
      <c r="C452" t="s">
        <v>965</v>
      </c>
      <c r="D452" t="s">
        <v>1007</v>
      </c>
      <c r="E452" t="s">
        <v>1009</v>
      </c>
      <c r="F452" t="s">
        <v>1460</v>
      </c>
      <c r="G452">
        <v>4</v>
      </c>
      <c r="H452">
        <v>0</v>
      </c>
      <c r="I452">
        <v>0</v>
      </c>
      <c r="J452">
        <v>0</v>
      </c>
      <c r="K452">
        <v>0</v>
      </c>
      <c r="L452">
        <v>11.91</v>
      </c>
      <c r="M452">
        <v>89.31</v>
      </c>
      <c r="N452">
        <v>0</v>
      </c>
      <c r="O452">
        <v>0</v>
      </c>
      <c r="P452" s="2">
        <f>(H452 + J452) - (L452 + N452)</f>
        <v>0</v>
      </c>
      <c r="Q452" s="2">
        <f>P452 * G452</f>
        <v>0</v>
      </c>
      <c r="R452">
        <v>0</v>
      </c>
      <c r="S452" s="2">
        <f>R452 * G452</f>
        <v>0</v>
      </c>
      <c r="T452" s="2">
        <f>(H452 + J452) - (L452 + N452) - R452</f>
        <v>0</v>
      </c>
      <c r="U452" s="2">
        <f>T452 * G452</f>
        <v>0</v>
      </c>
      <c r="V452" s="2">
        <f>I452 + K452 - S452</f>
        <v>0</v>
      </c>
      <c r="W452" s="2">
        <f>M452 - V452</f>
        <v>0</v>
      </c>
      <c r="X452" s="2">
        <f>IFERROR(W452 / M452 * 100, 0)</f>
        <v>0</v>
      </c>
    </row>
    <row r="453" spans="1:24">
      <c r="A453" t="s">
        <v>472</v>
      </c>
      <c r="B453" t="s">
        <v>512</v>
      </c>
      <c r="C453" t="s">
        <v>966</v>
      </c>
      <c r="D453" t="s">
        <v>1007</v>
      </c>
      <c r="E453" t="s">
        <v>1009</v>
      </c>
      <c r="F453" t="s">
        <v>1461</v>
      </c>
      <c r="G453">
        <v>1.59</v>
      </c>
      <c r="H453">
        <v>0</v>
      </c>
      <c r="I453">
        <v>0</v>
      </c>
      <c r="J453">
        <v>4284.8</v>
      </c>
      <c r="K453">
        <v>6607.46</v>
      </c>
      <c r="L453">
        <v>3136.85</v>
      </c>
      <c r="M453">
        <v>5480.79</v>
      </c>
      <c r="N453">
        <v>15</v>
      </c>
      <c r="O453">
        <v>23.58</v>
      </c>
      <c r="P453" s="2">
        <f>(H453 + J453) - (L453 + N453)</f>
        <v>0</v>
      </c>
      <c r="Q453" s="2">
        <f>P453 * G453</f>
        <v>0</v>
      </c>
      <c r="R453">
        <v>0</v>
      </c>
      <c r="S453" s="2">
        <f>R453 * G453</f>
        <v>0</v>
      </c>
      <c r="T453" s="2">
        <f>(H453 + J453) - (L453 + N453) - R453</f>
        <v>0</v>
      </c>
      <c r="U453" s="2">
        <f>T453 * G453</f>
        <v>0</v>
      </c>
      <c r="V453" s="2">
        <f>I453 + K453 - S453</f>
        <v>0</v>
      </c>
      <c r="W453" s="2">
        <f>M453 - V453</f>
        <v>0</v>
      </c>
      <c r="X453" s="2">
        <f>IFERROR(W453 / M453 * 100, 0)</f>
        <v>0</v>
      </c>
    </row>
    <row r="454" spans="1:24">
      <c r="A454" t="s">
        <v>473</v>
      </c>
      <c r="B454" t="s">
        <v>512</v>
      </c>
      <c r="C454" t="s">
        <v>967</v>
      </c>
      <c r="D454" t="s">
        <v>1007</v>
      </c>
      <c r="E454" t="s">
        <v>1009</v>
      </c>
      <c r="F454" t="s">
        <v>1462</v>
      </c>
      <c r="G454">
        <v>7.04</v>
      </c>
      <c r="H454">
        <v>578.3</v>
      </c>
      <c r="I454">
        <v>4290.82</v>
      </c>
      <c r="J454">
        <v>4750.26</v>
      </c>
      <c r="K454">
        <v>33987.59</v>
      </c>
      <c r="L454">
        <v>4253.91</v>
      </c>
      <c r="M454">
        <v>36986.66</v>
      </c>
      <c r="N454">
        <v>256</v>
      </c>
      <c r="O454">
        <v>1823.19</v>
      </c>
      <c r="P454" s="2">
        <f>(H454 + J454) - (L454 + N454)</f>
        <v>0</v>
      </c>
      <c r="Q454" s="2">
        <f>P454 * G454</f>
        <v>0</v>
      </c>
      <c r="R454">
        <v>542.2</v>
      </c>
      <c r="S454" s="2">
        <f>R454 * G454</f>
        <v>0</v>
      </c>
      <c r="T454" s="2">
        <f>(H454 + J454) - (L454 + N454) - R454</f>
        <v>0</v>
      </c>
      <c r="U454" s="2">
        <f>T454 * G454</f>
        <v>0</v>
      </c>
      <c r="V454" s="2">
        <f>I454 + K454 - S454</f>
        <v>0</v>
      </c>
      <c r="W454" s="2">
        <f>M454 - V454</f>
        <v>0</v>
      </c>
      <c r="X454" s="2">
        <f>IFERROR(W454 / M454 * 100, 0)</f>
        <v>0</v>
      </c>
    </row>
    <row r="455" spans="1:24">
      <c r="A455" t="s">
        <v>474</v>
      </c>
      <c r="B455" t="s">
        <v>512</v>
      </c>
      <c r="C455" t="s">
        <v>968</v>
      </c>
      <c r="D455" t="s">
        <v>1007</v>
      </c>
      <c r="E455" t="s">
        <v>1009</v>
      </c>
      <c r="F455" t="s">
        <v>1463</v>
      </c>
      <c r="G455">
        <v>7.5</v>
      </c>
      <c r="H455">
        <v>0</v>
      </c>
      <c r="I455">
        <v>0</v>
      </c>
      <c r="J455">
        <v>0</v>
      </c>
      <c r="K455">
        <v>0</v>
      </c>
      <c r="L455">
        <v>0.27</v>
      </c>
      <c r="M455">
        <v>2.17</v>
      </c>
      <c r="N455">
        <v>0</v>
      </c>
      <c r="O455">
        <v>0</v>
      </c>
      <c r="P455" s="2">
        <f>(H455 + J455) - (L455 + N455)</f>
        <v>0</v>
      </c>
      <c r="Q455" s="2">
        <f>P455 * G455</f>
        <v>0</v>
      </c>
      <c r="R455">
        <v>0</v>
      </c>
      <c r="S455" s="2">
        <f>R455 * G455</f>
        <v>0</v>
      </c>
      <c r="T455" s="2">
        <f>(H455 + J455) - (L455 + N455) - R455</f>
        <v>0</v>
      </c>
      <c r="U455" s="2">
        <f>T455 * G455</f>
        <v>0</v>
      </c>
      <c r="V455" s="2">
        <f>I455 + K455 - S455</f>
        <v>0</v>
      </c>
      <c r="W455" s="2">
        <f>M455 - V455</f>
        <v>0</v>
      </c>
      <c r="X455" s="2">
        <f>IFERROR(W455 / M455 * 100, 0)</f>
        <v>0</v>
      </c>
    </row>
    <row r="456" spans="1:24">
      <c r="A456" t="s">
        <v>475</v>
      </c>
      <c r="B456" t="s">
        <v>512</v>
      </c>
      <c r="C456" t="s">
        <v>969</v>
      </c>
      <c r="D456" t="s">
        <v>1008</v>
      </c>
      <c r="E456" t="s">
        <v>1009</v>
      </c>
      <c r="F456" t="s">
        <v>1464</v>
      </c>
      <c r="G456">
        <v>6</v>
      </c>
      <c r="H456">
        <v>0</v>
      </c>
      <c r="I456">
        <v>0</v>
      </c>
      <c r="J456">
        <v>0</v>
      </c>
      <c r="K456">
        <v>0</v>
      </c>
      <c r="L456">
        <v>2</v>
      </c>
      <c r="M456">
        <v>16</v>
      </c>
      <c r="N456">
        <v>0</v>
      </c>
      <c r="O456">
        <v>0</v>
      </c>
      <c r="P456" s="2">
        <f>(H456 + J456) - (L456 + N456)</f>
        <v>0</v>
      </c>
      <c r="Q456" s="2">
        <f>P456 * G456</f>
        <v>0</v>
      </c>
      <c r="R456">
        <v>0</v>
      </c>
      <c r="S456" s="2">
        <f>R456 * G456</f>
        <v>0</v>
      </c>
      <c r="T456" s="2">
        <f>(H456 + J456) - (L456 + N456) - R456</f>
        <v>0</v>
      </c>
      <c r="U456" s="2">
        <f>T456 * G456</f>
        <v>0</v>
      </c>
      <c r="V456" s="2">
        <f>I456 + K456 - S456</f>
        <v>0</v>
      </c>
      <c r="W456" s="2">
        <f>M456 - V456</f>
        <v>0</v>
      </c>
      <c r="X456" s="2">
        <f>IFERROR(W456 / M456 * 100, 0)</f>
        <v>0</v>
      </c>
    </row>
    <row r="457" spans="1:24">
      <c r="A457" t="s">
        <v>476</v>
      </c>
      <c r="B457" t="s">
        <v>512</v>
      </c>
      <c r="C457" t="s">
        <v>970</v>
      </c>
      <c r="D457" t="s">
        <v>1007</v>
      </c>
      <c r="E457" t="s">
        <v>1009</v>
      </c>
      <c r="F457" t="s">
        <v>1465</v>
      </c>
      <c r="G457">
        <v>10.62</v>
      </c>
      <c r="H457">
        <v>26.5</v>
      </c>
      <c r="I457">
        <v>278.85</v>
      </c>
      <c r="J457">
        <v>76.8</v>
      </c>
      <c r="K457">
        <v>823.16</v>
      </c>
      <c r="L457">
        <v>35.56</v>
      </c>
      <c r="M457">
        <v>444.57</v>
      </c>
      <c r="N457">
        <v>47</v>
      </c>
      <c r="O457">
        <v>503.81</v>
      </c>
      <c r="P457" s="2">
        <f>(H457 + J457) - (L457 + N457)</f>
        <v>0</v>
      </c>
      <c r="Q457" s="2">
        <f>P457 * G457</f>
        <v>0</v>
      </c>
      <c r="R457">
        <v>5</v>
      </c>
      <c r="S457" s="2">
        <f>R457 * G457</f>
        <v>0</v>
      </c>
      <c r="T457" s="2">
        <f>(H457 + J457) - (L457 + N457) - R457</f>
        <v>0</v>
      </c>
      <c r="U457" s="2">
        <f>T457 * G457</f>
        <v>0</v>
      </c>
      <c r="V457" s="2">
        <f>I457 + K457 - S457</f>
        <v>0</v>
      </c>
      <c r="W457" s="2">
        <f>M457 - V457</f>
        <v>0</v>
      </c>
      <c r="X457" s="2">
        <f>IFERROR(W457 / M457 * 100, 0)</f>
        <v>0</v>
      </c>
    </row>
    <row r="458" spans="1:24">
      <c r="A458" t="s">
        <v>477</v>
      </c>
      <c r="B458" t="s">
        <v>512</v>
      </c>
      <c r="C458" t="s">
        <v>971</v>
      </c>
      <c r="D458" t="s">
        <v>1007</v>
      </c>
      <c r="E458" t="s">
        <v>1009</v>
      </c>
      <c r="F458" t="s">
        <v>1466</v>
      </c>
      <c r="G458">
        <v>11</v>
      </c>
      <c r="H458">
        <v>3.6</v>
      </c>
      <c r="I458">
        <v>38.78</v>
      </c>
      <c r="J458">
        <v>68</v>
      </c>
      <c r="K458">
        <v>735</v>
      </c>
      <c r="L458">
        <v>56.78</v>
      </c>
      <c r="M458">
        <v>852.2</v>
      </c>
      <c r="N458">
        <v>10</v>
      </c>
      <c r="O458">
        <v>108.06</v>
      </c>
      <c r="P458" s="2">
        <f>(H458 + J458) - (L458 + N458)</f>
        <v>0</v>
      </c>
      <c r="Q458" s="2">
        <f>P458 * G458</f>
        <v>0</v>
      </c>
      <c r="R458">
        <v>3</v>
      </c>
      <c r="S458" s="2">
        <f>R458 * G458</f>
        <v>0</v>
      </c>
      <c r="T458" s="2">
        <f>(H458 + J458) - (L458 + N458) - R458</f>
        <v>0</v>
      </c>
      <c r="U458" s="2">
        <f>T458 * G458</f>
        <v>0</v>
      </c>
      <c r="V458" s="2">
        <f>I458 + K458 - S458</f>
        <v>0</v>
      </c>
      <c r="W458" s="2">
        <f>M458 - V458</f>
        <v>0</v>
      </c>
      <c r="X458" s="2">
        <f>IFERROR(W458 / M458 * 100, 0)</f>
        <v>0</v>
      </c>
    </row>
    <row r="459" spans="1:24">
      <c r="A459" t="s">
        <v>478</v>
      </c>
      <c r="B459" t="s">
        <v>512</v>
      </c>
      <c r="C459" t="s">
        <v>972</v>
      </c>
      <c r="D459" t="s">
        <v>1007</v>
      </c>
      <c r="E459" t="s">
        <v>1009</v>
      </c>
      <c r="F459" t="s">
        <v>1467</v>
      </c>
      <c r="G459">
        <v>4.5</v>
      </c>
      <c r="H459">
        <v>0</v>
      </c>
      <c r="I459">
        <v>0</v>
      </c>
      <c r="J459">
        <v>0</v>
      </c>
      <c r="K459">
        <v>0</v>
      </c>
      <c r="L459">
        <v>5.92</v>
      </c>
      <c r="M459">
        <v>38.5</v>
      </c>
      <c r="N459">
        <v>0</v>
      </c>
      <c r="O459">
        <v>0</v>
      </c>
      <c r="P459" s="2">
        <f>(H459 + J459) - (L459 + N459)</f>
        <v>0</v>
      </c>
      <c r="Q459" s="2">
        <f>P459 * G459</f>
        <v>0</v>
      </c>
      <c r="R459">
        <v>0</v>
      </c>
      <c r="S459" s="2">
        <f>R459 * G459</f>
        <v>0</v>
      </c>
      <c r="T459" s="2">
        <f>(H459 + J459) - (L459 + N459) - R459</f>
        <v>0</v>
      </c>
      <c r="U459" s="2">
        <f>T459 * G459</f>
        <v>0</v>
      </c>
      <c r="V459" s="2">
        <f>I459 + K459 - S459</f>
        <v>0</v>
      </c>
      <c r="W459" s="2">
        <f>M459 - V459</f>
        <v>0</v>
      </c>
      <c r="X459" s="2">
        <f>IFERROR(W459 / M459 * 100, 0)</f>
        <v>0</v>
      </c>
    </row>
    <row r="460" spans="1:24">
      <c r="A460" t="s">
        <v>479</v>
      </c>
      <c r="B460" t="s">
        <v>512</v>
      </c>
      <c r="C460" t="s">
        <v>973</v>
      </c>
      <c r="D460" t="s">
        <v>1007</v>
      </c>
      <c r="E460" t="s">
        <v>1009</v>
      </c>
      <c r="F460" t="s">
        <v>1468</v>
      </c>
      <c r="G460">
        <v>7</v>
      </c>
      <c r="H460">
        <v>0</v>
      </c>
      <c r="I460">
        <v>0</v>
      </c>
      <c r="J460">
        <v>0</v>
      </c>
      <c r="K460">
        <v>0</v>
      </c>
      <c r="L460">
        <v>0.79</v>
      </c>
      <c r="M460">
        <v>9.890000000000001</v>
      </c>
      <c r="N460">
        <v>0</v>
      </c>
      <c r="O460">
        <v>0</v>
      </c>
      <c r="P460" s="2">
        <f>(H460 + J460) - (L460 + N460)</f>
        <v>0</v>
      </c>
      <c r="Q460" s="2">
        <f>P460 * G460</f>
        <v>0</v>
      </c>
      <c r="R460">
        <v>0</v>
      </c>
      <c r="S460" s="2">
        <f>R460 * G460</f>
        <v>0</v>
      </c>
      <c r="T460" s="2">
        <f>(H460 + J460) - (L460 + N460) - R460</f>
        <v>0</v>
      </c>
      <c r="U460" s="2">
        <f>T460 * G460</f>
        <v>0</v>
      </c>
      <c r="V460" s="2">
        <f>I460 + K460 - S460</f>
        <v>0</v>
      </c>
      <c r="W460" s="2">
        <f>M460 - V460</f>
        <v>0</v>
      </c>
      <c r="X460" s="2">
        <f>IFERROR(W460 / M460 * 100, 0)</f>
        <v>0</v>
      </c>
    </row>
    <row r="461" spans="1:24">
      <c r="A461" t="s">
        <v>479</v>
      </c>
      <c r="B461" t="s">
        <v>513</v>
      </c>
      <c r="C461" t="s">
        <v>974</v>
      </c>
      <c r="D461" t="s">
        <v>1007</v>
      </c>
      <c r="E461" t="s">
        <v>1009</v>
      </c>
      <c r="F461" t="s">
        <v>1469</v>
      </c>
      <c r="G461">
        <v>11.7</v>
      </c>
      <c r="H461">
        <v>127.5</v>
      </c>
      <c r="I461">
        <v>1436.73</v>
      </c>
      <c r="J461">
        <v>552</v>
      </c>
      <c r="K461">
        <v>5508.72</v>
      </c>
      <c r="L461">
        <v>630.48</v>
      </c>
      <c r="M461">
        <v>8826.719999999999</v>
      </c>
      <c r="N461">
        <v>36</v>
      </c>
      <c r="O461">
        <v>402.07</v>
      </c>
      <c r="P461" s="2">
        <f>(H461 + J461) - (L461 + N461)</f>
        <v>0</v>
      </c>
      <c r="Q461" s="2">
        <f>P461 * G461</f>
        <v>0</v>
      </c>
      <c r="R461">
        <v>2</v>
      </c>
      <c r="S461" s="2">
        <f>R461 * G461</f>
        <v>0</v>
      </c>
      <c r="T461" s="2">
        <f>(H461 + J461) - (L461 + N461) - R461</f>
        <v>0</v>
      </c>
      <c r="U461" s="2">
        <f>T461 * G461</f>
        <v>0</v>
      </c>
      <c r="V461" s="2">
        <f>I461 + K461 - S461</f>
        <v>0</v>
      </c>
      <c r="W461" s="2">
        <f>M461 - V461</f>
        <v>0</v>
      </c>
      <c r="X461" s="2">
        <f>IFERROR(W461 / M461 * 100, 0)</f>
        <v>0</v>
      </c>
    </row>
    <row r="462" spans="1:24">
      <c r="A462" t="s">
        <v>480</v>
      </c>
      <c r="B462" t="s">
        <v>512</v>
      </c>
      <c r="C462" t="s">
        <v>975</v>
      </c>
      <c r="D462" t="s">
        <v>1007</v>
      </c>
      <c r="E462" t="s">
        <v>1009</v>
      </c>
      <c r="F462" t="s">
        <v>1470</v>
      </c>
      <c r="G462">
        <v>2.78</v>
      </c>
      <c r="H462">
        <v>0</v>
      </c>
      <c r="I462">
        <v>0</v>
      </c>
      <c r="J462">
        <v>180</v>
      </c>
      <c r="K462">
        <v>500</v>
      </c>
      <c r="L462">
        <v>55.4</v>
      </c>
      <c r="M462">
        <v>317.41</v>
      </c>
      <c r="N462">
        <v>25</v>
      </c>
      <c r="O462">
        <v>69.44</v>
      </c>
      <c r="P462" s="2">
        <f>(H462 + J462) - (L462 + N462)</f>
        <v>0</v>
      </c>
      <c r="Q462" s="2">
        <f>P462 * G462</f>
        <v>0</v>
      </c>
      <c r="R462">
        <v>18</v>
      </c>
      <c r="S462" s="2">
        <f>R462 * G462</f>
        <v>0</v>
      </c>
      <c r="T462" s="2">
        <f>(H462 + J462) - (L462 + N462) - R462</f>
        <v>0</v>
      </c>
      <c r="U462" s="2">
        <f>T462 * G462</f>
        <v>0</v>
      </c>
      <c r="V462" s="2">
        <f>I462 + K462 - S462</f>
        <v>0</v>
      </c>
      <c r="W462" s="2">
        <f>M462 - V462</f>
        <v>0</v>
      </c>
      <c r="X462" s="2">
        <f>IFERROR(W462 / M462 * 100, 0)</f>
        <v>0</v>
      </c>
    </row>
    <row r="463" spans="1:24">
      <c r="A463" t="s">
        <v>481</v>
      </c>
      <c r="B463" t="s">
        <v>512</v>
      </c>
      <c r="C463" t="s">
        <v>976</v>
      </c>
      <c r="D463" t="s">
        <v>1008</v>
      </c>
      <c r="E463" t="s">
        <v>1009</v>
      </c>
      <c r="F463" t="s">
        <v>1471</v>
      </c>
      <c r="G463">
        <v>18.5</v>
      </c>
      <c r="H463">
        <v>0</v>
      </c>
      <c r="I463">
        <v>0</v>
      </c>
      <c r="J463">
        <v>0</v>
      </c>
      <c r="K463">
        <v>0</v>
      </c>
      <c r="L463">
        <v>3</v>
      </c>
      <c r="M463">
        <v>60</v>
      </c>
      <c r="N463">
        <v>0</v>
      </c>
      <c r="O463">
        <v>0</v>
      </c>
      <c r="P463" s="2">
        <f>(H463 + J463) - (L463 + N463)</f>
        <v>0</v>
      </c>
      <c r="Q463" s="2">
        <f>P463 * G463</f>
        <v>0</v>
      </c>
      <c r="R463">
        <v>0</v>
      </c>
      <c r="S463" s="2">
        <f>R463 * G463</f>
        <v>0</v>
      </c>
      <c r="T463" s="2">
        <f>(H463 + J463) - (L463 + N463) - R463</f>
        <v>0</v>
      </c>
      <c r="U463" s="2">
        <f>T463 * G463</f>
        <v>0</v>
      </c>
      <c r="V463" s="2">
        <f>I463 + K463 - S463</f>
        <v>0</v>
      </c>
      <c r="W463" s="2">
        <f>M463 - V463</f>
        <v>0</v>
      </c>
      <c r="X463" s="2">
        <f>IFERROR(W463 / M463 * 100, 0)</f>
        <v>0</v>
      </c>
    </row>
    <row r="464" spans="1:24">
      <c r="A464" t="s">
        <v>482</v>
      </c>
      <c r="B464" t="s">
        <v>512</v>
      </c>
      <c r="C464" t="s">
        <v>977</v>
      </c>
      <c r="D464" t="s">
        <v>1007</v>
      </c>
      <c r="E464" t="s">
        <v>1009</v>
      </c>
      <c r="F464" t="s">
        <v>1472</v>
      </c>
      <c r="G464">
        <v>27.45</v>
      </c>
      <c r="H464">
        <v>0</v>
      </c>
      <c r="I464">
        <v>0</v>
      </c>
      <c r="J464">
        <v>0</v>
      </c>
      <c r="K464">
        <v>0</v>
      </c>
      <c r="L464">
        <v>0.34</v>
      </c>
      <c r="M464">
        <v>1.35</v>
      </c>
      <c r="N464">
        <v>0</v>
      </c>
      <c r="O464">
        <v>0</v>
      </c>
      <c r="P464" s="2">
        <f>(H464 + J464) - (L464 + N464)</f>
        <v>0</v>
      </c>
      <c r="Q464" s="2">
        <f>P464 * G464</f>
        <v>0</v>
      </c>
      <c r="R464">
        <v>0</v>
      </c>
      <c r="S464" s="2">
        <f>R464 * G464</f>
        <v>0</v>
      </c>
      <c r="T464" s="2">
        <f>(H464 + J464) - (L464 + N464) - R464</f>
        <v>0</v>
      </c>
      <c r="U464" s="2">
        <f>T464 * G464</f>
        <v>0</v>
      </c>
      <c r="V464" s="2">
        <f>I464 + K464 - S464</f>
        <v>0</v>
      </c>
      <c r="W464" s="2">
        <f>M464 - V464</f>
        <v>0</v>
      </c>
      <c r="X464" s="2">
        <f>IFERROR(W464 / M464 * 100, 0)</f>
        <v>0</v>
      </c>
    </row>
    <row r="465" spans="1:24">
      <c r="A465" t="s">
        <v>483</v>
      </c>
      <c r="B465" t="s">
        <v>512</v>
      </c>
      <c r="C465" t="s">
        <v>978</v>
      </c>
      <c r="D465" t="s">
        <v>1008</v>
      </c>
      <c r="E465" t="s">
        <v>1009</v>
      </c>
      <c r="F465" t="s">
        <v>1473</v>
      </c>
      <c r="G465">
        <v>13</v>
      </c>
      <c r="H465">
        <v>0</v>
      </c>
      <c r="I465">
        <v>0</v>
      </c>
      <c r="J465">
        <v>24</v>
      </c>
      <c r="K465">
        <v>312</v>
      </c>
      <c r="L465">
        <v>0</v>
      </c>
      <c r="M465">
        <v>0</v>
      </c>
      <c r="N465">
        <v>0</v>
      </c>
      <c r="O465">
        <v>0</v>
      </c>
      <c r="P465" s="2">
        <f>(H465 + J465) - (L465 + N465)</f>
        <v>0</v>
      </c>
      <c r="Q465" s="2">
        <f>P465 * G465</f>
        <v>0</v>
      </c>
      <c r="R465">
        <v>0</v>
      </c>
      <c r="S465" s="2">
        <f>R465 * G465</f>
        <v>0</v>
      </c>
      <c r="T465" s="2">
        <f>(H465 + J465) - (L465 + N465) - R465</f>
        <v>0</v>
      </c>
      <c r="U465" s="2">
        <f>T465 * G465</f>
        <v>0</v>
      </c>
      <c r="V465" s="2">
        <f>I465 + K465 - S465</f>
        <v>0</v>
      </c>
      <c r="W465" s="2">
        <f>M465 - V465</f>
        <v>0</v>
      </c>
      <c r="X465" s="2">
        <f>IFERROR(W465 / M465 * 100, 0)</f>
        <v>0</v>
      </c>
    </row>
    <row r="466" spans="1:24">
      <c r="A466" t="s">
        <v>484</v>
      </c>
      <c r="B466" t="s">
        <v>512</v>
      </c>
      <c r="C466" t="s">
        <v>979</v>
      </c>
      <c r="D466" t="s">
        <v>1008</v>
      </c>
      <c r="E466" t="s">
        <v>1009</v>
      </c>
      <c r="F466" t="s">
        <v>1474</v>
      </c>
      <c r="G466">
        <v>12</v>
      </c>
      <c r="H466">
        <v>0</v>
      </c>
      <c r="I466">
        <v>0</v>
      </c>
      <c r="J466">
        <v>12</v>
      </c>
      <c r="K466">
        <v>144</v>
      </c>
      <c r="L466">
        <v>10</v>
      </c>
      <c r="M466">
        <v>130</v>
      </c>
      <c r="N466">
        <v>0</v>
      </c>
      <c r="O466">
        <v>0</v>
      </c>
      <c r="P466" s="2">
        <f>(H466 + J466) - (L466 + N466)</f>
        <v>0</v>
      </c>
      <c r="Q466" s="2">
        <f>P466 * G466</f>
        <v>0</v>
      </c>
      <c r="R466">
        <v>0</v>
      </c>
      <c r="S466" s="2">
        <f>R466 * G466</f>
        <v>0</v>
      </c>
      <c r="T466" s="2">
        <f>(H466 + J466) - (L466 + N466) - R466</f>
        <v>0</v>
      </c>
      <c r="U466" s="2">
        <f>T466 * G466</f>
        <v>0</v>
      </c>
      <c r="V466" s="2">
        <f>I466 + K466 - S466</f>
        <v>0</v>
      </c>
      <c r="W466" s="2">
        <f>M466 - V466</f>
        <v>0</v>
      </c>
      <c r="X466" s="2">
        <f>IFERROR(W466 / M466 * 100, 0)</f>
        <v>0</v>
      </c>
    </row>
    <row r="467" spans="1:24">
      <c r="A467" t="s">
        <v>485</v>
      </c>
      <c r="B467" t="s">
        <v>512</v>
      </c>
      <c r="C467" t="s">
        <v>980</v>
      </c>
      <c r="D467" t="s">
        <v>1007</v>
      </c>
      <c r="E467" t="s">
        <v>1009</v>
      </c>
      <c r="F467" t="s">
        <v>1475</v>
      </c>
      <c r="G467">
        <v>4.36</v>
      </c>
      <c r="H467">
        <v>0</v>
      </c>
      <c r="I467">
        <v>0</v>
      </c>
      <c r="J467">
        <v>218.5</v>
      </c>
      <c r="K467">
        <v>1070.5</v>
      </c>
      <c r="L467">
        <v>141.61</v>
      </c>
      <c r="M467">
        <v>1274.5</v>
      </c>
      <c r="N467">
        <v>16</v>
      </c>
      <c r="O467">
        <v>69.70999999999999</v>
      </c>
      <c r="P467" s="2">
        <f>(H467 + J467) - (L467 + N467)</f>
        <v>0</v>
      </c>
      <c r="Q467" s="2">
        <f>P467 * G467</f>
        <v>0</v>
      </c>
      <c r="R467">
        <v>38</v>
      </c>
      <c r="S467" s="2">
        <f>R467 * G467</f>
        <v>0</v>
      </c>
      <c r="T467" s="2">
        <f>(H467 + J467) - (L467 + N467) - R467</f>
        <v>0</v>
      </c>
      <c r="U467" s="2">
        <f>T467 * G467</f>
        <v>0</v>
      </c>
      <c r="V467" s="2">
        <f>I467 + K467 - S467</f>
        <v>0</v>
      </c>
      <c r="W467" s="2">
        <f>M467 - V467</f>
        <v>0</v>
      </c>
      <c r="X467" s="2">
        <f>IFERROR(W467 / M467 * 100, 0)</f>
        <v>0</v>
      </c>
    </row>
    <row r="468" spans="1:24">
      <c r="A468" t="s">
        <v>486</v>
      </c>
      <c r="B468" t="s">
        <v>512</v>
      </c>
      <c r="C468" t="s">
        <v>981</v>
      </c>
      <c r="D468" t="s">
        <v>1007</v>
      </c>
      <c r="E468" t="s">
        <v>1009</v>
      </c>
      <c r="F468" t="s">
        <v>1476</v>
      </c>
      <c r="G468">
        <v>22.18</v>
      </c>
      <c r="H468">
        <v>0</v>
      </c>
      <c r="I468">
        <v>0</v>
      </c>
      <c r="J468">
        <v>0</v>
      </c>
      <c r="K468">
        <v>0</v>
      </c>
      <c r="L468">
        <v>0.08</v>
      </c>
      <c r="M468">
        <v>0.39</v>
      </c>
      <c r="N468">
        <v>0</v>
      </c>
      <c r="O468">
        <v>0</v>
      </c>
      <c r="P468" s="2">
        <f>(H468 + J468) - (L468 + N468)</f>
        <v>0</v>
      </c>
      <c r="Q468" s="2">
        <f>P468 * G468</f>
        <v>0</v>
      </c>
      <c r="R468">
        <v>0</v>
      </c>
      <c r="S468" s="2">
        <f>R468 * G468</f>
        <v>0</v>
      </c>
      <c r="T468" s="2">
        <f>(H468 + J468) - (L468 + N468) - R468</f>
        <v>0</v>
      </c>
      <c r="U468" s="2">
        <f>T468 * G468</f>
        <v>0</v>
      </c>
      <c r="V468" s="2">
        <f>I468 + K468 - S468</f>
        <v>0</v>
      </c>
      <c r="W468" s="2">
        <f>M468 - V468</f>
        <v>0</v>
      </c>
      <c r="X468" s="2">
        <f>IFERROR(W468 / M468 * 100, 0)</f>
        <v>0</v>
      </c>
    </row>
    <row r="469" spans="1:24">
      <c r="A469" t="s">
        <v>487</v>
      </c>
      <c r="B469" t="s">
        <v>512</v>
      </c>
      <c r="C469" t="s">
        <v>982</v>
      </c>
      <c r="D469" t="s">
        <v>1008</v>
      </c>
      <c r="E469" t="s">
        <v>1009</v>
      </c>
      <c r="F469" t="s">
        <v>1477</v>
      </c>
      <c r="G469">
        <v>10.1</v>
      </c>
      <c r="H469">
        <v>41</v>
      </c>
      <c r="I469">
        <v>377.79</v>
      </c>
      <c r="J469">
        <v>96</v>
      </c>
      <c r="K469">
        <v>890.4</v>
      </c>
      <c r="L469">
        <v>31</v>
      </c>
      <c r="M469">
        <v>387.5</v>
      </c>
      <c r="N469">
        <v>4</v>
      </c>
      <c r="O469">
        <v>36.16</v>
      </c>
      <c r="P469" s="2">
        <f>(H469 + J469) - (L469 + N469)</f>
        <v>0</v>
      </c>
      <c r="Q469" s="2">
        <f>P469 * G469</f>
        <v>0</v>
      </c>
      <c r="R469">
        <v>11</v>
      </c>
      <c r="S469" s="2">
        <f>R469 * G469</f>
        <v>0</v>
      </c>
      <c r="T469" s="2">
        <f>(H469 + J469) - (L469 + N469) - R469</f>
        <v>0</v>
      </c>
      <c r="U469" s="2">
        <f>T469 * G469</f>
        <v>0</v>
      </c>
      <c r="V469" s="2">
        <f>I469 + K469 - S469</f>
        <v>0</v>
      </c>
      <c r="W469" s="2">
        <f>M469 - V469</f>
        <v>0</v>
      </c>
      <c r="X469" s="2">
        <f>IFERROR(W469 / M469 * 100, 0)</f>
        <v>0</v>
      </c>
    </row>
    <row r="470" spans="1:24">
      <c r="A470" t="s">
        <v>488</v>
      </c>
      <c r="B470" t="s">
        <v>512</v>
      </c>
      <c r="C470" t="s">
        <v>983</v>
      </c>
      <c r="D470" t="s">
        <v>1007</v>
      </c>
      <c r="E470" t="s">
        <v>1009</v>
      </c>
      <c r="F470" t="s">
        <v>1478</v>
      </c>
      <c r="G470">
        <v>4.5</v>
      </c>
      <c r="H470">
        <v>16.2</v>
      </c>
      <c r="I470">
        <v>38.7</v>
      </c>
      <c r="J470">
        <v>10</v>
      </c>
      <c r="K470">
        <v>45</v>
      </c>
      <c r="L470">
        <v>14.32</v>
      </c>
      <c r="M470">
        <v>143.18</v>
      </c>
      <c r="N470">
        <v>0</v>
      </c>
      <c r="O470">
        <v>0</v>
      </c>
      <c r="P470" s="2">
        <f>(H470 + J470) - (L470 + N470)</f>
        <v>0</v>
      </c>
      <c r="Q470" s="2">
        <f>P470 * G470</f>
        <v>0</v>
      </c>
      <c r="R470">
        <v>0</v>
      </c>
      <c r="S470" s="2">
        <f>R470 * G470</f>
        <v>0</v>
      </c>
      <c r="T470" s="2">
        <f>(H470 + J470) - (L470 + N470) - R470</f>
        <v>0</v>
      </c>
      <c r="U470" s="2">
        <f>T470 * G470</f>
        <v>0</v>
      </c>
      <c r="V470" s="2">
        <f>I470 + K470 - S470</f>
        <v>0</v>
      </c>
      <c r="W470" s="2">
        <f>M470 - V470</f>
        <v>0</v>
      </c>
      <c r="X470" s="2">
        <f>IFERROR(W470 / M470 * 100, 0)</f>
        <v>0</v>
      </c>
    </row>
    <row r="471" spans="1:24">
      <c r="A471" t="s">
        <v>489</v>
      </c>
      <c r="B471" t="s">
        <v>512</v>
      </c>
      <c r="C471" t="s">
        <v>984</v>
      </c>
      <c r="D471" t="s">
        <v>1007</v>
      </c>
      <c r="E471" t="s">
        <v>1009</v>
      </c>
      <c r="F471" t="s">
        <v>1479</v>
      </c>
      <c r="G471">
        <v>7.68</v>
      </c>
      <c r="H471">
        <v>0</v>
      </c>
      <c r="I471">
        <v>0</v>
      </c>
      <c r="J471">
        <v>574</v>
      </c>
      <c r="K471">
        <v>4578.5</v>
      </c>
      <c r="L471">
        <v>64.40000000000001</v>
      </c>
      <c r="M471">
        <v>1127.16</v>
      </c>
      <c r="N471">
        <v>6</v>
      </c>
      <c r="O471">
        <v>46.06</v>
      </c>
      <c r="P471" s="2">
        <f>(H471 + J471) - (L471 + N471)</f>
        <v>0</v>
      </c>
      <c r="Q471" s="2">
        <f>P471 * G471</f>
        <v>0</v>
      </c>
      <c r="R471">
        <v>26.6</v>
      </c>
      <c r="S471" s="2">
        <f>R471 * G471</f>
        <v>0</v>
      </c>
      <c r="T471" s="2">
        <f>(H471 + J471) - (L471 + N471) - R471</f>
        <v>0</v>
      </c>
      <c r="U471" s="2">
        <f>T471 * G471</f>
        <v>0</v>
      </c>
      <c r="V471" s="2">
        <f>I471 + K471 - S471</f>
        <v>0</v>
      </c>
      <c r="W471" s="2">
        <f>M471 - V471</f>
        <v>0</v>
      </c>
      <c r="X471" s="2">
        <f>IFERROR(W471 / M471 * 100, 0)</f>
        <v>0</v>
      </c>
    </row>
    <row r="472" spans="1:24">
      <c r="A472" t="s">
        <v>490</v>
      </c>
      <c r="B472" t="s">
        <v>512</v>
      </c>
      <c r="C472" t="s">
        <v>985</v>
      </c>
      <c r="D472" t="s">
        <v>1007</v>
      </c>
      <c r="E472" t="s">
        <v>1009</v>
      </c>
      <c r="F472" t="s">
        <v>1480</v>
      </c>
      <c r="G472">
        <v>12.95</v>
      </c>
      <c r="H472">
        <v>68.2</v>
      </c>
      <c r="I472">
        <v>785.14</v>
      </c>
      <c r="J472">
        <v>157</v>
      </c>
      <c r="K472">
        <v>2067.77</v>
      </c>
      <c r="L472">
        <v>143.45</v>
      </c>
      <c r="M472">
        <v>2367.08</v>
      </c>
      <c r="N472">
        <v>15</v>
      </c>
      <c r="O472">
        <v>188.06</v>
      </c>
      <c r="P472" s="2">
        <f>(H472 + J472) - (L472 + N472)</f>
        <v>0</v>
      </c>
      <c r="Q472" s="2">
        <f>P472 * G472</f>
        <v>0</v>
      </c>
      <c r="R472">
        <v>0</v>
      </c>
      <c r="S472" s="2">
        <f>R472 * G472</f>
        <v>0</v>
      </c>
      <c r="T472" s="2">
        <f>(H472 + J472) - (L472 + N472) - R472</f>
        <v>0</v>
      </c>
      <c r="U472" s="2">
        <f>T472 * G472</f>
        <v>0</v>
      </c>
      <c r="V472" s="2">
        <f>I472 + K472 - S472</f>
        <v>0</v>
      </c>
      <c r="W472" s="2">
        <f>M472 - V472</f>
        <v>0</v>
      </c>
      <c r="X472" s="2">
        <f>IFERROR(W472 / M472 * 100, 0)</f>
        <v>0</v>
      </c>
    </row>
    <row r="473" spans="1:24">
      <c r="A473" t="s">
        <v>491</v>
      </c>
      <c r="B473" t="s">
        <v>512</v>
      </c>
      <c r="C473" t="s">
        <v>986</v>
      </c>
      <c r="D473" t="s">
        <v>1007</v>
      </c>
      <c r="E473" t="s">
        <v>1009</v>
      </c>
      <c r="F473" t="s">
        <v>1481</v>
      </c>
      <c r="G473">
        <v>2.95</v>
      </c>
      <c r="H473">
        <v>33.8</v>
      </c>
      <c r="I473">
        <v>90.76000000000001</v>
      </c>
      <c r="J473">
        <v>296</v>
      </c>
      <c r="K473">
        <v>876</v>
      </c>
      <c r="L473">
        <v>319.43</v>
      </c>
      <c r="M473">
        <v>1277.45</v>
      </c>
      <c r="N473">
        <v>0</v>
      </c>
      <c r="O473">
        <v>0</v>
      </c>
      <c r="P473" s="2">
        <f>(H473 + J473) - (L473 + N473)</f>
        <v>0</v>
      </c>
      <c r="Q473" s="2">
        <f>P473 * G473</f>
        <v>0</v>
      </c>
      <c r="R473">
        <v>38.6</v>
      </c>
      <c r="S473" s="2">
        <f>R473 * G473</f>
        <v>0</v>
      </c>
      <c r="T473" s="2">
        <f>(H473 + J473) - (L473 + N473) - R473</f>
        <v>0</v>
      </c>
      <c r="U473" s="2">
        <f>T473 * G473</f>
        <v>0</v>
      </c>
      <c r="V473" s="2">
        <f>I473 + K473 - S473</f>
        <v>0</v>
      </c>
      <c r="W473" s="2">
        <f>M473 - V473</f>
        <v>0</v>
      </c>
      <c r="X473" s="2">
        <f>IFERROR(W473 / M473 * 100, 0)</f>
        <v>0</v>
      </c>
    </row>
    <row r="474" spans="1:24">
      <c r="A474" t="s">
        <v>492</v>
      </c>
      <c r="B474" t="s">
        <v>512</v>
      </c>
      <c r="C474" t="s">
        <v>987</v>
      </c>
      <c r="D474" t="s">
        <v>1007</v>
      </c>
      <c r="E474" t="s">
        <v>1009</v>
      </c>
      <c r="F474" t="s">
        <v>1482</v>
      </c>
      <c r="G474">
        <v>11</v>
      </c>
      <c r="H474">
        <v>3.2</v>
      </c>
      <c r="I474">
        <v>35.17</v>
      </c>
      <c r="J474">
        <v>50.7</v>
      </c>
      <c r="K474">
        <v>550</v>
      </c>
      <c r="L474">
        <v>55.78</v>
      </c>
      <c r="M474">
        <v>837.3099999999999</v>
      </c>
      <c r="N474">
        <v>0</v>
      </c>
      <c r="O474">
        <v>0</v>
      </c>
      <c r="P474" s="2">
        <f>(H474 + J474) - (L474 + N474)</f>
        <v>0</v>
      </c>
      <c r="Q474" s="2">
        <f>P474 * G474</f>
        <v>0</v>
      </c>
      <c r="R474">
        <v>1.2</v>
      </c>
      <c r="S474" s="2">
        <f>R474 * G474</f>
        <v>0</v>
      </c>
      <c r="T474" s="2">
        <f>(H474 + J474) - (L474 + N474) - R474</f>
        <v>0</v>
      </c>
      <c r="U474" s="2">
        <f>T474 * G474</f>
        <v>0</v>
      </c>
      <c r="V474" s="2">
        <f>I474 + K474 - S474</f>
        <v>0</v>
      </c>
      <c r="W474" s="2">
        <f>M474 - V474</f>
        <v>0</v>
      </c>
      <c r="X474" s="2">
        <f>IFERROR(W474 / M474 * 100, 0)</f>
        <v>0</v>
      </c>
    </row>
    <row r="475" spans="1:24">
      <c r="A475" t="s">
        <v>493</v>
      </c>
      <c r="B475" t="s">
        <v>512</v>
      </c>
      <c r="C475" t="s">
        <v>988</v>
      </c>
      <c r="D475" t="s">
        <v>1007</v>
      </c>
      <c r="E475" t="s">
        <v>1009</v>
      </c>
      <c r="F475" t="s">
        <v>1483</v>
      </c>
      <c r="G475">
        <v>4.48</v>
      </c>
      <c r="H475">
        <v>0</v>
      </c>
      <c r="I475">
        <v>0</v>
      </c>
      <c r="J475">
        <v>0</v>
      </c>
      <c r="K475">
        <v>0</v>
      </c>
      <c r="L475">
        <v>0.23</v>
      </c>
      <c r="M475">
        <v>1.25</v>
      </c>
      <c r="N475">
        <v>0</v>
      </c>
      <c r="O475">
        <v>0</v>
      </c>
      <c r="P475" s="2">
        <f>(H475 + J475) - (L475 + N475)</f>
        <v>0</v>
      </c>
      <c r="Q475" s="2">
        <f>P475 * G475</f>
        <v>0</v>
      </c>
      <c r="R475">
        <v>0</v>
      </c>
      <c r="S475" s="2">
        <f>R475 * G475</f>
        <v>0</v>
      </c>
      <c r="T475" s="2">
        <f>(H475 + J475) - (L475 + N475) - R475</f>
        <v>0</v>
      </c>
      <c r="U475" s="2">
        <f>T475 * G475</f>
        <v>0</v>
      </c>
      <c r="V475" s="2">
        <f>I475 + K475 - S475</f>
        <v>0</v>
      </c>
      <c r="W475" s="2">
        <f>M475 - V475</f>
        <v>0</v>
      </c>
      <c r="X475" s="2">
        <f>IFERROR(W475 / M475 * 100, 0)</f>
        <v>0</v>
      </c>
    </row>
    <row r="476" spans="1:24">
      <c r="A476" t="s">
        <v>494</v>
      </c>
      <c r="B476" t="s">
        <v>512</v>
      </c>
      <c r="C476" t="s">
        <v>989</v>
      </c>
      <c r="D476" t="s">
        <v>1007</v>
      </c>
      <c r="E476" t="s">
        <v>1009</v>
      </c>
      <c r="F476" t="s">
        <v>1484</v>
      </c>
      <c r="G476">
        <v>4</v>
      </c>
      <c r="H476">
        <v>56.7</v>
      </c>
      <c r="I476">
        <v>221.8</v>
      </c>
      <c r="J476">
        <v>354.5</v>
      </c>
      <c r="K476">
        <v>1382</v>
      </c>
      <c r="L476">
        <v>380.31</v>
      </c>
      <c r="M476">
        <v>1901.53</v>
      </c>
      <c r="N476">
        <v>0</v>
      </c>
      <c r="O476">
        <v>0</v>
      </c>
      <c r="P476" s="2">
        <f>(H476 + J476) - (L476 + N476)</f>
        <v>0</v>
      </c>
      <c r="Q476" s="2">
        <f>P476 * G476</f>
        <v>0</v>
      </c>
      <c r="R476">
        <v>26.3</v>
      </c>
      <c r="S476" s="2">
        <f>R476 * G476</f>
        <v>0</v>
      </c>
      <c r="T476" s="2">
        <f>(H476 + J476) - (L476 + N476) - R476</f>
        <v>0</v>
      </c>
      <c r="U476" s="2">
        <f>T476 * G476</f>
        <v>0</v>
      </c>
      <c r="V476" s="2">
        <f>I476 + K476 - S476</f>
        <v>0</v>
      </c>
      <c r="W476" s="2">
        <f>M476 - V476</f>
        <v>0</v>
      </c>
      <c r="X476" s="2">
        <f>IFERROR(W476 / M476 * 100, 0)</f>
        <v>0</v>
      </c>
    </row>
    <row r="477" spans="1:24">
      <c r="A477" t="s">
        <v>495</v>
      </c>
      <c r="B477" t="s">
        <v>512</v>
      </c>
      <c r="C477" t="s">
        <v>990</v>
      </c>
      <c r="D477" t="s">
        <v>1007</v>
      </c>
      <c r="E477" t="s">
        <v>1009</v>
      </c>
      <c r="F477" t="s">
        <v>1485</v>
      </c>
      <c r="G477">
        <v>3.5</v>
      </c>
      <c r="H477">
        <v>0</v>
      </c>
      <c r="I477">
        <v>0</v>
      </c>
      <c r="J477">
        <v>12</v>
      </c>
      <c r="K477">
        <v>42</v>
      </c>
      <c r="L477">
        <v>0</v>
      </c>
      <c r="M477">
        <v>0</v>
      </c>
      <c r="N477">
        <v>0</v>
      </c>
      <c r="O477">
        <v>0</v>
      </c>
      <c r="P477" s="2">
        <f>(H477 + J477) - (L477 + N477)</f>
        <v>0</v>
      </c>
      <c r="Q477" s="2">
        <f>P477 * G477</f>
        <v>0</v>
      </c>
      <c r="R477">
        <v>0</v>
      </c>
      <c r="S477" s="2">
        <f>R477 * G477</f>
        <v>0</v>
      </c>
      <c r="T477" s="2">
        <f>(H477 + J477) - (L477 + N477) - R477</f>
        <v>0</v>
      </c>
      <c r="U477" s="2">
        <f>T477 * G477</f>
        <v>0</v>
      </c>
      <c r="V477" s="2">
        <f>I477 + K477 - S477</f>
        <v>0</v>
      </c>
      <c r="W477" s="2">
        <f>M477 - V477</f>
        <v>0</v>
      </c>
      <c r="X477" s="2">
        <f>IFERROR(W477 / M477 * 100, 0)</f>
        <v>0</v>
      </c>
    </row>
    <row r="478" spans="1:24">
      <c r="A478" t="s">
        <v>496</v>
      </c>
      <c r="B478" t="s">
        <v>512</v>
      </c>
      <c r="C478" t="s">
        <v>991</v>
      </c>
      <c r="D478" t="s">
        <v>1007</v>
      </c>
      <c r="E478" t="s">
        <v>1009</v>
      </c>
      <c r="F478" t="s">
        <v>1486</v>
      </c>
      <c r="G478">
        <v>6</v>
      </c>
      <c r="H478">
        <v>3.8</v>
      </c>
      <c r="I478">
        <v>22.8</v>
      </c>
      <c r="J478">
        <v>0</v>
      </c>
      <c r="K478">
        <v>0</v>
      </c>
      <c r="L478">
        <v>1.34</v>
      </c>
      <c r="M478">
        <v>5.35</v>
      </c>
      <c r="N478">
        <v>0</v>
      </c>
      <c r="O478">
        <v>0</v>
      </c>
      <c r="P478" s="2">
        <f>(H478 + J478) - (L478 + N478)</f>
        <v>0</v>
      </c>
      <c r="Q478" s="2">
        <f>P478 * G478</f>
        <v>0</v>
      </c>
      <c r="R478">
        <v>0</v>
      </c>
      <c r="S478" s="2">
        <f>R478 * G478</f>
        <v>0</v>
      </c>
      <c r="T478" s="2">
        <f>(H478 + J478) - (L478 + N478) - R478</f>
        <v>0</v>
      </c>
      <c r="U478" s="2">
        <f>T478 * G478</f>
        <v>0</v>
      </c>
      <c r="V478" s="2">
        <f>I478 + K478 - S478</f>
        <v>0</v>
      </c>
      <c r="W478" s="2">
        <f>M478 - V478</f>
        <v>0</v>
      </c>
      <c r="X478" s="2">
        <f>IFERROR(W478 / M478 * 100, 0)</f>
        <v>0</v>
      </c>
    </row>
    <row r="479" spans="1:24">
      <c r="A479" t="s">
        <v>497</v>
      </c>
      <c r="B479" t="s">
        <v>512</v>
      </c>
      <c r="C479" t="s">
        <v>992</v>
      </c>
      <c r="D479" t="s">
        <v>1007</v>
      </c>
      <c r="E479" t="s">
        <v>1009</v>
      </c>
      <c r="F479" t="s">
        <v>1487</v>
      </c>
      <c r="G479">
        <v>3.25</v>
      </c>
      <c r="H479">
        <v>124.3</v>
      </c>
      <c r="I479">
        <v>403.98</v>
      </c>
      <c r="J479">
        <v>0</v>
      </c>
      <c r="K479">
        <v>0</v>
      </c>
      <c r="L479">
        <v>0</v>
      </c>
      <c r="M479">
        <v>0</v>
      </c>
      <c r="N479">
        <v>5</v>
      </c>
      <c r="O479">
        <v>16.25</v>
      </c>
      <c r="P479" s="2">
        <f>(H479 + J479) - (L479 + N479)</f>
        <v>0</v>
      </c>
      <c r="Q479" s="2">
        <f>P479 * G479</f>
        <v>0</v>
      </c>
      <c r="R479">
        <v>0</v>
      </c>
      <c r="S479" s="2">
        <f>R479 * G479</f>
        <v>0</v>
      </c>
      <c r="T479" s="2">
        <f>(H479 + J479) - (L479 + N479) - R479</f>
        <v>0</v>
      </c>
      <c r="U479" s="2">
        <f>T479 * G479</f>
        <v>0</v>
      </c>
      <c r="V479" s="2">
        <f>I479 + K479 - S479</f>
        <v>0</v>
      </c>
      <c r="W479" s="2">
        <f>M479 - V479</f>
        <v>0</v>
      </c>
      <c r="X479" s="2">
        <f>IFERROR(W479 / M479 * 100, 0)</f>
        <v>0</v>
      </c>
    </row>
    <row r="480" spans="1:24">
      <c r="A480" t="s">
        <v>498</v>
      </c>
      <c r="B480" t="s">
        <v>512</v>
      </c>
      <c r="C480" t="s">
        <v>993</v>
      </c>
      <c r="D480" t="s">
        <v>1008</v>
      </c>
      <c r="E480" t="s">
        <v>1009</v>
      </c>
      <c r="F480" t="s">
        <v>1488</v>
      </c>
      <c r="G480">
        <v>25.48</v>
      </c>
      <c r="H480">
        <v>12</v>
      </c>
      <c r="I480">
        <v>288</v>
      </c>
      <c r="J480">
        <v>30</v>
      </c>
      <c r="K480">
        <v>770</v>
      </c>
      <c r="L480">
        <v>29</v>
      </c>
      <c r="M480">
        <v>820</v>
      </c>
      <c r="N480">
        <v>0</v>
      </c>
      <c r="O480">
        <v>0</v>
      </c>
      <c r="P480" s="2">
        <f>(H480 + J480) - (L480 + N480)</f>
        <v>0</v>
      </c>
      <c r="Q480" s="2">
        <f>P480 * G480</f>
        <v>0</v>
      </c>
      <c r="R480">
        <v>6</v>
      </c>
      <c r="S480" s="2">
        <f>R480 * G480</f>
        <v>0</v>
      </c>
      <c r="T480" s="2">
        <f>(H480 + J480) - (L480 + N480) - R480</f>
        <v>0</v>
      </c>
      <c r="U480" s="2">
        <f>T480 * G480</f>
        <v>0</v>
      </c>
      <c r="V480" s="2">
        <f>I480 + K480 - S480</f>
        <v>0</v>
      </c>
      <c r="W480" s="2">
        <f>M480 - V480</f>
        <v>0</v>
      </c>
      <c r="X480" s="2">
        <f>IFERROR(W480 / M480 * 100, 0)</f>
        <v>0</v>
      </c>
    </row>
    <row r="481" spans="1:24">
      <c r="A481" t="s">
        <v>499</v>
      </c>
      <c r="B481" t="s">
        <v>512</v>
      </c>
      <c r="C481" t="s">
        <v>994</v>
      </c>
      <c r="D481" t="s">
        <v>1008</v>
      </c>
      <c r="E481" t="s">
        <v>1009</v>
      </c>
      <c r="F481" t="s">
        <v>1489</v>
      </c>
      <c r="G481">
        <v>3.5</v>
      </c>
      <c r="H481">
        <v>0</v>
      </c>
      <c r="I481">
        <v>0</v>
      </c>
      <c r="J481">
        <v>3</v>
      </c>
      <c r="K481">
        <v>10.5</v>
      </c>
      <c r="L481">
        <v>1</v>
      </c>
      <c r="M481">
        <v>5.5</v>
      </c>
      <c r="N481">
        <v>0</v>
      </c>
      <c r="O481">
        <v>0</v>
      </c>
      <c r="P481" s="2">
        <f>(H481 + J481) - (L481 + N481)</f>
        <v>0</v>
      </c>
      <c r="Q481" s="2">
        <f>P481 * G481</f>
        <v>0</v>
      </c>
      <c r="R481">
        <v>0</v>
      </c>
      <c r="S481" s="2">
        <f>R481 * G481</f>
        <v>0</v>
      </c>
      <c r="T481" s="2">
        <f>(H481 + J481) - (L481 + N481) - R481</f>
        <v>0</v>
      </c>
      <c r="U481" s="2">
        <f>T481 * G481</f>
        <v>0</v>
      </c>
      <c r="V481" s="2">
        <f>I481 + K481 - S481</f>
        <v>0</v>
      </c>
      <c r="W481" s="2">
        <f>M481 - V481</f>
        <v>0</v>
      </c>
      <c r="X481" s="2">
        <f>IFERROR(W481 / M481 * 100, 0)</f>
        <v>0</v>
      </c>
    </row>
    <row r="482" spans="1:24">
      <c r="A482" t="s">
        <v>500</v>
      </c>
      <c r="B482" t="s">
        <v>512</v>
      </c>
      <c r="C482" t="s">
        <v>995</v>
      </c>
      <c r="D482" t="s">
        <v>1007</v>
      </c>
      <c r="E482" t="s">
        <v>1009</v>
      </c>
      <c r="F482" t="s">
        <v>1490</v>
      </c>
      <c r="G482">
        <v>7.08</v>
      </c>
      <c r="H482">
        <v>53.5</v>
      </c>
      <c r="I482">
        <v>347.27</v>
      </c>
      <c r="J482">
        <v>375.05</v>
      </c>
      <c r="K482">
        <v>2542.09</v>
      </c>
      <c r="L482">
        <v>252.88</v>
      </c>
      <c r="M482">
        <v>2212.62</v>
      </c>
      <c r="N482">
        <v>40</v>
      </c>
      <c r="O482">
        <v>265.77</v>
      </c>
      <c r="P482" s="2">
        <f>(H482 + J482) - (L482 + N482)</f>
        <v>0</v>
      </c>
      <c r="Q482" s="2">
        <f>P482 * G482</f>
        <v>0</v>
      </c>
      <c r="R482">
        <v>106.4</v>
      </c>
      <c r="S482" s="2">
        <f>R482 * G482</f>
        <v>0</v>
      </c>
      <c r="T482" s="2">
        <f>(H482 + J482) - (L482 + N482) - R482</f>
        <v>0</v>
      </c>
      <c r="U482" s="2">
        <f>T482 * G482</f>
        <v>0</v>
      </c>
      <c r="V482" s="2">
        <f>I482 + K482 - S482</f>
        <v>0</v>
      </c>
      <c r="W482" s="2">
        <f>M482 - V482</f>
        <v>0</v>
      </c>
      <c r="X482" s="2">
        <f>IFERROR(W482 / M482 * 100, 0)</f>
        <v>0</v>
      </c>
    </row>
    <row r="483" spans="1:24">
      <c r="A483" t="s">
        <v>501</v>
      </c>
      <c r="B483" t="s">
        <v>512</v>
      </c>
      <c r="C483" t="s">
        <v>996</v>
      </c>
      <c r="D483" t="s">
        <v>1007</v>
      </c>
      <c r="E483" t="s">
        <v>1009</v>
      </c>
      <c r="F483" t="s">
        <v>1491</v>
      </c>
      <c r="G483">
        <v>13.59</v>
      </c>
      <c r="H483">
        <v>0</v>
      </c>
      <c r="I483">
        <v>0</v>
      </c>
      <c r="J483">
        <v>0</v>
      </c>
      <c r="K483">
        <v>0</v>
      </c>
      <c r="L483">
        <v>0.36</v>
      </c>
      <c r="M483">
        <v>5.4</v>
      </c>
      <c r="N483">
        <v>0</v>
      </c>
      <c r="O483">
        <v>0</v>
      </c>
      <c r="P483" s="2">
        <f>(H483 + J483) - (L483 + N483)</f>
        <v>0</v>
      </c>
      <c r="Q483" s="2">
        <f>P483 * G483</f>
        <v>0</v>
      </c>
      <c r="R483">
        <v>0</v>
      </c>
      <c r="S483" s="2">
        <f>R483 * G483</f>
        <v>0</v>
      </c>
      <c r="T483" s="2">
        <f>(H483 + J483) - (L483 + N483) - R483</f>
        <v>0</v>
      </c>
      <c r="U483" s="2">
        <f>T483 * G483</f>
        <v>0</v>
      </c>
      <c r="V483" s="2">
        <f>I483 + K483 - S483</f>
        <v>0</v>
      </c>
      <c r="W483" s="2">
        <f>M483 - V483</f>
        <v>0</v>
      </c>
      <c r="X483" s="2">
        <f>IFERROR(W483 / M483 * 100, 0)</f>
        <v>0</v>
      </c>
    </row>
    <row r="484" spans="1:24">
      <c r="A484" t="s">
        <v>502</v>
      </c>
      <c r="B484" t="s">
        <v>512</v>
      </c>
      <c r="C484" t="s">
        <v>997</v>
      </c>
      <c r="D484" t="s">
        <v>1007</v>
      </c>
      <c r="E484" t="s">
        <v>1009</v>
      </c>
      <c r="F484" t="s">
        <v>1492</v>
      </c>
      <c r="G484">
        <v>10</v>
      </c>
      <c r="H484">
        <v>1.2</v>
      </c>
      <c r="I484">
        <v>12</v>
      </c>
      <c r="J484">
        <v>13</v>
      </c>
      <c r="K484">
        <v>130</v>
      </c>
      <c r="L484">
        <v>130.53</v>
      </c>
      <c r="M484">
        <v>1960.07</v>
      </c>
      <c r="N484">
        <v>0</v>
      </c>
      <c r="O484">
        <v>0</v>
      </c>
      <c r="P484" s="2">
        <f>(H484 + J484) - (L484 + N484)</f>
        <v>0</v>
      </c>
      <c r="Q484" s="2">
        <f>P484 * G484</f>
        <v>0</v>
      </c>
      <c r="R484">
        <v>0</v>
      </c>
      <c r="S484" s="2">
        <f>R484 * G484</f>
        <v>0</v>
      </c>
      <c r="T484" s="2">
        <f>(H484 + J484) - (L484 + N484) - R484</f>
        <v>0</v>
      </c>
      <c r="U484" s="2">
        <f>T484 * G484</f>
        <v>0</v>
      </c>
      <c r="V484" s="2">
        <f>I484 + K484 - S484</f>
        <v>0</v>
      </c>
      <c r="W484" s="2">
        <f>M484 - V484</f>
        <v>0</v>
      </c>
      <c r="X484" s="2">
        <f>IFERROR(W484 / M484 * 100, 0)</f>
        <v>0</v>
      </c>
    </row>
    <row r="485" spans="1:24">
      <c r="A485" t="s">
        <v>503</v>
      </c>
      <c r="B485" t="s">
        <v>512</v>
      </c>
      <c r="C485" t="s">
        <v>998</v>
      </c>
      <c r="D485" t="s">
        <v>1007</v>
      </c>
      <c r="E485" t="s">
        <v>1009</v>
      </c>
      <c r="F485" t="s">
        <v>1493</v>
      </c>
      <c r="G485">
        <v>3</v>
      </c>
      <c r="H485">
        <v>0</v>
      </c>
      <c r="I485">
        <v>0</v>
      </c>
      <c r="J485">
        <v>0</v>
      </c>
      <c r="K485">
        <v>0</v>
      </c>
      <c r="L485">
        <v>0.33</v>
      </c>
      <c r="M485">
        <v>1.8</v>
      </c>
      <c r="N485">
        <v>0</v>
      </c>
      <c r="O485">
        <v>0</v>
      </c>
      <c r="P485" s="2">
        <f>(H485 + J485) - (L485 + N485)</f>
        <v>0</v>
      </c>
      <c r="Q485" s="2">
        <f>P485 * G485</f>
        <v>0</v>
      </c>
      <c r="R485">
        <v>0</v>
      </c>
      <c r="S485" s="2">
        <f>R485 * G485</f>
        <v>0</v>
      </c>
      <c r="T485" s="2">
        <f>(H485 + J485) - (L485 + N485) - R485</f>
        <v>0</v>
      </c>
      <c r="U485" s="2">
        <f>T485 * G485</f>
        <v>0</v>
      </c>
      <c r="V485" s="2">
        <f>I485 + K485 - S485</f>
        <v>0</v>
      </c>
      <c r="W485" s="2">
        <f>M485 - V485</f>
        <v>0</v>
      </c>
      <c r="X485" s="2">
        <f>IFERROR(W485 / M485 * 100, 0)</f>
        <v>0</v>
      </c>
    </row>
    <row r="486" spans="1:24">
      <c r="A486" t="s">
        <v>504</v>
      </c>
      <c r="B486" t="s">
        <v>512</v>
      </c>
      <c r="C486" t="s">
        <v>999</v>
      </c>
      <c r="D486" t="s">
        <v>1007</v>
      </c>
      <c r="E486" t="s">
        <v>1009</v>
      </c>
      <c r="F486" t="s">
        <v>1494</v>
      </c>
      <c r="G486">
        <v>7.48</v>
      </c>
      <c r="H486">
        <v>0</v>
      </c>
      <c r="I486">
        <v>0</v>
      </c>
      <c r="J486">
        <v>0</v>
      </c>
      <c r="K486">
        <v>0</v>
      </c>
      <c r="L486">
        <v>73.51000000000001</v>
      </c>
      <c r="M486">
        <v>992.46</v>
      </c>
      <c r="N486">
        <v>0</v>
      </c>
      <c r="O486">
        <v>0</v>
      </c>
      <c r="P486" s="2">
        <f>(H486 + J486) - (L486 + N486)</f>
        <v>0</v>
      </c>
      <c r="Q486" s="2">
        <f>P486 * G486</f>
        <v>0</v>
      </c>
      <c r="R486">
        <v>0</v>
      </c>
      <c r="S486" s="2">
        <f>R486 * G486</f>
        <v>0</v>
      </c>
      <c r="T486" s="2">
        <f>(H486 + J486) - (L486 + N486) - R486</f>
        <v>0</v>
      </c>
      <c r="U486" s="2">
        <f>T486 * G486</f>
        <v>0</v>
      </c>
      <c r="V486" s="2">
        <f>I486 + K486 - S486</f>
        <v>0</v>
      </c>
      <c r="W486" s="2">
        <f>M486 - V486</f>
        <v>0</v>
      </c>
      <c r="X486" s="2">
        <f>IFERROR(W486 / M486 * 100, 0)</f>
        <v>0</v>
      </c>
    </row>
    <row r="487" spans="1:24">
      <c r="A487" t="s">
        <v>505</v>
      </c>
      <c r="B487" t="s">
        <v>512</v>
      </c>
      <c r="C487" t="s">
        <v>1000</v>
      </c>
      <c r="D487" t="s">
        <v>1007</v>
      </c>
      <c r="E487" t="s">
        <v>1009</v>
      </c>
      <c r="F487" t="s">
        <v>1495</v>
      </c>
      <c r="G487">
        <v>12.75</v>
      </c>
      <c r="H487">
        <v>0</v>
      </c>
      <c r="I487">
        <v>0</v>
      </c>
      <c r="J487">
        <v>0</v>
      </c>
      <c r="K487">
        <v>0</v>
      </c>
      <c r="L487">
        <v>0.4</v>
      </c>
      <c r="M487">
        <v>5.35</v>
      </c>
      <c r="N487">
        <v>0</v>
      </c>
      <c r="O487">
        <v>0</v>
      </c>
      <c r="P487" s="2">
        <f>(H487 + J487) - (L487 + N487)</f>
        <v>0</v>
      </c>
      <c r="Q487" s="2">
        <f>P487 * G487</f>
        <v>0</v>
      </c>
      <c r="R487">
        <v>0</v>
      </c>
      <c r="S487" s="2">
        <f>R487 * G487</f>
        <v>0</v>
      </c>
      <c r="T487" s="2">
        <f>(H487 + J487) - (L487 + N487) - R487</f>
        <v>0</v>
      </c>
      <c r="U487" s="2">
        <f>T487 * G487</f>
        <v>0</v>
      </c>
      <c r="V487" s="2">
        <f>I487 + K487 - S487</f>
        <v>0</v>
      </c>
      <c r="W487" s="2">
        <f>M487 - V487</f>
        <v>0</v>
      </c>
      <c r="X487" s="2">
        <f>IFERROR(W487 / M487 * 100, 0)</f>
        <v>0</v>
      </c>
    </row>
    <row r="488" spans="1:24">
      <c r="A488" t="s">
        <v>506</v>
      </c>
      <c r="B488" t="s">
        <v>512</v>
      </c>
      <c r="C488" t="s">
        <v>1001</v>
      </c>
      <c r="D488" t="s">
        <v>1007</v>
      </c>
      <c r="E488" t="s">
        <v>1009</v>
      </c>
      <c r="F488" t="s">
        <v>1496</v>
      </c>
      <c r="G488">
        <v>2</v>
      </c>
      <c r="H488">
        <v>4.7</v>
      </c>
      <c r="I488">
        <v>9.4</v>
      </c>
      <c r="J488">
        <v>0</v>
      </c>
      <c r="K488">
        <v>0</v>
      </c>
      <c r="L488">
        <v>0</v>
      </c>
      <c r="M488">
        <v>0</v>
      </c>
      <c r="N488">
        <v>4.7</v>
      </c>
      <c r="O488">
        <v>9.4</v>
      </c>
      <c r="P488" s="2">
        <f>(H488 + J488) - (L488 + N488)</f>
        <v>0</v>
      </c>
      <c r="Q488" s="2">
        <f>P488 * G488</f>
        <v>0</v>
      </c>
      <c r="R488">
        <v>0</v>
      </c>
      <c r="S488" s="2">
        <f>R488 * G488</f>
        <v>0</v>
      </c>
      <c r="T488" s="2">
        <f>(H488 + J488) - (L488 + N488) - R488</f>
        <v>0</v>
      </c>
      <c r="U488" s="2">
        <f>T488 * G488</f>
        <v>0</v>
      </c>
      <c r="V488" s="2">
        <f>I488 + K488 - S488</f>
        <v>0</v>
      </c>
      <c r="W488" s="2">
        <f>M488 - V488</f>
        <v>0</v>
      </c>
      <c r="X488" s="2">
        <f>IFERROR(W488 / M488 * 100, 0)</f>
        <v>0</v>
      </c>
    </row>
    <row r="489" spans="1:24">
      <c r="A489" t="s">
        <v>507</v>
      </c>
      <c r="B489" t="s">
        <v>513</v>
      </c>
      <c r="C489" t="s">
        <v>1002</v>
      </c>
      <c r="D489" t="s">
        <v>1007</v>
      </c>
      <c r="E489" t="s">
        <v>1009</v>
      </c>
      <c r="F489" t="s">
        <v>1497</v>
      </c>
      <c r="G489">
        <v>6.5</v>
      </c>
      <c r="H489">
        <v>0</v>
      </c>
      <c r="I489">
        <v>0</v>
      </c>
      <c r="J489">
        <v>0</v>
      </c>
      <c r="K489">
        <v>0</v>
      </c>
      <c r="L489">
        <v>1.07</v>
      </c>
      <c r="M489">
        <v>8.029999999999999</v>
      </c>
      <c r="N489">
        <v>0</v>
      </c>
      <c r="O489">
        <v>0</v>
      </c>
      <c r="P489" s="2">
        <f>(H489 + J489) - (L489 + N489)</f>
        <v>0</v>
      </c>
      <c r="Q489" s="2">
        <f>P489 * G489</f>
        <v>0</v>
      </c>
      <c r="R489">
        <v>0</v>
      </c>
      <c r="S489" s="2">
        <f>R489 * G489</f>
        <v>0</v>
      </c>
      <c r="T489" s="2">
        <f>(H489 + J489) - (L489 + N489) - R489</f>
        <v>0</v>
      </c>
      <c r="U489" s="2">
        <f>T489 * G489</f>
        <v>0</v>
      </c>
      <c r="V489" s="2">
        <f>I489 + K489 - S489</f>
        <v>0</v>
      </c>
      <c r="W489" s="2">
        <f>M489 - V489</f>
        <v>0</v>
      </c>
      <c r="X489" s="2">
        <f>IFERROR(W489 / M489 * 100, 0)</f>
        <v>0</v>
      </c>
    </row>
    <row r="490" spans="1:24">
      <c r="A490" t="s">
        <v>508</v>
      </c>
      <c r="B490" t="s">
        <v>512</v>
      </c>
      <c r="C490" t="s">
        <v>1003</v>
      </c>
      <c r="D490" t="s">
        <v>1008</v>
      </c>
      <c r="E490" t="s">
        <v>1009</v>
      </c>
      <c r="F490" t="s">
        <v>1498</v>
      </c>
      <c r="G490">
        <v>4.06</v>
      </c>
      <c r="H490">
        <v>17</v>
      </c>
      <c r="I490">
        <v>68</v>
      </c>
      <c r="J490">
        <v>72</v>
      </c>
      <c r="K490">
        <v>300</v>
      </c>
      <c r="L490">
        <v>37</v>
      </c>
      <c r="M490">
        <v>212.75</v>
      </c>
      <c r="N490">
        <v>11</v>
      </c>
      <c r="O490">
        <v>45.45</v>
      </c>
      <c r="P490" s="2">
        <f>(H490 + J490) - (L490 + N490)</f>
        <v>0</v>
      </c>
      <c r="Q490" s="2">
        <f>P490 * G490</f>
        <v>0</v>
      </c>
      <c r="R490">
        <v>17</v>
      </c>
      <c r="S490" s="2">
        <f>R490 * G490</f>
        <v>0</v>
      </c>
      <c r="T490" s="2">
        <f>(H490 + J490) - (L490 + N490) - R490</f>
        <v>0</v>
      </c>
      <c r="U490" s="2">
        <f>T490 * G490</f>
        <v>0</v>
      </c>
      <c r="V490" s="2">
        <f>I490 + K490 - S490</f>
        <v>0</v>
      </c>
      <c r="W490" s="2">
        <f>M490 - V490</f>
        <v>0</v>
      </c>
      <c r="X490" s="2">
        <f>IFERROR(W490 / M490 * 100, 0)</f>
        <v>0</v>
      </c>
    </row>
    <row r="491" spans="1:24">
      <c r="A491" t="s">
        <v>509</v>
      </c>
      <c r="B491" t="s">
        <v>512</v>
      </c>
      <c r="C491" t="s">
        <v>1004</v>
      </c>
      <c r="D491" t="s">
        <v>1008</v>
      </c>
      <c r="E491" t="s">
        <v>1009</v>
      </c>
      <c r="F491" t="s">
        <v>1499</v>
      </c>
      <c r="G491">
        <v>5</v>
      </c>
      <c r="H491">
        <v>26</v>
      </c>
      <c r="I491">
        <v>130</v>
      </c>
      <c r="J491">
        <v>45</v>
      </c>
      <c r="K491">
        <v>225</v>
      </c>
      <c r="L491">
        <v>24</v>
      </c>
      <c r="M491">
        <v>168</v>
      </c>
      <c r="N491">
        <v>12</v>
      </c>
      <c r="O491">
        <v>60.43</v>
      </c>
      <c r="P491" s="2">
        <f>(H491 + J491) - (L491 + N491)</f>
        <v>0</v>
      </c>
      <c r="Q491" s="2">
        <f>P491 * G491</f>
        <v>0</v>
      </c>
      <c r="R491">
        <v>24</v>
      </c>
      <c r="S491" s="2">
        <f>R491 * G491</f>
        <v>0</v>
      </c>
      <c r="T491" s="2">
        <f>(H491 + J491) - (L491 + N491) - R491</f>
        <v>0</v>
      </c>
      <c r="U491" s="2">
        <f>T491 * G491</f>
        <v>0</v>
      </c>
      <c r="V491" s="2">
        <f>I491 + K491 - S491</f>
        <v>0</v>
      </c>
      <c r="W491" s="2">
        <f>M491 - V491</f>
        <v>0</v>
      </c>
      <c r="X491" s="2">
        <f>IFERROR(W491 / M491 * 100, 0)</f>
        <v>0</v>
      </c>
    </row>
    <row r="492" spans="1:24">
      <c r="A492" t="s">
        <v>510</v>
      </c>
      <c r="B492" t="s">
        <v>512</v>
      </c>
      <c r="C492" t="s">
        <v>1005</v>
      </c>
      <c r="D492" t="s">
        <v>1008</v>
      </c>
      <c r="E492" t="s">
        <v>1009</v>
      </c>
      <c r="F492" t="s">
        <v>1500</v>
      </c>
      <c r="G492">
        <v>4.5</v>
      </c>
      <c r="H492">
        <v>24</v>
      </c>
      <c r="I492">
        <v>108</v>
      </c>
      <c r="J492">
        <v>192</v>
      </c>
      <c r="K492">
        <v>864</v>
      </c>
      <c r="L492">
        <v>142</v>
      </c>
      <c r="M492">
        <v>852</v>
      </c>
      <c r="N492">
        <v>17</v>
      </c>
      <c r="O492">
        <v>76.5</v>
      </c>
      <c r="P492" s="2">
        <f>(H492 + J492) - (L492 + N492)</f>
        <v>0</v>
      </c>
      <c r="Q492" s="2">
        <f>P492 * G492</f>
        <v>0</v>
      </c>
      <c r="R492">
        <v>40</v>
      </c>
      <c r="S492" s="2">
        <f>R492 * G492</f>
        <v>0</v>
      </c>
      <c r="T492" s="2">
        <f>(H492 + J492) - (L492 + N492) - R492</f>
        <v>0</v>
      </c>
      <c r="U492" s="2">
        <f>T492 * G492</f>
        <v>0</v>
      </c>
      <c r="V492" s="2">
        <f>I492 + K492 - S492</f>
        <v>0</v>
      </c>
      <c r="W492" s="2">
        <f>M492 - V492</f>
        <v>0</v>
      </c>
      <c r="X492" s="2">
        <f>IFERROR(W492 / M492 * 100, 0)</f>
        <v>0</v>
      </c>
    </row>
    <row r="493" spans="1:24">
      <c r="A493" t="s">
        <v>511</v>
      </c>
      <c r="B493" t="s">
        <v>512</v>
      </c>
      <c r="C493" t="s">
        <v>1006</v>
      </c>
      <c r="D493" t="s">
        <v>1007</v>
      </c>
      <c r="E493" t="s">
        <v>1009</v>
      </c>
      <c r="F493" t="s">
        <v>1501</v>
      </c>
      <c r="G493">
        <v>44.1</v>
      </c>
      <c r="H493">
        <v>0</v>
      </c>
      <c r="I493">
        <v>0</v>
      </c>
      <c r="J493">
        <v>0</v>
      </c>
      <c r="K493">
        <v>0</v>
      </c>
      <c r="L493">
        <v>0.87</v>
      </c>
      <c r="M493">
        <v>25.07</v>
      </c>
      <c r="N493">
        <v>0</v>
      </c>
      <c r="O493">
        <v>0</v>
      </c>
      <c r="P493" s="2">
        <f>(H493 + J493) - (L493 + N493)</f>
        <v>0</v>
      </c>
      <c r="Q493" s="2">
        <f>P493 * G493</f>
        <v>0</v>
      </c>
      <c r="R493">
        <v>0</v>
      </c>
      <c r="S493" s="2">
        <f>R493 * G493</f>
        <v>0</v>
      </c>
      <c r="T493" s="2">
        <f>(H493 + J493) - (L493 + N493) - R493</f>
        <v>0</v>
      </c>
      <c r="U493" s="2">
        <f>T493 * G493</f>
        <v>0</v>
      </c>
      <c r="V493" s="2">
        <f>I493 + K493 - S493</f>
        <v>0</v>
      </c>
      <c r="W493" s="2">
        <f>M493 - V493</f>
        <v>0</v>
      </c>
      <c r="X493" s="2">
        <f>IFERROR(W493 / M493 * 100, 0)</f>
        <v>0</v>
      </c>
    </row>
    <row r="498" spans="8:24">
      <c r="H498" s="2">
        <f>SUM(H2:H493)</f>
        <v>0</v>
      </c>
      <c r="I498" s="2">
        <f>SUM(I2:I493)</f>
        <v>0</v>
      </c>
      <c r="J498" s="2">
        <f>SUM(J2:J493)</f>
        <v>0</v>
      </c>
      <c r="K498" s="2">
        <f>SUM(K2:K493)</f>
        <v>0</v>
      </c>
      <c r="L498" s="2">
        <f>SUM(L2:L493)</f>
        <v>0</v>
      </c>
      <c r="M498" s="2">
        <f>SUM(M2:M493)</f>
        <v>0</v>
      </c>
      <c r="N498" s="2">
        <f>SUM(N2:N493)</f>
        <v>0</v>
      </c>
      <c r="O498" s="2">
        <f>SUM(O2:O493)</f>
        <v>0</v>
      </c>
      <c r="P498" s="2">
        <f>SUM(P2:P493)</f>
        <v>0</v>
      </c>
      <c r="Q498" s="2">
        <f>SUM(Q2:Q493)</f>
        <v>0</v>
      </c>
      <c r="R498" s="2">
        <f>SUM(R2:R493)</f>
        <v>0</v>
      </c>
      <c r="S498" s="2">
        <f>SUM(S2:S493)</f>
        <v>0</v>
      </c>
      <c r="T498" s="2">
        <f>SUM(T2:T493)</f>
        <v>0</v>
      </c>
      <c r="U498" s="2">
        <f>SUM(U2:U493)</f>
        <v>0</v>
      </c>
      <c r="V498" s="2">
        <f>SUM(V2:V493)</f>
        <v>0</v>
      </c>
      <c r="W498" s="2">
        <f>SUM(W2:W493)</f>
        <v>0</v>
      </c>
      <c r="X498" s="2">
        <f>IFERROR((W498 / M498) * 100, 0)</f>
        <v>0</v>
      </c>
    </row>
  </sheetData>
  <conditionalFormatting sqref="A2:X493">
    <cfRule type="notContainsBlanks" dxfId="0" priority="1">
      <formula>LEN(TRIM(A2))&gt;0</formula>
    </cfRule>
  </conditionalFormatting>
  <conditionalFormatting sqref="X2:X493">
    <cfRule type="expression" dxfId="1" priority="2">
      <formula>AND($X2&lt;=0, $X2&lt;&gt;"")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128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1502</v>
      </c>
      <c r="B2" t="s">
        <v>512</v>
      </c>
      <c r="C2" t="s">
        <v>1624</v>
      </c>
      <c r="D2" t="s">
        <v>1007</v>
      </c>
      <c r="E2" t="s">
        <v>1746</v>
      </c>
      <c r="F2" t="s">
        <v>1747</v>
      </c>
      <c r="G2">
        <v>13.64</v>
      </c>
      <c r="H2">
        <v>0</v>
      </c>
      <c r="I2">
        <v>0</v>
      </c>
      <c r="J2">
        <v>36</v>
      </c>
      <c r="K2">
        <v>409</v>
      </c>
      <c r="L2">
        <v>31.68</v>
      </c>
      <c r="M2">
        <v>427.78</v>
      </c>
      <c r="N2">
        <v>3</v>
      </c>
      <c r="O2">
        <v>46.5</v>
      </c>
      <c r="P2" s="2">
        <f>(H2 + J2) - (L2 + N2)</f>
        <v>0</v>
      </c>
      <c r="Q2" s="2">
        <f>P2 * G2</f>
        <v>0</v>
      </c>
      <c r="R2">
        <v>700</v>
      </c>
      <c r="S2" s="2">
        <f>R2 * G2</f>
        <v>0</v>
      </c>
      <c r="T2" s="2">
        <f>(H2 + J2) - (L2 + N2) - R2</f>
        <v>0</v>
      </c>
      <c r="U2" s="2">
        <f>T2 * G2</f>
        <v>0</v>
      </c>
      <c r="V2" s="2">
        <f>I2 + K2 - S2</f>
        <v>0</v>
      </c>
      <c r="W2" s="2">
        <f>M2 - V2</f>
        <v>0</v>
      </c>
      <c r="X2" s="2">
        <f>IFERROR(W2 / M2 * 100, 0)</f>
        <v>0</v>
      </c>
    </row>
    <row r="3" spans="1:24">
      <c r="A3" t="s">
        <v>1503</v>
      </c>
      <c r="B3" t="s">
        <v>512</v>
      </c>
      <c r="C3" t="s">
        <v>1625</v>
      </c>
      <c r="D3" t="s">
        <v>1007</v>
      </c>
      <c r="E3" t="s">
        <v>1746</v>
      </c>
      <c r="F3" t="s">
        <v>1748</v>
      </c>
      <c r="G3">
        <v>8.77</v>
      </c>
      <c r="H3">
        <v>36</v>
      </c>
      <c r="I3">
        <v>476.2</v>
      </c>
      <c r="J3">
        <v>102.18</v>
      </c>
      <c r="K3">
        <v>1752.45</v>
      </c>
      <c r="L3">
        <v>138.22</v>
      </c>
      <c r="M3">
        <v>2510.62</v>
      </c>
      <c r="N3">
        <v>0</v>
      </c>
      <c r="O3">
        <v>0</v>
      </c>
      <c r="P3" s="2">
        <f>(H3 + J3) - (L3 + N3)</f>
        <v>0</v>
      </c>
      <c r="Q3" s="2">
        <f>P3 * G3</f>
        <v>0</v>
      </c>
      <c r="R3">
        <v>2.2</v>
      </c>
      <c r="S3" s="2">
        <f>R3 * G3</f>
        <v>0</v>
      </c>
      <c r="T3" s="2">
        <f>(H3 + J3) - (L3 + N3) - R3</f>
        <v>0</v>
      </c>
      <c r="U3" s="2">
        <f>T3 * G3</f>
        <v>0</v>
      </c>
      <c r="V3" s="2">
        <f>I3 + K3 - S3</f>
        <v>0</v>
      </c>
      <c r="W3" s="2">
        <f>M3 - V3</f>
        <v>0</v>
      </c>
      <c r="X3" s="2">
        <f>IFERROR(W3 / M3 * 100, 0)</f>
        <v>0</v>
      </c>
    </row>
    <row r="4" spans="1:24">
      <c r="A4" t="s">
        <v>1504</v>
      </c>
      <c r="B4" t="s">
        <v>512</v>
      </c>
      <c r="C4" t="s">
        <v>1626</v>
      </c>
      <c r="D4" t="s">
        <v>1007</v>
      </c>
      <c r="E4" t="s">
        <v>1746</v>
      </c>
      <c r="F4" t="s">
        <v>1749</v>
      </c>
      <c r="G4">
        <v>4.58</v>
      </c>
      <c r="H4">
        <v>14.3</v>
      </c>
      <c r="I4">
        <v>88.81</v>
      </c>
      <c r="J4">
        <v>533.9</v>
      </c>
      <c r="K4">
        <v>2551.4</v>
      </c>
      <c r="L4">
        <v>499.32</v>
      </c>
      <c r="M4">
        <v>3967.67</v>
      </c>
      <c r="N4">
        <v>46.2</v>
      </c>
      <c r="O4">
        <v>226.43</v>
      </c>
      <c r="P4" s="2">
        <f>(H4 + J4) - (L4 + N4)</f>
        <v>0</v>
      </c>
      <c r="Q4" s="2">
        <f>P4 * G4</f>
        <v>0</v>
      </c>
      <c r="R4">
        <v>13.8</v>
      </c>
      <c r="S4" s="2">
        <f>R4 * G4</f>
        <v>0</v>
      </c>
      <c r="T4" s="2">
        <f>(H4 + J4) - (L4 + N4) - R4</f>
        <v>0</v>
      </c>
      <c r="U4" s="2">
        <f>T4 * G4</f>
        <v>0</v>
      </c>
      <c r="V4" s="2">
        <f>I4 + K4 - S4</f>
        <v>0</v>
      </c>
      <c r="W4" s="2">
        <f>M4 - V4</f>
        <v>0</v>
      </c>
      <c r="X4" s="2">
        <f>IFERROR(W4 / M4 * 100, 0)</f>
        <v>0</v>
      </c>
    </row>
    <row r="5" spans="1:24">
      <c r="A5" t="s">
        <v>1505</v>
      </c>
      <c r="B5" t="s">
        <v>512</v>
      </c>
      <c r="C5" t="s">
        <v>1627</v>
      </c>
      <c r="D5" t="s">
        <v>1007</v>
      </c>
      <c r="E5" t="s">
        <v>1746</v>
      </c>
      <c r="F5" t="s">
        <v>1750</v>
      </c>
      <c r="G5">
        <v>9.75</v>
      </c>
      <c r="H5">
        <v>78</v>
      </c>
      <c r="I5">
        <v>661.88</v>
      </c>
      <c r="J5">
        <v>1421</v>
      </c>
      <c r="K5">
        <v>11723.25</v>
      </c>
      <c r="L5">
        <v>1472.32</v>
      </c>
      <c r="M5">
        <v>15566.98</v>
      </c>
      <c r="N5">
        <v>0</v>
      </c>
      <c r="O5">
        <v>0</v>
      </c>
      <c r="P5" s="2">
        <f>(H5 + J5) - (L5 + N5)</f>
        <v>0</v>
      </c>
      <c r="Q5" s="2">
        <f>P5 * G5</f>
        <v>0</v>
      </c>
      <c r="R5">
        <v>33</v>
      </c>
      <c r="S5" s="2">
        <f>R5 * G5</f>
        <v>0</v>
      </c>
      <c r="T5" s="2">
        <f>(H5 + J5) - (L5 + N5) - R5</f>
        <v>0</v>
      </c>
      <c r="U5" s="2">
        <f>T5 * G5</f>
        <v>0</v>
      </c>
      <c r="V5" s="2">
        <f>I5 + K5 - S5</f>
        <v>0</v>
      </c>
      <c r="W5" s="2">
        <f>M5 - V5</f>
        <v>0</v>
      </c>
      <c r="X5" s="2">
        <f>IFERROR(W5 / M5 * 100, 0)</f>
        <v>0</v>
      </c>
    </row>
    <row r="6" spans="1:24">
      <c r="A6" t="s">
        <v>1506</v>
      </c>
      <c r="B6" t="s">
        <v>512</v>
      </c>
      <c r="C6" t="s">
        <v>1628</v>
      </c>
      <c r="D6" t="s">
        <v>1007</v>
      </c>
      <c r="E6" t="s">
        <v>1746</v>
      </c>
      <c r="F6" t="s">
        <v>1751</v>
      </c>
      <c r="G6">
        <v>16.81</v>
      </c>
      <c r="H6">
        <v>0</v>
      </c>
      <c r="I6">
        <v>0</v>
      </c>
      <c r="J6">
        <v>1584</v>
      </c>
      <c r="K6">
        <v>29750.5</v>
      </c>
      <c r="L6">
        <v>1527.47</v>
      </c>
      <c r="M6">
        <v>34524.78</v>
      </c>
      <c r="N6">
        <v>0</v>
      </c>
      <c r="O6">
        <v>0</v>
      </c>
      <c r="P6" s="2">
        <f>(H6 + J6) - (L6 + N6)</f>
        <v>0</v>
      </c>
      <c r="Q6" s="2">
        <f>P6 * G6</f>
        <v>0</v>
      </c>
      <c r="R6">
        <v>0</v>
      </c>
      <c r="S6" s="2">
        <f>R6 * G6</f>
        <v>0</v>
      </c>
      <c r="T6" s="2">
        <f>(H6 + J6) - (L6 + N6) - R6</f>
        <v>0</v>
      </c>
      <c r="U6" s="2">
        <f>T6 * G6</f>
        <v>0</v>
      </c>
      <c r="V6" s="2">
        <f>I6 + K6 - S6</f>
        <v>0</v>
      </c>
      <c r="W6" s="2">
        <f>M6 - V6</f>
        <v>0</v>
      </c>
      <c r="X6" s="2">
        <f>IFERROR(W6 / M6 * 100, 0)</f>
        <v>0</v>
      </c>
    </row>
    <row r="7" spans="1:24">
      <c r="A7" t="s">
        <v>1507</v>
      </c>
      <c r="B7" t="s">
        <v>512</v>
      </c>
      <c r="C7" t="s">
        <v>1629</v>
      </c>
      <c r="D7" t="s">
        <v>1007</v>
      </c>
      <c r="E7" t="s">
        <v>1746</v>
      </c>
      <c r="F7" t="s">
        <v>1752</v>
      </c>
      <c r="G7">
        <v>9.25</v>
      </c>
      <c r="H7">
        <v>0</v>
      </c>
      <c r="I7">
        <v>0</v>
      </c>
      <c r="J7">
        <v>79</v>
      </c>
      <c r="K7">
        <v>789.75</v>
      </c>
      <c r="L7">
        <v>63.21</v>
      </c>
      <c r="M7">
        <v>1266.54</v>
      </c>
      <c r="N7">
        <v>0</v>
      </c>
      <c r="O7">
        <v>0</v>
      </c>
      <c r="P7" s="2">
        <f>(H7 + J7) - (L7 + N7)</f>
        <v>0</v>
      </c>
      <c r="Q7" s="2">
        <f>P7 * G7</f>
        <v>0</v>
      </c>
      <c r="R7">
        <v>0</v>
      </c>
      <c r="S7" s="2">
        <f>R7 * G7</f>
        <v>0</v>
      </c>
      <c r="T7" s="2">
        <f>(H7 + J7) - (L7 + N7) - R7</f>
        <v>0</v>
      </c>
      <c r="U7" s="2">
        <f>T7 * G7</f>
        <v>0</v>
      </c>
      <c r="V7" s="2">
        <f>I7 + K7 - S7</f>
        <v>0</v>
      </c>
      <c r="W7" s="2">
        <f>M7 - V7</f>
        <v>0</v>
      </c>
      <c r="X7" s="2">
        <f>IFERROR(W7 / M7 * 100, 0)</f>
        <v>0</v>
      </c>
    </row>
    <row r="8" spans="1:24">
      <c r="A8" t="s">
        <v>1508</v>
      </c>
      <c r="B8" t="s">
        <v>512</v>
      </c>
      <c r="C8" t="s">
        <v>1630</v>
      </c>
      <c r="D8" t="s">
        <v>1007</v>
      </c>
      <c r="E8" t="s">
        <v>1746</v>
      </c>
      <c r="F8" t="s">
        <v>1753</v>
      </c>
      <c r="G8">
        <v>5.59</v>
      </c>
      <c r="H8">
        <v>6</v>
      </c>
      <c r="I8">
        <v>44.3</v>
      </c>
      <c r="J8">
        <v>661.48</v>
      </c>
      <c r="K8">
        <v>4245.23</v>
      </c>
      <c r="L8">
        <v>517.83</v>
      </c>
      <c r="M8">
        <v>4784.76</v>
      </c>
      <c r="N8">
        <v>0</v>
      </c>
      <c r="O8">
        <v>0</v>
      </c>
      <c r="P8" s="2">
        <f>(H8 + J8) - (L8 + N8)</f>
        <v>0</v>
      </c>
      <c r="Q8" s="2">
        <f>P8 * G8</f>
        <v>0</v>
      </c>
      <c r="R8">
        <v>156.7</v>
      </c>
      <c r="S8" s="2">
        <f>R8 * G8</f>
        <v>0</v>
      </c>
      <c r="T8" s="2">
        <f>(H8 + J8) - (L8 + N8) - R8</f>
        <v>0</v>
      </c>
      <c r="U8" s="2">
        <f>T8 * G8</f>
        <v>0</v>
      </c>
      <c r="V8" s="2">
        <f>I8 + K8 - S8</f>
        <v>0</v>
      </c>
      <c r="W8" s="2">
        <f>M8 - V8</f>
        <v>0</v>
      </c>
      <c r="X8" s="2">
        <f>IFERROR(W8 / M8 * 100, 0)</f>
        <v>0</v>
      </c>
    </row>
    <row r="9" spans="1:24">
      <c r="A9" t="s">
        <v>1509</v>
      </c>
      <c r="B9" t="s">
        <v>512</v>
      </c>
      <c r="C9" t="s">
        <v>1631</v>
      </c>
      <c r="D9" t="s">
        <v>1007</v>
      </c>
      <c r="E9" t="s">
        <v>1746</v>
      </c>
      <c r="F9" t="s">
        <v>1754</v>
      </c>
      <c r="G9">
        <v>6</v>
      </c>
      <c r="H9">
        <v>0</v>
      </c>
      <c r="I9">
        <v>0</v>
      </c>
      <c r="J9">
        <v>0</v>
      </c>
      <c r="K9">
        <v>0</v>
      </c>
      <c r="L9">
        <v>0.47</v>
      </c>
      <c r="M9">
        <v>9.460000000000001</v>
      </c>
      <c r="N9">
        <v>0</v>
      </c>
      <c r="O9">
        <v>0</v>
      </c>
      <c r="P9" s="2">
        <f>(H9 + J9) - (L9 + N9)</f>
        <v>0</v>
      </c>
      <c r="Q9" s="2">
        <f>P9 * G9</f>
        <v>0</v>
      </c>
      <c r="R9">
        <v>0</v>
      </c>
      <c r="S9" s="2">
        <f>R9 * G9</f>
        <v>0</v>
      </c>
      <c r="T9" s="2">
        <f>(H9 + J9) - (L9 + N9) - R9</f>
        <v>0</v>
      </c>
      <c r="U9" s="2">
        <f>T9 * G9</f>
        <v>0</v>
      </c>
      <c r="V9" s="2">
        <f>I9 + K9 - S9</f>
        <v>0</v>
      </c>
      <c r="W9" s="2">
        <f>M9 - V9</f>
        <v>0</v>
      </c>
      <c r="X9" s="2">
        <f>IFERROR(W9 / M9 * 100, 0)</f>
        <v>0</v>
      </c>
    </row>
    <row r="10" spans="1:24">
      <c r="A10" t="s">
        <v>1510</v>
      </c>
      <c r="B10" t="s">
        <v>512</v>
      </c>
      <c r="C10" t="s">
        <v>1632</v>
      </c>
      <c r="D10" t="s">
        <v>1007</v>
      </c>
      <c r="E10" t="s">
        <v>1746</v>
      </c>
      <c r="F10" t="s">
        <v>1755</v>
      </c>
      <c r="G10">
        <v>15.64</v>
      </c>
      <c r="H10">
        <v>0</v>
      </c>
      <c r="I10">
        <v>0</v>
      </c>
      <c r="J10">
        <v>411.5</v>
      </c>
      <c r="K10">
        <v>6191.6</v>
      </c>
      <c r="L10">
        <v>371.62</v>
      </c>
      <c r="M10">
        <v>6627.22</v>
      </c>
      <c r="N10">
        <v>1.9</v>
      </c>
      <c r="O10">
        <v>29.72</v>
      </c>
      <c r="P10" s="2">
        <f>(H10 + J10) - (L10 + N10)</f>
        <v>0</v>
      </c>
      <c r="Q10" s="2">
        <f>P10 * G10</f>
        <v>0</v>
      </c>
      <c r="R10">
        <v>34</v>
      </c>
      <c r="S10" s="2">
        <f>R10 * G10</f>
        <v>0</v>
      </c>
      <c r="T10" s="2">
        <f>(H10 + J10) - (L10 + N10) - R10</f>
        <v>0</v>
      </c>
      <c r="U10" s="2">
        <f>T10 * G10</f>
        <v>0</v>
      </c>
      <c r="V10" s="2">
        <f>I10 + K10 - S10</f>
        <v>0</v>
      </c>
      <c r="W10" s="2">
        <f>M10 - V10</f>
        <v>0</v>
      </c>
      <c r="X10" s="2">
        <f>IFERROR(W10 / M10 * 100, 0)</f>
        <v>0</v>
      </c>
    </row>
    <row r="11" spans="1:24">
      <c r="A11" t="s">
        <v>1511</v>
      </c>
      <c r="B11" t="s">
        <v>512</v>
      </c>
      <c r="C11" t="s">
        <v>1633</v>
      </c>
      <c r="D11" t="s">
        <v>1007</v>
      </c>
      <c r="E11" t="s">
        <v>1746</v>
      </c>
      <c r="F11" t="s">
        <v>1756</v>
      </c>
      <c r="G11">
        <v>16</v>
      </c>
      <c r="H11">
        <v>0</v>
      </c>
      <c r="I11">
        <v>0</v>
      </c>
      <c r="J11">
        <v>0</v>
      </c>
      <c r="K11">
        <v>0</v>
      </c>
      <c r="L11">
        <v>0.71</v>
      </c>
      <c r="M11">
        <v>11.94</v>
      </c>
      <c r="N11">
        <v>0</v>
      </c>
      <c r="O11">
        <v>0</v>
      </c>
      <c r="P11" s="2">
        <f>(H11 + J11) - (L11 + N11)</f>
        <v>0</v>
      </c>
      <c r="Q11" s="2">
        <f>P11 * G11</f>
        <v>0</v>
      </c>
      <c r="R11">
        <v>0</v>
      </c>
      <c r="S11" s="2">
        <f>R11 * G11</f>
        <v>0</v>
      </c>
      <c r="T11" s="2">
        <f>(H11 + J11) - (L11 + N11) - R11</f>
        <v>0</v>
      </c>
      <c r="U11" s="2">
        <f>T11 * G11</f>
        <v>0</v>
      </c>
      <c r="V11" s="2">
        <f>I11 + K11 - S11</f>
        <v>0</v>
      </c>
      <c r="W11" s="2">
        <f>M11 - V11</f>
        <v>0</v>
      </c>
      <c r="X11" s="2">
        <f>IFERROR(W11 / M11 * 100, 0)</f>
        <v>0</v>
      </c>
    </row>
    <row r="12" spans="1:24">
      <c r="A12" t="s">
        <v>1512</v>
      </c>
      <c r="B12" t="s">
        <v>512</v>
      </c>
      <c r="C12" t="s">
        <v>1634</v>
      </c>
      <c r="D12" t="s">
        <v>1007</v>
      </c>
      <c r="E12" t="s">
        <v>1746</v>
      </c>
      <c r="F12" t="s">
        <v>1757</v>
      </c>
      <c r="G12">
        <v>9.83</v>
      </c>
      <c r="H12">
        <v>0</v>
      </c>
      <c r="I12">
        <v>0</v>
      </c>
      <c r="J12">
        <v>223.5</v>
      </c>
      <c r="K12">
        <v>2385.88</v>
      </c>
      <c r="L12">
        <v>161.17</v>
      </c>
      <c r="M12">
        <v>2419.89</v>
      </c>
      <c r="N12">
        <v>0</v>
      </c>
      <c r="O12">
        <v>0</v>
      </c>
      <c r="P12" s="2">
        <f>(H12 + J12) - (L12 + N12)</f>
        <v>0</v>
      </c>
      <c r="Q12" s="2">
        <f>P12 * G12</f>
        <v>0</v>
      </c>
      <c r="R12">
        <v>57.5</v>
      </c>
      <c r="S12" s="2">
        <f>R12 * G12</f>
        <v>0</v>
      </c>
      <c r="T12" s="2">
        <f>(H12 + J12) - (L12 + N12) - R12</f>
        <v>0</v>
      </c>
      <c r="U12" s="2">
        <f>T12 * G12</f>
        <v>0</v>
      </c>
      <c r="V12" s="2">
        <f>I12 + K12 - S12</f>
        <v>0</v>
      </c>
      <c r="W12" s="2">
        <f>M12 - V12</f>
        <v>0</v>
      </c>
      <c r="X12" s="2">
        <f>IFERROR(W12 / M12 * 100, 0)</f>
        <v>0</v>
      </c>
    </row>
    <row r="13" spans="1:24">
      <c r="A13" t="s">
        <v>1513</v>
      </c>
      <c r="B13" t="s">
        <v>512</v>
      </c>
      <c r="C13" t="s">
        <v>1635</v>
      </c>
      <c r="D13" t="s">
        <v>1007</v>
      </c>
      <c r="E13" t="s">
        <v>1746</v>
      </c>
      <c r="F13" t="s">
        <v>1758</v>
      </c>
      <c r="G13">
        <v>21.7</v>
      </c>
      <c r="H13">
        <v>2.7</v>
      </c>
      <c r="I13">
        <v>66.09999999999999</v>
      </c>
      <c r="J13">
        <v>38.24</v>
      </c>
      <c r="K13">
        <v>907.4</v>
      </c>
      <c r="L13">
        <v>39.39</v>
      </c>
      <c r="M13">
        <v>1111.5</v>
      </c>
      <c r="N13">
        <v>2</v>
      </c>
      <c r="O13">
        <v>55.13</v>
      </c>
      <c r="P13" s="2">
        <f>(H13 + J13) - (L13 + N13)</f>
        <v>0</v>
      </c>
      <c r="Q13" s="2">
        <f>P13 * G13</f>
        <v>0</v>
      </c>
      <c r="R13">
        <v>1.5</v>
      </c>
      <c r="S13" s="2">
        <f>R13 * G13</f>
        <v>0</v>
      </c>
      <c r="T13" s="2">
        <f>(H13 + J13) - (L13 + N13) - R13</f>
        <v>0</v>
      </c>
      <c r="U13" s="2">
        <f>T13 * G13</f>
        <v>0</v>
      </c>
      <c r="V13" s="2">
        <f>I13 + K13 - S13</f>
        <v>0</v>
      </c>
      <c r="W13" s="2">
        <f>M13 - V13</f>
        <v>0</v>
      </c>
      <c r="X13" s="2">
        <f>IFERROR(W13 / M13 * 100, 0)</f>
        <v>0</v>
      </c>
    </row>
    <row r="14" spans="1:24">
      <c r="A14" t="s">
        <v>1514</v>
      </c>
      <c r="B14" t="s">
        <v>512</v>
      </c>
      <c r="C14" t="s">
        <v>1636</v>
      </c>
      <c r="D14" t="s">
        <v>1007</v>
      </c>
      <c r="E14" t="s">
        <v>1746</v>
      </c>
      <c r="F14" t="s">
        <v>1759</v>
      </c>
      <c r="G14">
        <v>2.55</v>
      </c>
      <c r="H14">
        <v>26.4</v>
      </c>
      <c r="I14">
        <v>95.3</v>
      </c>
      <c r="J14">
        <v>1726.62</v>
      </c>
      <c r="K14">
        <v>5435.12</v>
      </c>
      <c r="L14">
        <v>1188.04</v>
      </c>
      <c r="M14">
        <v>6651.9</v>
      </c>
      <c r="N14">
        <v>0</v>
      </c>
      <c r="O14">
        <v>0</v>
      </c>
      <c r="P14" s="2">
        <f>(H14 + J14) - (L14 + N14)</f>
        <v>0</v>
      </c>
      <c r="Q14" s="2">
        <f>P14 * G14</f>
        <v>0</v>
      </c>
      <c r="R14">
        <v>563</v>
      </c>
      <c r="S14" s="2">
        <f>R14 * G14</f>
        <v>0</v>
      </c>
      <c r="T14" s="2">
        <f>(H14 + J14) - (L14 + N14) - R14</f>
        <v>0</v>
      </c>
      <c r="U14" s="2">
        <f>T14 * G14</f>
        <v>0</v>
      </c>
      <c r="V14" s="2">
        <f>I14 + K14 - S14</f>
        <v>0</v>
      </c>
      <c r="W14" s="2">
        <f>M14 - V14</f>
        <v>0</v>
      </c>
      <c r="X14" s="2">
        <f>IFERROR(W14 / M14 * 100, 0)</f>
        <v>0</v>
      </c>
    </row>
    <row r="15" spans="1:24">
      <c r="A15" t="s">
        <v>1515</v>
      </c>
      <c r="B15" t="s">
        <v>512</v>
      </c>
      <c r="C15" t="s">
        <v>1637</v>
      </c>
      <c r="D15" t="s">
        <v>1007</v>
      </c>
      <c r="E15" t="s">
        <v>1746</v>
      </c>
      <c r="F15" t="s">
        <v>1760</v>
      </c>
      <c r="G15">
        <v>18</v>
      </c>
      <c r="H15">
        <v>19.8</v>
      </c>
      <c r="I15">
        <v>329.48</v>
      </c>
      <c r="J15">
        <v>117</v>
      </c>
      <c r="K15">
        <v>2109.5</v>
      </c>
      <c r="L15">
        <v>158.43</v>
      </c>
      <c r="M15">
        <v>3119.29</v>
      </c>
      <c r="N15">
        <v>0.35</v>
      </c>
      <c r="O15">
        <v>6.3</v>
      </c>
      <c r="P15" s="2">
        <f>(H15 + J15) - (L15 + N15)</f>
        <v>0</v>
      </c>
      <c r="Q15" s="2">
        <f>P15 * G15</f>
        <v>0</v>
      </c>
      <c r="R15">
        <v>3</v>
      </c>
      <c r="S15" s="2">
        <f>R15 * G15</f>
        <v>0</v>
      </c>
      <c r="T15" s="2">
        <f>(H15 + J15) - (L15 + N15) - R15</f>
        <v>0</v>
      </c>
      <c r="U15" s="2">
        <f>T15 * G15</f>
        <v>0</v>
      </c>
      <c r="V15" s="2">
        <f>I15 + K15 - S15</f>
        <v>0</v>
      </c>
      <c r="W15" s="2">
        <f>M15 - V15</f>
        <v>0</v>
      </c>
      <c r="X15" s="2">
        <f>IFERROR(W15 / M15 * 100, 0)</f>
        <v>0</v>
      </c>
    </row>
    <row r="16" spans="1:24">
      <c r="A16" t="s">
        <v>1516</v>
      </c>
      <c r="B16" t="s">
        <v>512</v>
      </c>
      <c r="C16" t="s">
        <v>1638</v>
      </c>
      <c r="D16" t="s">
        <v>1007</v>
      </c>
      <c r="E16" t="s">
        <v>1746</v>
      </c>
      <c r="F16" t="s">
        <v>1761</v>
      </c>
      <c r="G16">
        <v>9.75</v>
      </c>
      <c r="H16">
        <v>0</v>
      </c>
      <c r="I16">
        <v>0</v>
      </c>
      <c r="J16">
        <v>337.5</v>
      </c>
      <c r="K16">
        <v>3875.25</v>
      </c>
      <c r="L16">
        <v>266.35</v>
      </c>
      <c r="M16">
        <v>3802.81</v>
      </c>
      <c r="N16">
        <v>8.1</v>
      </c>
      <c r="O16">
        <v>100.94</v>
      </c>
      <c r="P16" s="2">
        <f>(H16 + J16) - (L16 + N16)</f>
        <v>0</v>
      </c>
      <c r="Q16" s="2">
        <f>P16 * G16</f>
        <v>0</v>
      </c>
      <c r="R16">
        <v>66.5</v>
      </c>
      <c r="S16" s="2">
        <f>R16 * G16</f>
        <v>0</v>
      </c>
      <c r="T16" s="2">
        <f>(H16 + J16) - (L16 + N16) - R16</f>
        <v>0</v>
      </c>
      <c r="U16" s="2">
        <f>T16 * G16</f>
        <v>0</v>
      </c>
      <c r="V16" s="2">
        <f>I16 + K16 - S16</f>
        <v>0</v>
      </c>
      <c r="W16" s="2">
        <f>M16 - V16</f>
        <v>0</v>
      </c>
      <c r="X16" s="2">
        <f>IFERROR(W16 / M16 * 100, 0)</f>
        <v>0</v>
      </c>
    </row>
    <row r="17" spans="1:24">
      <c r="A17" t="s">
        <v>1517</v>
      </c>
      <c r="B17" t="s">
        <v>512</v>
      </c>
      <c r="C17" t="s">
        <v>1639</v>
      </c>
      <c r="D17" t="s">
        <v>1007</v>
      </c>
      <c r="E17" t="s">
        <v>1746</v>
      </c>
      <c r="F17" t="s">
        <v>1762</v>
      </c>
      <c r="G17">
        <v>25.96</v>
      </c>
      <c r="H17">
        <v>3</v>
      </c>
      <c r="I17">
        <v>59.99</v>
      </c>
      <c r="J17">
        <v>414.99</v>
      </c>
      <c r="K17">
        <v>10786.27</v>
      </c>
      <c r="L17">
        <v>347.01</v>
      </c>
      <c r="M17">
        <v>10134.85</v>
      </c>
      <c r="N17">
        <v>4.35</v>
      </c>
      <c r="O17">
        <v>109.83</v>
      </c>
      <c r="P17" s="2">
        <f>(H17 + J17) - (L17 + N17)</f>
        <v>0</v>
      </c>
      <c r="Q17" s="2">
        <f>P17 * G17</f>
        <v>0</v>
      </c>
      <c r="R17">
        <v>90</v>
      </c>
      <c r="S17" s="2">
        <f>R17 * G17</f>
        <v>0</v>
      </c>
      <c r="T17" s="2">
        <f>(H17 + J17) - (L17 + N17) - R17</f>
        <v>0</v>
      </c>
      <c r="U17" s="2">
        <f>T17 * G17</f>
        <v>0</v>
      </c>
      <c r="V17" s="2">
        <f>I17 + K17 - S17</f>
        <v>0</v>
      </c>
      <c r="W17" s="2">
        <f>M17 - V17</f>
        <v>0</v>
      </c>
      <c r="X17" s="2">
        <f>IFERROR(W17 / M17 * 100, 0)</f>
        <v>0</v>
      </c>
    </row>
    <row r="18" spans="1:24">
      <c r="A18" t="s">
        <v>1518</v>
      </c>
      <c r="B18" t="s">
        <v>512</v>
      </c>
      <c r="C18" t="s">
        <v>1640</v>
      </c>
      <c r="D18" t="s">
        <v>1007</v>
      </c>
      <c r="E18" t="s">
        <v>1746</v>
      </c>
      <c r="F18" t="s">
        <v>1763</v>
      </c>
      <c r="G18">
        <v>17</v>
      </c>
      <c r="H18">
        <v>0</v>
      </c>
      <c r="I18">
        <v>0</v>
      </c>
      <c r="J18">
        <v>12</v>
      </c>
      <c r="K18">
        <v>204</v>
      </c>
      <c r="L18">
        <v>7.75</v>
      </c>
      <c r="M18">
        <v>151.15</v>
      </c>
      <c r="N18">
        <v>0</v>
      </c>
      <c r="O18">
        <v>0</v>
      </c>
      <c r="P18" s="2">
        <f>(H18 + J18) - (L18 + N18)</f>
        <v>0</v>
      </c>
      <c r="Q18" s="2">
        <f>P18 * G18</f>
        <v>0</v>
      </c>
      <c r="R18">
        <v>4</v>
      </c>
      <c r="S18" s="2">
        <f>R18 * G18</f>
        <v>0</v>
      </c>
      <c r="T18" s="2">
        <f>(H18 + J18) - (L18 + N18) - R18</f>
        <v>0</v>
      </c>
      <c r="U18" s="2">
        <f>T18 * G18</f>
        <v>0</v>
      </c>
      <c r="V18" s="2">
        <f>I18 + K18 - S18</f>
        <v>0</v>
      </c>
      <c r="W18" s="2">
        <f>M18 - V18</f>
        <v>0</v>
      </c>
      <c r="X18" s="2">
        <f>IFERROR(W18 / M18 * 100, 0)</f>
        <v>0</v>
      </c>
    </row>
    <row r="19" spans="1:24">
      <c r="A19" t="s">
        <v>1519</v>
      </c>
      <c r="B19" t="s">
        <v>512</v>
      </c>
      <c r="C19" t="s">
        <v>1641</v>
      </c>
      <c r="D19" t="s">
        <v>1007</v>
      </c>
      <c r="E19" t="s">
        <v>1746</v>
      </c>
      <c r="F19" t="s">
        <v>1764</v>
      </c>
      <c r="G19">
        <v>7.62</v>
      </c>
      <c r="H19">
        <v>16</v>
      </c>
      <c r="I19">
        <v>74.91</v>
      </c>
      <c r="J19">
        <v>72.51000000000001</v>
      </c>
      <c r="K19">
        <v>541.38</v>
      </c>
      <c r="L19">
        <v>78.04000000000001</v>
      </c>
      <c r="M19">
        <v>880.08</v>
      </c>
      <c r="N19">
        <v>1.7</v>
      </c>
      <c r="O19">
        <v>12.95</v>
      </c>
      <c r="P19" s="2">
        <f>(H19 + J19) - (L19 + N19)</f>
        <v>0</v>
      </c>
      <c r="Q19" s="2">
        <f>P19 * G19</f>
        <v>0</v>
      </c>
      <c r="R19">
        <v>0</v>
      </c>
      <c r="S19" s="2">
        <f>R19 * G19</f>
        <v>0</v>
      </c>
      <c r="T19" s="2">
        <f>(H19 + J19) - (L19 + N19) - R19</f>
        <v>0</v>
      </c>
      <c r="U19" s="2">
        <f>T19 * G19</f>
        <v>0</v>
      </c>
      <c r="V19" s="2">
        <f>I19 + K19 - S19</f>
        <v>0</v>
      </c>
      <c r="W19" s="2">
        <f>M19 - V19</f>
        <v>0</v>
      </c>
      <c r="X19" s="2">
        <f>IFERROR(W19 / M19 * 100, 0)</f>
        <v>0</v>
      </c>
    </row>
    <row r="20" spans="1:24">
      <c r="A20" t="s">
        <v>1520</v>
      </c>
      <c r="B20" t="s">
        <v>512</v>
      </c>
      <c r="C20" t="s">
        <v>1642</v>
      </c>
      <c r="D20" t="s">
        <v>1007</v>
      </c>
      <c r="E20" t="s">
        <v>1746</v>
      </c>
      <c r="F20" t="s">
        <v>1765</v>
      </c>
      <c r="G20">
        <v>7.48</v>
      </c>
      <c r="H20">
        <v>119</v>
      </c>
      <c r="I20">
        <v>863.66</v>
      </c>
      <c r="J20">
        <v>7122.25</v>
      </c>
      <c r="K20">
        <v>51848.57</v>
      </c>
      <c r="L20">
        <v>7023.35</v>
      </c>
      <c r="M20">
        <v>69245.88</v>
      </c>
      <c r="N20">
        <v>0</v>
      </c>
      <c r="O20">
        <v>0</v>
      </c>
      <c r="P20" s="2">
        <f>(H20 + J20) - (L20 + N20)</f>
        <v>0</v>
      </c>
      <c r="Q20" s="2">
        <f>P20 * G20</f>
        <v>0</v>
      </c>
      <c r="R20">
        <v>216</v>
      </c>
      <c r="S20" s="2">
        <f>R20 * G20</f>
        <v>0</v>
      </c>
      <c r="T20" s="2">
        <f>(H20 + J20) - (L20 + N20) - R20</f>
        <v>0</v>
      </c>
      <c r="U20" s="2">
        <f>T20 * G20</f>
        <v>0</v>
      </c>
      <c r="V20" s="2">
        <f>I20 + K20 - S20</f>
        <v>0</v>
      </c>
      <c r="W20" s="2">
        <f>M20 - V20</f>
        <v>0</v>
      </c>
      <c r="X20" s="2">
        <f>IFERROR(W20 / M20 * 100, 0)</f>
        <v>0</v>
      </c>
    </row>
    <row r="21" spans="1:24">
      <c r="A21" t="s">
        <v>1521</v>
      </c>
      <c r="B21" t="s">
        <v>512</v>
      </c>
      <c r="C21" t="s">
        <v>1643</v>
      </c>
      <c r="D21" t="s">
        <v>1007</v>
      </c>
      <c r="E21" t="s">
        <v>1746</v>
      </c>
      <c r="F21" t="s">
        <v>1766</v>
      </c>
      <c r="G21">
        <v>25</v>
      </c>
      <c r="H21">
        <v>0</v>
      </c>
      <c r="I21">
        <v>0</v>
      </c>
      <c r="J21">
        <v>9</v>
      </c>
      <c r="K21">
        <v>225</v>
      </c>
      <c r="L21">
        <v>3.88</v>
      </c>
      <c r="M21">
        <v>124.04</v>
      </c>
      <c r="N21">
        <v>0</v>
      </c>
      <c r="O21">
        <v>0</v>
      </c>
      <c r="P21" s="2">
        <f>(H21 + J21) - (L21 + N21)</f>
        <v>0</v>
      </c>
      <c r="Q21" s="2">
        <f>P21 * G21</f>
        <v>0</v>
      </c>
      <c r="R21">
        <v>0</v>
      </c>
      <c r="S21" s="2">
        <f>R21 * G21</f>
        <v>0</v>
      </c>
      <c r="T21" s="2">
        <f>(H21 + J21) - (L21 + N21) - R21</f>
        <v>0</v>
      </c>
      <c r="U21" s="2">
        <f>T21 * G21</f>
        <v>0</v>
      </c>
      <c r="V21" s="2">
        <f>I21 + K21 - S21</f>
        <v>0</v>
      </c>
      <c r="W21" s="2">
        <f>M21 - V21</f>
        <v>0</v>
      </c>
      <c r="X21" s="2">
        <f>IFERROR(W21 / M21 * 100, 0)</f>
        <v>0</v>
      </c>
    </row>
    <row r="22" spans="1:24">
      <c r="A22" t="s">
        <v>1522</v>
      </c>
      <c r="B22" t="s">
        <v>512</v>
      </c>
      <c r="C22" t="s">
        <v>1644</v>
      </c>
      <c r="D22" t="s">
        <v>1007</v>
      </c>
      <c r="E22" t="s">
        <v>1746</v>
      </c>
      <c r="F22" t="s">
        <v>1767</v>
      </c>
      <c r="G22">
        <v>13.5</v>
      </c>
      <c r="H22">
        <v>0</v>
      </c>
      <c r="I22">
        <v>0</v>
      </c>
      <c r="J22">
        <v>0</v>
      </c>
      <c r="K22">
        <v>0</v>
      </c>
      <c r="L22">
        <v>1.61</v>
      </c>
      <c r="M22">
        <v>40.15</v>
      </c>
      <c r="N22">
        <v>0</v>
      </c>
      <c r="O22">
        <v>0</v>
      </c>
      <c r="P22" s="2">
        <f>(H22 + J22) - (L22 + N22)</f>
        <v>0</v>
      </c>
      <c r="Q22" s="2">
        <f>P22 * G22</f>
        <v>0</v>
      </c>
      <c r="R22">
        <v>0</v>
      </c>
      <c r="S22" s="2">
        <f>R22 * G22</f>
        <v>0</v>
      </c>
      <c r="T22" s="2">
        <f>(H22 + J22) - (L22 + N22) - R22</f>
        <v>0</v>
      </c>
      <c r="U22" s="2">
        <f>T22 * G22</f>
        <v>0</v>
      </c>
      <c r="V22" s="2">
        <f>I22 + K22 - S22</f>
        <v>0</v>
      </c>
      <c r="W22" s="2">
        <f>M22 - V22</f>
        <v>0</v>
      </c>
      <c r="X22" s="2">
        <f>IFERROR(W22 / M22 * 100, 0)</f>
        <v>0</v>
      </c>
    </row>
    <row r="23" spans="1:24">
      <c r="A23" t="s">
        <v>1523</v>
      </c>
      <c r="B23" t="s">
        <v>512</v>
      </c>
      <c r="C23" t="s">
        <v>1645</v>
      </c>
      <c r="D23" t="s">
        <v>1007</v>
      </c>
      <c r="E23" t="s">
        <v>1746</v>
      </c>
      <c r="F23" t="s">
        <v>1768</v>
      </c>
      <c r="G23">
        <v>15.57</v>
      </c>
      <c r="H23">
        <v>5.8</v>
      </c>
      <c r="I23">
        <v>98.59999999999999</v>
      </c>
      <c r="J23">
        <v>65</v>
      </c>
      <c r="K23">
        <v>1117.5</v>
      </c>
      <c r="L23">
        <v>64.59999999999999</v>
      </c>
      <c r="M23">
        <v>1335.99</v>
      </c>
      <c r="N23">
        <v>0</v>
      </c>
      <c r="O23">
        <v>0</v>
      </c>
      <c r="P23" s="2">
        <f>(H23 + J23) - (L23 + N23)</f>
        <v>0</v>
      </c>
      <c r="Q23" s="2">
        <f>P23 * G23</f>
        <v>0</v>
      </c>
      <c r="R23">
        <v>0</v>
      </c>
      <c r="S23" s="2">
        <f>R23 * G23</f>
        <v>0</v>
      </c>
      <c r="T23" s="2">
        <f>(H23 + J23) - (L23 + N23) - R23</f>
        <v>0</v>
      </c>
      <c r="U23" s="2">
        <f>T23 * G23</f>
        <v>0</v>
      </c>
      <c r="V23" s="2">
        <f>I23 + K23 - S23</f>
        <v>0</v>
      </c>
      <c r="W23" s="2">
        <f>M23 - V23</f>
        <v>0</v>
      </c>
      <c r="X23" s="2">
        <f>IFERROR(W23 / M23 * 100, 0)</f>
        <v>0</v>
      </c>
    </row>
    <row r="24" spans="1:24">
      <c r="A24" t="s">
        <v>1524</v>
      </c>
      <c r="B24" t="s">
        <v>512</v>
      </c>
      <c r="C24" t="s">
        <v>1646</v>
      </c>
      <c r="D24" t="s">
        <v>1007</v>
      </c>
      <c r="E24" t="s">
        <v>1746</v>
      </c>
      <c r="F24" t="s">
        <v>1769</v>
      </c>
      <c r="G24">
        <v>6.68</v>
      </c>
      <c r="H24">
        <v>19</v>
      </c>
      <c r="I24">
        <v>142.5</v>
      </c>
      <c r="J24">
        <v>553</v>
      </c>
      <c r="K24">
        <v>3732</v>
      </c>
      <c r="L24">
        <v>533.12</v>
      </c>
      <c r="M24">
        <v>6074.42</v>
      </c>
      <c r="N24">
        <v>0</v>
      </c>
      <c r="O24">
        <v>0</v>
      </c>
      <c r="P24" s="2">
        <f>(H24 + J24) - (L24 + N24)</f>
        <v>0</v>
      </c>
      <c r="Q24" s="2">
        <f>P24 * G24</f>
        <v>0</v>
      </c>
      <c r="R24">
        <v>25</v>
      </c>
      <c r="S24" s="2">
        <f>R24 * G24</f>
        <v>0</v>
      </c>
      <c r="T24" s="2">
        <f>(H24 + J24) - (L24 + N24) - R24</f>
        <v>0</v>
      </c>
      <c r="U24" s="2">
        <f>T24 * G24</f>
        <v>0</v>
      </c>
      <c r="V24" s="2">
        <f>I24 + K24 - S24</f>
        <v>0</v>
      </c>
      <c r="W24" s="2">
        <f>M24 - V24</f>
        <v>0</v>
      </c>
      <c r="X24" s="2">
        <f>IFERROR(W24 / M24 * 100, 0)</f>
        <v>0</v>
      </c>
    </row>
    <row r="25" spans="1:24">
      <c r="A25" t="s">
        <v>1525</v>
      </c>
      <c r="B25" t="s">
        <v>512</v>
      </c>
      <c r="C25" t="s">
        <v>1647</v>
      </c>
      <c r="D25" t="s">
        <v>1007</v>
      </c>
      <c r="E25" t="s">
        <v>1746</v>
      </c>
      <c r="F25" t="s">
        <v>1770</v>
      </c>
      <c r="G25">
        <v>7.5</v>
      </c>
      <c r="H25">
        <v>0</v>
      </c>
      <c r="I25">
        <v>0</v>
      </c>
      <c r="J25">
        <v>0</v>
      </c>
      <c r="K25">
        <v>0</v>
      </c>
      <c r="L25">
        <v>1.04</v>
      </c>
      <c r="M25">
        <v>10.4</v>
      </c>
      <c r="N25">
        <v>0</v>
      </c>
      <c r="O25">
        <v>0</v>
      </c>
      <c r="P25" s="2">
        <f>(H25 + J25) - (L25 + N25)</f>
        <v>0</v>
      </c>
      <c r="Q25" s="2">
        <f>P25 * G25</f>
        <v>0</v>
      </c>
      <c r="R25">
        <v>0</v>
      </c>
      <c r="S25" s="2">
        <f>R25 * G25</f>
        <v>0</v>
      </c>
      <c r="T25" s="2">
        <f>(H25 + J25) - (L25 + N25) - R25</f>
        <v>0</v>
      </c>
      <c r="U25" s="2">
        <f>T25 * G25</f>
        <v>0</v>
      </c>
      <c r="V25" s="2">
        <f>I25 + K25 - S25</f>
        <v>0</v>
      </c>
      <c r="W25" s="2">
        <f>M25 - V25</f>
        <v>0</v>
      </c>
      <c r="X25" s="2">
        <f>IFERROR(W25 / M25 * 100, 0)</f>
        <v>0</v>
      </c>
    </row>
    <row r="26" spans="1:24">
      <c r="A26" t="s">
        <v>1526</v>
      </c>
      <c r="B26" t="s">
        <v>512</v>
      </c>
      <c r="C26" t="s">
        <v>1648</v>
      </c>
      <c r="D26" t="s">
        <v>1007</v>
      </c>
      <c r="E26" t="s">
        <v>1746</v>
      </c>
      <c r="F26" t="s">
        <v>1771</v>
      </c>
      <c r="G26">
        <v>18</v>
      </c>
      <c r="H26">
        <v>0</v>
      </c>
      <c r="I26">
        <v>0</v>
      </c>
      <c r="J26">
        <v>2.61</v>
      </c>
      <c r="K26">
        <v>47</v>
      </c>
      <c r="L26">
        <v>2.45</v>
      </c>
      <c r="M26">
        <v>53.81</v>
      </c>
      <c r="N26">
        <v>0</v>
      </c>
      <c r="O26">
        <v>0</v>
      </c>
      <c r="P26" s="2">
        <f>(H26 + J26) - (L26 + N26)</f>
        <v>0</v>
      </c>
      <c r="Q26" s="2">
        <f>P26 * G26</f>
        <v>0</v>
      </c>
      <c r="R26">
        <v>0</v>
      </c>
      <c r="S26" s="2">
        <f>R26 * G26</f>
        <v>0</v>
      </c>
      <c r="T26" s="2">
        <f>(H26 + J26) - (L26 + N26) - R26</f>
        <v>0</v>
      </c>
      <c r="U26" s="2">
        <f>T26 * G26</f>
        <v>0</v>
      </c>
      <c r="V26" s="2">
        <f>I26 + K26 - S26</f>
        <v>0</v>
      </c>
      <c r="W26" s="2">
        <f>M26 - V26</f>
        <v>0</v>
      </c>
      <c r="X26" s="2">
        <f>IFERROR(W26 / M26 * 100, 0)</f>
        <v>0</v>
      </c>
    </row>
    <row r="27" spans="1:24">
      <c r="A27" t="s">
        <v>1527</v>
      </c>
      <c r="B27" t="s">
        <v>512</v>
      </c>
      <c r="C27" t="s">
        <v>1649</v>
      </c>
      <c r="D27" t="s">
        <v>1007</v>
      </c>
      <c r="E27" t="s">
        <v>1746</v>
      </c>
      <c r="F27" t="s">
        <v>1772</v>
      </c>
      <c r="G27">
        <v>4.26</v>
      </c>
      <c r="H27">
        <v>59.5</v>
      </c>
      <c r="I27">
        <v>205.76</v>
      </c>
      <c r="J27">
        <v>154.9</v>
      </c>
      <c r="K27">
        <v>768.78</v>
      </c>
      <c r="L27">
        <v>167.47</v>
      </c>
      <c r="M27">
        <v>1224.75</v>
      </c>
      <c r="N27">
        <v>4.8</v>
      </c>
      <c r="O27">
        <v>23.43</v>
      </c>
      <c r="P27" s="2">
        <f>(H27 + J27) - (L27 + N27)</f>
        <v>0</v>
      </c>
      <c r="Q27" s="2">
        <f>P27 * G27</f>
        <v>0</v>
      </c>
      <c r="R27">
        <v>39</v>
      </c>
      <c r="S27" s="2">
        <f>R27 * G27</f>
        <v>0</v>
      </c>
      <c r="T27" s="2">
        <f>(H27 + J27) - (L27 + N27) - R27</f>
        <v>0</v>
      </c>
      <c r="U27" s="2">
        <f>T27 * G27</f>
        <v>0</v>
      </c>
      <c r="V27" s="2">
        <f>I27 + K27 - S27</f>
        <v>0</v>
      </c>
      <c r="W27" s="2">
        <f>M27 - V27</f>
        <v>0</v>
      </c>
      <c r="X27" s="2">
        <f>IFERROR(W27 / M27 * 100, 0)</f>
        <v>0</v>
      </c>
    </row>
    <row r="28" spans="1:24">
      <c r="A28" t="s">
        <v>1528</v>
      </c>
      <c r="B28" t="s">
        <v>512</v>
      </c>
      <c r="C28" t="s">
        <v>1650</v>
      </c>
      <c r="D28" t="s">
        <v>1007</v>
      </c>
      <c r="E28" t="s">
        <v>1746</v>
      </c>
      <c r="F28" t="s">
        <v>1773</v>
      </c>
      <c r="G28">
        <v>10</v>
      </c>
      <c r="H28">
        <v>0</v>
      </c>
      <c r="I28">
        <v>0</v>
      </c>
      <c r="J28">
        <v>96</v>
      </c>
      <c r="K28">
        <v>1295.5</v>
      </c>
      <c r="L28">
        <v>92.29000000000001</v>
      </c>
      <c r="M28">
        <v>1644.2</v>
      </c>
      <c r="N28">
        <v>3</v>
      </c>
      <c r="O28">
        <v>47.01</v>
      </c>
      <c r="P28" s="2">
        <f>(H28 + J28) - (L28 + N28)</f>
        <v>0</v>
      </c>
      <c r="Q28" s="2">
        <f>P28 * G28</f>
        <v>0</v>
      </c>
      <c r="R28">
        <v>0</v>
      </c>
      <c r="S28" s="2">
        <f>R28 * G28</f>
        <v>0</v>
      </c>
      <c r="T28" s="2">
        <f>(H28 + J28) - (L28 + N28) - R28</f>
        <v>0</v>
      </c>
      <c r="U28" s="2">
        <f>T28 * G28</f>
        <v>0</v>
      </c>
      <c r="V28" s="2">
        <f>I28 + K28 - S28</f>
        <v>0</v>
      </c>
      <c r="W28" s="2">
        <f>M28 - V28</f>
        <v>0</v>
      </c>
      <c r="X28" s="2">
        <f>IFERROR(W28 / M28 * 100, 0)</f>
        <v>0</v>
      </c>
    </row>
    <row r="29" spans="1:24">
      <c r="A29" t="s">
        <v>1529</v>
      </c>
      <c r="B29" t="s">
        <v>512</v>
      </c>
      <c r="C29" t="s">
        <v>1651</v>
      </c>
      <c r="D29" t="s">
        <v>1007</v>
      </c>
      <c r="E29" t="s">
        <v>1746</v>
      </c>
      <c r="F29" t="s">
        <v>1774</v>
      </c>
      <c r="G29">
        <v>12</v>
      </c>
      <c r="H29">
        <v>0</v>
      </c>
      <c r="I29">
        <v>0</v>
      </c>
      <c r="J29">
        <v>0</v>
      </c>
      <c r="K29">
        <v>0</v>
      </c>
      <c r="L29">
        <v>10.09</v>
      </c>
      <c r="M29">
        <v>131.14</v>
      </c>
      <c r="N29">
        <v>0</v>
      </c>
      <c r="O29">
        <v>0</v>
      </c>
      <c r="P29" s="2">
        <f>(H29 + J29) - (L29 + N29)</f>
        <v>0</v>
      </c>
      <c r="Q29" s="2">
        <f>P29 * G29</f>
        <v>0</v>
      </c>
      <c r="R29">
        <v>0</v>
      </c>
      <c r="S29" s="2">
        <f>R29 * G29</f>
        <v>0</v>
      </c>
      <c r="T29" s="2">
        <f>(H29 + J29) - (L29 + N29) - R29</f>
        <v>0</v>
      </c>
      <c r="U29" s="2">
        <f>T29 * G29</f>
        <v>0</v>
      </c>
      <c r="V29" s="2">
        <f>I29 + K29 - S29</f>
        <v>0</v>
      </c>
      <c r="W29" s="2">
        <f>M29 - V29</f>
        <v>0</v>
      </c>
      <c r="X29" s="2">
        <f>IFERROR(W29 / M29 * 100, 0)</f>
        <v>0</v>
      </c>
    </row>
    <row r="30" spans="1:24">
      <c r="A30" t="s">
        <v>1530</v>
      </c>
      <c r="B30" t="s">
        <v>512</v>
      </c>
      <c r="C30" t="s">
        <v>1652</v>
      </c>
      <c r="D30" t="s">
        <v>1007</v>
      </c>
      <c r="E30" t="s">
        <v>1746</v>
      </c>
      <c r="F30" t="s">
        <v>1775</v>
      </c>
      <c r="G30">
        <v>8.470000000000001</v>
      </c>
      <c r="H30">
        <v>164.5</v>
      </c>
      <c r="I30">
        <v>1938.01</v>
      </c>
      <c r="J30">
        <v>1119.46</v>
      </c>
      <c r="K30">
        <v>11891.54</v>
      </c>
      <c r="L30">
        <v>1154.27</v>
      </c>
      <c r="M30">
        <v>17167.39</v>
      </c>
      <c r="N30">
        <v>3.65</v>
      </c>
      <c r="O30">
        <v>44.37</v>
      </c>
      <c r="P30" s="2">
        <f>(H30 + J30) - (L30 + N30)</f>
        <v>0</v>
      </c>
      <c r="Q30" s="2">
        <f>P30 * G30</f>
        <v>0</v>
      </c>
      <c r="R30">
        <v>103</v>
      </c>
      <c r="S30" s="2">
        <f>R30 * G30</f>
        <v>0</v>
      </c>
      <c r="T30" s="2">
        <f>(H30 + J30) - (L30 + N30) - R30</f>
        <v>0</v>
      </c>
      <c r="U30" s="2">
        <f>T30 * G30</f>
        <v>0</v>
      </c>
      <c r="V30" s="2">
        <f>I30 + K30 - S30</f>
        <v>0</v>
      </c>
      <c r="W30" s="2">
        <f>M30 - V30</f>
        <v>0</v>
      </c>
      <c r="X30" s="2">
        <f>IFERROR(W30 / M30 * 100, 0)</f>
        <v>0</v>
      </c>
    </row>
    <row r="31" spans="1:24">
      <c r="A31" t="s">
        <v>1531</v>
      </c>
      <c r="B31" t="s">
        <v>512</v>
      </c>
      <c r="C31" t="s">
        <v>1653</v>
      </c>
      <c r="D31" t="s">
        <v>1007</v>
      </c>
      <c r="E31" t="s">
        <v>1746</v>
      </c>
      <c r="F31" t="s">
        <v>1776</v>
      </c>
      <c r="G31">
        <v>13.31</v>
      </c>
      <c r="H31">
        <v>0</v>
      </c>
      <c r="I31">
        <v>0</v>
      </c>
      <c r="J31">
        <v>9</v>
      </c>
      <c r="K31">
        <v>112.13</v>
      </c>
      <c r="L31">
        <v>10.58</v>
      </c>
      <c r="M31">
        <v>232.74</v>
      </c>
      <c r="N31">
        <v>0</v>
      </c>
      <c r="O31">
        <v>0</v>
      </c>
      <c r="P31" s="2">
        <f>(H31 + J31) - (L31 + N31)</f>
        <v>0</v>
      </c>
      <c r="Q31" s="2">
        <f>P31 * G31</f>
        <v>0</v>
      </c>
      <c r="R31">
        <v>0</v>
      </c>
      <c r="S31" s="2">
        <f>R31 * G31</f>
        <v>0</v>
      </c>
      <c r="T31" s="2">
        <f>(H31 + J31) - (L31 + N31) - R31</f>
        <v>0</v>
      </c>
      <c r="U31" s="2">
        <f>T31 * G31</f>
        <v>0</v>
      </c>
      <c r="V31" s="2">
        <f>I31 + K31 - S31</f>
        <v>0</v>
      </c>
      <c r="W31" s="2">
        <f>M31 - V31</f>
        <v>0</v>
      </c>
      <c r="X31" s="2">
        <f>IFERROR(W31 / M31 * 100, 0)</f>
        <v>0</v>
      </c>
    </row>
    <row r="32" spans="1:24">
      <c r="A32" t="s">
        <v>1532</v>
      </c>
      <c r="B32" t="s">
        <v>512</v>
      </c>
      <c r="C32" t="s">
        <v>1654</v>
      </c>
      <c r="D32" t="s">
        <v>1007</v>
      </c>
      <c r="E32" t="s">
        <v>1746</v>
      </c>
      <c r="F32" t="s">
        <v>1777</v>
      </c>
      <c r="G32">
        <v>5.5</v>
      </c>
      <c r="H32">
        <v>121.6</v>
      </c>
      <c r="I32">
        <v>668.8</v>
      </c>
      <c r="J32">
        <v>0</v>
      </c>
      <c r="K32">
        <v>0</v>
      </c>
      <c r="L32">
        <v>60.19</v>
      </c>
      <c r="M32">
        <v>451.34</v>
      </c>
      <c r="N32">
        <v>0</v>
      </c>
      <c r="O32">
        <v>0</v>
      </c>
      <c r="P32" s="2">
        <f>(H32 + J32) - (L32 + N32)</f>
        <v>0</v>
      </c>
      <c r="Q32" s="2">
        <f>P32 * G32</f>
        <v>0</v>
      </c>
      <c r="R32">
        <v>60</v>
      </c>
      <c r="S32" s="2">
        <f>R32 * G32</f>
        <v>0</v>
      </c>
      <c r="T32" s="2">
        <f>(H32 + J32) - (L32 + N32) - R32</f>
        <v>0</v>
      </c>
      <c r="U32" s="2">
        <f>T32 * G32</f>
        <v>0</v>
      </c>
      <c r="V32" s="2">
        <f>I32 + K32 - S32</f>
        <v>0</v>
      </c>
      <c r="W32" s="2">
        <f>M32 - V32</f>
        <v>0</v>
      </c>
      <c r="X32" s="2">
        <f>IFERROR(W32 / M32 * 100, 0)</f>
        <v>0</v>
      </c>
    </row>
    <row r="33" spans="1:24">
      <c r="A33" t="s">
        <v>1533</v>
      </c>
      <c r="B33" t="s">
        <v>512</v>
      </c>
      <c r="C33" t="s">
        <v>1655</v>
      </c>
      <c r="D33" t="s">
        <v>1007</v>
      </c>
      <c r="E33" t="s">
        <v>1746</v>
      </c>
      <c r="F33" t="s">
        <v>1778</v>
      </c>
      <c r="G33">
        <v>1.6</v>
      </c>
      <c r="H33">
        <v>0</v>
      </c>
      <c r="I33">
        <v>0</v>
      </c>
      <c r="J33">
        <v>1765</v>
      </c>
      <c r="K33">
        <v>5043.75</v>
      </c>
      <c r="L33">
        <v>1599.25</v>
      </c>
      <c r="M33">
        <v>12535.3</v>
      </c>
      <c r="N33">
        <v>0</v>
      </c>
      <c r="O33">
        <v>0</v>
      </c>
      <c r="P33" s="2">
        <f>(H33 + J33) - (L33 + N33)</f>
        <v>0</v>
      </c>
      <c r="Q33" s="2">
        <f>P33 * G33</f>
        <v>0</v>
      </c>
      <c r="R33">
        <v>25</v>
      </c>
      <c r="S33" s="2">
        <f>R33 * G33</f>
        <v>0</v>
      </c>
      <c r="T33" s="2">
        <f>(H33 + J33) - (L33 + N33) - R33</f>
        <v>0</v>
      </c>
      <c r="U33" s="2">
        <f>T33 * G33</f>
        <v>0</v>
      </c>
      <c r="V33" s="2">
        <f>I33 + K33 - S33</f>
        <v>0</v>
      </c>
      <c r="W33" s="2">
        <f>M33 - V33</f>
        <v>0</v>
      </c>
      <c r="X33" s="2">
        <f>IFERROR(W33 / M33 * 100, 0)</f>
        <v>0</v>
      </c>
    </row>
    <row r="34" spans="1:24">
      <c r="A34" t="s">
        <v>1534</v>
      </c>
      <c r="B34" t="s">
        <v>512</v>
      </c>
      <c r="C34" t="s">
        <v>1656</v>
      </c>
      <c r="D34" t="s">
        <v>1007</v>
      </c>
      <c r="E34" t="s">
        <v>1746</v>
      </c>
      <c r="F34" t="s">
        <v>1779</v>
      </c>
      <c r="G34">
        <v>6.94</v>
      </c>
      <c r="H34">
        <v>146</v>
      </c>
      <c r="I34">
        <v>888.83</v>
      </c>
      <c r="J34">
        <v>292</v>
      </c>
      <c r="K34">
        <v>1962.75</v>
      </c>
      <c r="L34">
        <v>420.5</v>
      </c>
      <c r="M34">
        <v>3823</v>
      </c>
      <c r="N34">
        <v>0</v>
      </c>
      <c r="O34">
        <v>0</v>
      </c>
      <c r="P34" s="2">
        <f>(H34 + J34) - (L34 + N34)</f>
        <v>0</v>
      </c>
      <c r="Q34" s="2">
        <f>P34 * G34</f>
        <v>0</v>
      </c>
      <c r="R34">
        <v>0</v>
      </c>
      <c r="S34" s="2">
        <f>R34 * G34</f>
        <v>0</v>
      </c>
      <c r="T34" s="2">
        <f>(H34 + J34) - (L34 + N34) - R34</f>
        <v>0</v>
      </c>
      <c r="U34" s="2">
        <f>T34 * G34</f>
        <v>0</v>
      </c>
      <c r="V34" s="2">
        <f>I34 + K34 - S34</f>
        <v>0</v>
      </c>
      <c r="W34" s="2">
        <f>M34 - V34</f>
        <v>0</v>
      </c>
      <c r="X34" s="2">
        <f>IFERROR(W34 / M34 * 100, 0)</f>
        <v>0</v>
      </c>
    </row>
    <row r="35" spans="1:24">
      <c r="A35" t="s">
        <v>1535</v>
      </c>
      <c r="B35" t="s">
        <v>512</v>
      </c>
      <c r="C35" t="s">
        <v>1657</v>
      </c>
      <c r="D35" t="s">
        <v>1007</v>
      </c>
      <c r="E35" t="s">
        <v>1746</v>
      </c>
      <c r="F35" t="s">
        <v>1780</v>
      </c>
      <c r="G35">
        <v>35.71</v>
      </c>
      <c r="H35">
        <v>0</v>
      </c>
      <c r="I35">
        <v>0</v>
      </c>
      <c r="J35">
        <v>21.28</v>
      </c>
      <c r="K35">
        <v>754.77</v>
      </c>
      <c r="L35">
        <v>12</v>
      </c>
      <c r="M35">
        <v>455.9</v>
      </c>
      <c r="N35">
        <v>0.4</v>
      </c>
      <c r="O35">
        <v>14.28</v>
      </c>
      <c r="P35" s="2">
        <f>(H35 + J35) - (L35 + N35)</f>
        <v>0</v>
      </c>
      <c r="Q35" s="2">
        <f>P35 * G35</f>
        <v>0</v>
      </c>
      <c r="R35">
        <v>7</v>
      </c>
      <c r="S35" s="2">
        <f>R35 * G35</f>
        <v>0</v>
      </c>
      <c r="T35" s="2">
        <f>(H35 + J35) - (L35 + N35) - R35</f>
        <v>0</v>
      </c>
      <c r="U35" s="2">
        <f>T35 * G35</f>
        <v>0</v>
      </c>
      <c r="V35" s="2">
        <f>I35 + K35 - S35</f>
        <v>0</v>
      </c>
      <c r="W35" s="2">
        <f>M35 - V35</f>
        <v>0</v>
      </c>
      <c r="X35" s="2">
        <f>IFERROR(W35 / M35 * 100, 0)</f>
        <v>0</v>
      </c>
    </row>
    <row r="36" spans="1:24">
      <c r="A36" t="s">
        <v>1536</v>
      </c>
      <c r="B36" t="s">
        <v>512</v>
      </c>
      <c r="C36" t="s">
        <v>1658</v>
      </c>
      <c r="D36" t="s">
        <v>1007</v>
      </c>
      <c r="E36" t="s">
        <v>1746</v>
      </c>
      <c r="F36" t="s">
        <v>1781</v>
      </c>
      <c r="G36">
        <v>9.93</v>
      </c>
      <c r="H36">
        <v>0</v>
      </c>
      <c r="I36">
        <v>0</v>
      </c>
      <c r="J36">
        <v>0</v>
      </c>
      <c r="K36">
        <v>0</v>
      </c>
      <c r="L36">
        <v>1.66</v>
      </c>
      <c r="M36">
        <v>22.39</v>
      </c>
      <c r="N36">
        <v>0</v>
      </c>
      <c r="O36">
        <v>0</v>
      </c>
      <c r="P36" s="2">
        <f>(H36 + J36) - (L36 + N36)</f>
        <v>0</v>
      </c>
      <c r="Q36" s="2">
        <f>P36 * G36</f>
        <v>0</v>
      </c>
      <c r="R36">
        <v>0</v>
      </c>
      <c r="S36" s="2">
        <f>R36 * G36</f>
        <v>0</v>
      </c>
      <c r="T36" s="2">
        <f>(H36 + J36) - (L36 + N36) - R36</f>
        <v>0</v>
      </c>
      <c r="U36" s="2">
        <f>T36 * G36</f>
        <v>0</v>
      </c>
      <c r="V36" s="2">
        <f>I36 + K36 - S36</f>
        <v>0</v>
      </c>
      <c r="W36" s="2">
        <f>M36 - V36</f>
        <v>0</v>
      </c>
      <c r="X36" s="2">
        <f>IFERROR(W36 / M36 * 100, 0)</f>
        <v>0</v>
      </c>
    </row>
    <row r="37" spans="1:24">
      <c r="A37" t="s">
        <v>1537</v>
      </c>
      <c r="B37" t="s">
        <v>512</v>
      </c>
      <c r="C37" t="s">
        <v>1659</v>
      </c>
      <c r="D37" t="s">
        <v>1007</v>
      </c>
      <c r="E37" t="s">
        <v>1746</v>
      </c>
      <c r="F37" t="s">
        <v>1782</v>
      </c>
      <c r="G37">
        <v>6</v>
      </c>
      <c r="H37">
        <v>0</v>
      </c>
      <c r="I37">
        <v>0</v>
      </c>
      <c r="J37">
        <v>771</v>
      </c>
      <c r="K37">
        <v>5504</v>
      </c>
      <c r="L37">
        <v>784.1799999999999</v>
      </c>
      <c r="M37">
        <v>9089.9</v>
      </c>
      <c r="N37">
        <v>0</v>
      </c>
      <c r="O37">
        <v>0</v>
      </c>
      <c r="P37" s="2">
        <f>(H37 + J37) - (L37 + N37)</f>
        <v>0</v>
      </c>
      <c r="Q37" s="2">
        <f>P37 * G37</f>
        <v>0</v>
      </c>
      <c r="R37">
        <v>22.5</v>
      </c>
      <c r="S37" s="2">
        <f>R37 * G37</f>
        <v>0</v>
      </c>
      <c r="T37" s="2">
        <f>(H37 + J37) - (L37 + N37) - R37</f>
        <v>0</v>
      </c>
      <c r="U37" s="2">
        <f>T37 * G37</f>
        <v>0</v>
      </c>
      <c r="V37" s="2">
        <f>I37 + K37 - S37</f>
        <v>0</v>
      </c>
      <c r="W37" s="2">
        <f>M37 - V37</f>
        <v>0</v>
      </c>
      <c r="X37" s="2">
        <f>IFERROR(W37 / M37 * 100, 0)</f>
        <v>0</v>
      </c>
    </row>
    <row r="38" spans="1:24">
      <c r="A38" t="s">
        <v>1538</v>
      </c>
      <c r="B38" t="s">
        <v>512</v>
      </c>
      <c r="C38" t="s">
        <v>1660</v>
      </c>
      <c r="D38" t="s">
        <v>1007</v>
      </c>
      <c r="E38" t="s">
        <v>1746</v>
      </c>
      <c r="F38" t="s">
        <v>1783</v>
      </c>
      <c r="G38">
        <v>11</v>
      </c>
      <c r="H38">
        <v>0</v>
      </c>
      <c r="I38">
        <v>0</v>
      </c>
      <c r="J38">
        <v>192.75</v>
      </c>
      <c r="K38">
        <v>2120.23</v>
      </c>
      <c r="L38">
        <v>183.98</v>
      </c>
      <c r="M38">
        <v>2667.75</v>
      </c>
      <c r="N38">
        <v>3</v>
      </c>
      <c r="O38">
        <v>33</v>
      </c>
      <c r="P38" s="2">
        <f>(H38 + J38) - (L38 + N38)</f>
        <v>0</v>
      </c>
      <c r="Q38" s="2">
        <f>P38 * G38</f>
        <v>0</v>
      </c>
      <c r="R38">
        <v>0</v>
      </c>
      <c r="S38" s="2">
        <f>R38 * G38</f>
        <v>0</v>
      </c>
      <c r="T38" s="2">
        <f>(H38 + J38) - (L38 + N38) - R38</f>
        <v>0</v>
      </c>
      <c r="U38" s="2">
        <f>T38 * G38</f>
        <v>0</v>
      </c>
      <c r="V38" s="2">
        <f>I38 + K38 - S38</f>
        <v>0</v>
      </c>
      <c r="W38" s="2">
        <f>M38 - V38</f>
        <v>0</v>
      </c>
      <c r="X38" s="2">
        <f>IFERROR(W38 / M38 * 100, 0)</f>
        <v>0</v>
      </c>
    </row>
    <row r="39" spans="1:24">
      <c r="A39" t="s">
        <v>1539</v>
      </c>
      <c r="B39" t="s">
        <v>512</v>
      </c>
      <c r="C39" t="s">
        <v>1661</v>
      </c>
      <c r="D39" t="s">
        <v>1007</v>
      </c>
      <c r="E39" t="s">
        <v>1746</v>
      </c>
      <c r="F39" t="s">
        <v>1784</v>
      </c>
      <c r="G39">
        <v>20.25</v>
      </c>
      <c r="H39">
        <v>0</v>
      </c>
      <c r="I39">
        <v>0</v>
      </c>
      <c r="J39">
        <v>20.1</v>
      </c>
      <c r="K39">
        <v>518.4299999999999</v>
      </c>
      <c r="L39">
        <v>34.77</v>
      </c>
      <c r="M39">
        <v>1063.87</v>
      </c>
      <c r="N39">
        <v>0</v>
      </c>
      <c r="O39">
        <v>0</v>
      </c>
      <c r="P39" s="2">
        <f>(H39 + J39) - (L39 + N39)</f>
        <v>0</v>
      </c>
      <c r="Q39" s="2">
        <f>P39 * G39</f>
        <v>0</v>
      </c>
      <c r="R39">
        <v>0</v>
      </c>
      <c r="S39" s="2">
        <f>R39 * G39</f>
        <v>0</v>
      </c>
      <c r="T39" s="2">
        <f>(H39 + J39) - (L39 + N39) - R39</f>
        <v>0</v>
      </c>
      <c r="U39" s="2">
        <f>T39 * G39</f>
        <v>0</v>
      </c>
      <c r="V39" s="2">
        <f>I39 + K39 - S39</f>
        <v>0</v>
      </c>
      <c r="W39" s="2">
        <f>M39 - V39</f>
        <v>0</v>
      </c>
      <c r="X39" s="2">
        <f>IFERROR(W39 / M39 * 100, 0)</f>
        <v>0</v>
      </c>
    </row>
    <row r="40" spans="1:24">
      <c r="A40" t="s">
        <v>1540</v>
      </c>
      <c r="B40" t="s">
        <v>512</v>
      </c>
      <c r="C40" t="s">
        <v>1662</v>
      </c>
      <c r="D40" t="s">
        <v>1007</v>
      </c>
      <c r="E40" t="s">
        <v>1746</v>
      </c>
      <c r="F40" t="s">
        <v>1785</v>
      </c>
      <c r="G40">
        <v>24.05</v>
      </c>
      <c r="H40">
        <v>3.5</v>
      </c>
      <c r="I40">
        <v>71.23</v>
      </c>
      <c r="J40">
        <v>131</v>
      </c>
      <c r="K40">
        <v>2849.5</v>
      </c>
      <c r="L40">
        <v>114.27</v>
      </c>
      <c r="M40">
        <v>3059.77</v>
      </c>
      <c r="N40">
        <v>1.15</v>
      </c>
      <c r="O40">
        <v>27.65</v>
      </c>
      <c r="P40" s="2">
        <f>(H40 + J40) - (L40 + N40)</f>
        <v>0</v>
      </c>
      <c r="Q40" s="2">
        <f>P40 * G40</f>
        <v>0</v>
      </c>
      <c r="R40">
        <v>0</v>
      </c>
      <c r="S40" s="2">
        <f>R40 * G40</f>
        <v>0</v>
      </c>
      <c r="T40" s="2">
        <f>(H40 + J40) - (L40 + N40) - R40</f>
        <v>0</v>
      </c>
      <c r="U40" s="2">
        <f>T40 * G40</f>
        <v>0</v>
      </c>
      <c r="V40" s="2">
        <f>I40 + K40 - S40</f>
        <v>0</v>
      </c>
      <c r="W40" s="2">
        <f>M40 - V40</f>
        <v>0</v>
      </c>
      <c r="X40" s="2">
        <f>IFERROR(W40 / M40 * 100, 0)</f>
        <v>0</v>
      </c>
    </row>
    <row r="41" spans="1:24">
      <c r="A41" t="s">
        <v>1541</v>
      </c>
      <c r="B41" t="s">
        <v>512</v>
      </c>
      <c r="C41" t="s">
        <v>1663</v>
      </c>
      <c r="D41" t="s">
        <v>1007</v>
      </c>
      <c r="E41" t="s">
        <v>1746</v>
      </c>
      <c r="F41" t="s">
        <v>1786</v>
      </c>
      <c r="G41">
        <v>11.75</v>
      </c>
      <c r="H41">
        <v>89</v>
      </c>
      <c r="I41">
        <v>1068</v>
      </c>
      <c r="J41">
        <v>849</v>
      </c>
      <c r="K41">
        <v>9817.879999999999</v>
      </c>
      <c r="L41">
        <v>915.48</v>
      </c>
      <c r="M41">
        <v>12585.35</v>
      </c>
      <c r="N41">
        <v>2.5</v>
      </c>
      <c r="O41">
        <v>28.19</v>
      </c>
      <c r="P41" s="2">
        <f>(H41 + J41) - (L41 + N41)</f>
        <v>0</v>
      </c>
      <c r="Q41" s="2">
        <f>P41 * G41</f>
        <v>0</v>
      </c>
      <c r="R41">
        <v>20</v>
      </c>
      <c r="S41" s="2">
        <f>R41 * G41</f>
        <v>0</v>
      </c>
      <c r="T41" s="2">
        <f>(H41 + J41) - (L41 + N41) - R41</f>
        <v>0</v>
      </c>
      <c r="U41" s="2">
        <f>T41 * G41</f>
        <v>0</v>
      </c>
      <c r="V41" s="2">
        <f>I41 + K41 - S41</f>
        <v>0</v>
      </c>
      <c r="W41" s="2">
        <f>M41 - V41</f>
        <v>0</v>
      </c>
      <c r="X41" s="2">
        <f>IFERROR(W41 / M41 * 100, 0)</f>
        <v>0</v>
      </c>
    </row>
    <row r="42" spans="1:24">
      <c r="A42" t="s">
        <v>1542</v>
      </c>
      <c r="B42" t="s">
        <v>512</v>
      </c>
      <c r="C42" t="s">
        <v>1664</v>
      </c>
      <c r="D42" t="s">
        <v>1007</v>
      </c>
      <c r="E42" t="s">
        <v>1746</v>
      </c>
      <c r="F42" t="s">
        <v>1787</v>
      </c>
      <c r="G42">
        <v>32.52</v>
      </c>
      <c r="H42">
        <v>0</v>
      </c>
      <c r="I42">
        <v>0</v>
      </c>
      <c r="J42">
        <v>38.48</v>
      </c>
      <c r="K42">
        <v>1290.43</v>
      </c>
      <c r="L42">
        <v>35.72</v>
      </c>
      <c r="M42">
        <v>1295.52</v>
      </c>
      <c r="N42">
        <v>1.5</v>
      </c>
      <c r="O42">
        <v>48.78</v>
      </c>
      <c r="P42" s="2">
        <f>(H42 + J42) - (L42 + N42)</f>
        <v>0</v>
      </c>
      <c r="Q42" s="2">
        <f>P42 * G42</f>
        <v>0</v>
      </c>
      <c r="R42">
        <v>0</v>
      </c>
      <c r="S42" s="2">
        <f>R42 * G42</f>
        <v>0</v>
      </c>
      <c r="T42" s="2">
        <f>(H42 + J42) - (L42 + N42) - R42</f>
        <v>0</v>
      </c>
      <c r="U42" s="2">
        <f>T42 * G42</f>
        <v>0</v>
      </c>
      <c r="V42" s="2">
        <f>I42 + K42 - S42</f>
        <v>0</v>
      </c>
      <c r="W42" s="2">
        <f>M42 - V42</f>
        <v>0</v>
      </c>
      <c r="X42" s="2">
        <f>IFERROR(W42 / M42 * 100, 0)</f>
        <v>0</v>
      </c>
    </row>
    <row r="43" spans="1:24">
      <c r="A43" t="s">
        <v>1543</v>
      </c>
      <c r="B43" t="s">
        <v>512</v>
      </c>
      <c r="C43" t="s">
        <v>1665</v>
      </c>
      <c r="D43" t="s">
        <v>1007</v>
      </c>
      <c r="E43" t="s">
        <v>1746</v>
      </c>
      <c r="F43" t="s">
        <v>1788</v>
      </c>
      <c r="G43">
        <v>16</v>
      </c>
      <c r="H43">
        <v>0</v>
      </c>
      <c r="I43">
        <v>0</v>
      </c>
      <c r="J43">
        <v>0</v>
      </c>
      <c r="K43">
        <v>0</v>
      </c>
      <c r="L43">
        <v>2.12</v>
      </c>
      <c r="M43">
        <v>35.51</v>
      </c>
      <c r="N43">
        <v>0</v>
      </c>
      <c r="O43">
        <v>0</v>
      </c>
      <c r="P43" s="2">
        <f>(H43 + J43) - (L43 + N43)</f>
        <v>0</v>
      </c>
      <c r="Q43" s="2">
        <f>P43 * G43</f>
        <v>0</v>
      </c>
      <c r="R43">
        <v>0</v>
      </c>
      <c r="S43" s="2">
        <f>R43 * G43</f>
        <v>0</v>
      </c>
      <c r="T43" s="2">
        <f>(H43 + J43) - (L43 + N43) - R43</f>
        <v>0</v>
      </c>
      <c r="U43" s="2">
        <f>T43 * G43</f>
        <v>0</v>
      </c>
      <c r="V43" s="2">
        <f>I43 + K43 - S43</f>
        <v>0</v>
      </c>
      <c r="W43" s="2">
        <f>M43 - V43</f>
        <v>0</v>
      </c>
      <c r="X43" s="2">
        <f>IFERROR(W43 / M43 * 100, 0)</f>
        <v>0</v>
      </c>
    </row>
    <row r="44" spans="1:24">
      <c r="A44" t="s">
        <v>1544</v>
      </c>
      <c r="B44" t="s">
        <v>512</v>
      </c>
      <c r="C44" t="s">
        <v>1666</v>
      </c>
      <c r="D44" t="s">
        <v>1007</v>
      </c>
      <c r="E44" t="s">
        <v>1746</v>
      </c>
      <c r="F44" t="s">
        <v>1789</v>
      </c>
      <c r="G44">
        <v>15</v>
      </c>
      <c r="H44">
        <v>0</v>
      </c>
      <c r="I44">
        <v>0</v>
      </c>
      <c r="J44">
        <v>20</v>
      </c>
      <c r="K44">
        <v>300</v>
      </c>
      <c r="L44">
        <v>18.45</v>
      </c>
      <c r="M44">
        <v>332.04</v>
      </c>
      <c r="N44">
        <v>0</v>
      </c>
      <c r="O44">
        <v>0</v>
      </c>
      <c r="P44" s="2">
        <f>(H44 + J44) - (L44 + N44)</f>
        <v>0</v>
      </c>
      <c r="Q44" s="2">
        <f>P44 * G44</f>
        <v>0</v>
      </c>
      <c r="R44">
        <v>0</v>
      </c>
      <c r="S44" s="2">
        <f>R44 * G44</f>
        <v>0</v>
      </c>
      <c r="T44" s="2">
        <f>(H44 + J44) - (L44 + N44) - R44</f>
        <v>0</v>
      </c>
      <c r="U44" s="2">
        <f>T44 * G44</f>
        <v>0</v>
      </c>
      <c r="V44" s="2">
        <f>I44 + K44 - S44</f>
        <v>0</v>
      </c>
      <c r="W44" s="2">
        <f>M44 - V44</f>
        <v>0</v>
      </c>
      <c r="X44" s="2">
        <f>IFERROR(W44 / M44 * 100, 0)</f>
        <v>0</v>
      </c>
    </row>
    <row r="45" spans="1:24">
      <c r="A45" t="s">
        <v>1545</v>
      </c>
      <c r="B45" t="s">
        <v>512</v>
      </c>
      <c r="C45" t="s">
        <v>1667</v>
      </c>
      <c r="D45" t="s">
        <v>1007</v>
      </c>
      <c r="E45" t="s">
        <v>1746</v>
      </c>
      <c r="F45" t="s">
        <v>1790</v>
      </c>
      <c r="G45">
        <v>20.07</v>
      </c>
      <c r="H45">
        <v>0</v>
      </c>
      <c r="I45">
        <v>0</v>
      </c>
      <c r="J45">
        <v>32.5</v>
      </c>
      <c r="K45">
        <v>802.5</v>
      </c>
      <c r="L45">
        <v>32.35</v>
      </c>
      <c r="M45">
        <v>897.5700000000001</v>
      </c>
      <c r="N45">
        <v>0</v>
      </c>
      <c r="O45">
        <v>0</v>
      </c>
      <c r="P45" s="2">
        <f>(H45 + J45) - (L45 + N45)</f>
        <v>0</v>
      </c>
      <c r="Q45" s="2">
        <f>P45 * G45</f>
        <v>0</v>
      </c>
      <c r="R45">
        <v>1.7</v>
      </c>
      <c r="S45" s="2">
        <f>R45 * G45</f>
        <v>0</v>
      </c>
      <c r="T45" s="2">
        <f>(H45 + J45) - (L45 + N45) - R45</f>
        <v>0</v>
      </c>
      <c r="U45" s="2">
        <f>T45 * G45</f>
        <v>0</v>
      </c>
      <c r="V45" s="2">
        <f>I45 + K45 - S45</f>
        <v>0</v>
      </c>
      <c r="W45" s="2">
        <f>M45 - V45</f>
        <v>0</v>
      </c>
      <c r="X45" s="2">
        <f>IFERROR(W45 / M45 * 100, 0)</f>
        <v>0</v>
      </c>
    </row>
    <row r="46" spans="1:24">
      <c r="A46" t="s">
        <v>1546</v>
      </c>
      <c r="B46" t="s">
        <v>512</v>
      </c>
      <c r="C46" t="s">
        <v>1668</v>
      </c>
      <c r="D46" t="s">
        <v>1007</v>
      </c>
      <c r="E46" t="s">
        <v>1746</v>
      </c>
      <c r="F46" t="s">
        <v>1791</v>
      </c>
      <c r="G46">
        <v>7</v>
      </c>
      <c r="H46">
        <v>6</v>
      </c>
      <c r="I46">
        <v>42</v>
      </c>
      <c r="J46">
        <v>45</v>
      </c>
      <c r="K46">
        <v>316.5</v>
      </c>
      <c r="L46">
        <v>48.71</v>
      </c>
      <c r="M46">
        <v>730.6900000000001</v>
      </c>
      <c r="N46">
        <v>0</v>
      </c>
      <c r="O46">
        <v>0</v>
      </c>
      <c r="P46" s="2">
        <f>(H46 + J46) - (L46 + N46)</f>
        <v>0</v>
      </c>
      <c r="Q46" s="2">
        <f>P46 * G46</f>
        <v>0</v>
      </c>
      <c r="R46">
        <v>7</v>
      </c>
      <c r="S46" s="2">
        <f>R46 * G46</f>
        <v>0</v>
      </c>
      <c r="T46" s="2">
        <f>(H46 + J46) - (L46 + N46) - R46</f>
        <v>0</v>
      </c>
      <c r="U46" s="2">
        <f>T46 * G46</f>
        <v>0</v>
      </c>
      <c r="V46" s="2">
        <f>I46 + K46 - S46</f>
        <v>0</v>
      </c>
      <c r="W46" s="2">
        <f>M46 - V46</f>
        <v>0</v>
      </c>
      <c r="X46" s="2">
        <f>IFERROR(W46 / M46 * 100, 0)</f>
        <v>0</v>
      </c>
    </row>
    <row r="47" spans="1:24">
      <c r="A47" t="s">
        <v>1547</v>
      </c>
      <c r="B47" t="s">
        <v>512</v>
      </c>
      <c r="C47" t="s">
        <v>1669</v>
      </c>
      <c r="D47" t="s">
        <v>1007</v>
      </c>
      <c r="E47" t="s">
        <v>1746</v>
      </c>
      <c r="F47" t="s">
        <v>1792</v>
      </c>
      <c r="G47">
        <v>1.71</v>
      </c>
      <c r="H47">
        <v>0</v>
      </c>
      <c r="I47">
        <v>0</v>
      </c>
      <c r="J47">
        <v>277</v>
      </c>
      <c r="K47">
        <v>753</v>
      </c>
      <c r="L47">
        <v>201.06</v>
      </c>
      <c r="M47">
        <v>1100.05</v>
      </c>
      <c r="N47">
        <v>34</v>
      </c>
      <c r="O47">
        <v>68.31</v>
      </c>
      <c r="P47" s="2">
        <f>(H47 + J47) - (L47 + N47)</f>
        <v>0</v>
      </c>
      <c r="Q47" s="2">
        <f>P47 * G47</f>
        <v>0</v>
      </c>
      <c r="R47">
        <v>34</v>
      </c>
      <c r="S47" s="2">
        <f>R47 * G47</f>
        <v>0</v>
      </c>
      <c r="T47" s="2">
        <f>(H47 + J47) - (L47 + N47) - R47</f>
        <v>0</v>
      </c>
      <c r="U47" s="2">
        <f>T47 * G47</f>
        <v>0</v>
      </c>
      <c r="V47" s="2">
        <f>I47 + K47 - S47</f>
        <v>0</v>
      </c>
      <c r="W47" s="2">
        <f>M47 - V47</f>
        <v>0</v>
      </c>
      <c r="X47" s="2">
        <f>IFERROR(W47 / M47 * 100, 0)</f>
        <v>0</v>
      </c>
    </row>
    <row r="48" spans="1:24">
      <c r="A48" t="s">
        <v>1548</v>
      </c>
      <c r="B48" t="s">
        <v>512</v>
      </c>
      <c r="C48" t="s">
        <v>1670</v>
      </c>
      <c r="D48" t="s">
        <v>1007</v>
      </c>
      <c r="E48" t="s">
        <v>1746</v>
      </c>
      <c r="F48" t="s">
        <v>1793</v>
      </c>
      <c r="G48">
        <v>16</v>
      </c>
      <c r="H48">
        <v>0</v>
      </c>
      <c r="I48">
        <v>0</v>
      </c>
      <c r="J48">
        <v>28.5</v>
      </c>
      <c r="K48">
        <v>452.88</v>
      </c>
      <c r="L48">
        <v>26.91</v>
      </c>
      <c r="M48">
        <v>598.5599999999999</v>
      </c>
      <c r="N48">
        <v>0</v>
      </c>
      <c r="O48">
        <v>0</v>
      </c>
      <c r="P48" s="2">
        <f>(H48 + J48) - (L48 + N48)</f>
        <v>0</v>
      </c>
      <c r="Q48" s="2">
        <f>P48 * G48</f>
        <v>0</v>
      </c>
      <c r="R48">
        <v>0</v>
      </c>
      <c r="S48" s="2">
        <f>R48 * G48</f>
        <v>0</v>
      </c>
      <c r="T48" s="2">
        <f>(H48 + J48) - (L48 + N48) - R48</f>
        <v>0</v>
      </c>
      <c r="U48" s="2">
        <f>T48 * G48</f>
        <v>0</v>
      </c>
      <c r="V48" s="2">
        <f>I48 + K48 - S48</f>
        <v>0</v>
      </c>
      <c r="W48" s="2">
        <f>M48 - V48</f>
        <v>0</v>
      </c>
      <c r="X48" s="2">
        <f>IFERROR(W48 / M48 * 100, 0)</f>
        <v>0</v>
      </c>
    </row>
    <row r="49" spans="1:24">
      <c r="A49" t="s">
        <v>1549</v>
      </c>
      <c r="B49" t="s">
        <v>512</v>
      </c>
      <c r="C49" t="s">
        <v>1671</v>
      </c>
      <c r="D49" t="s">
        <v>1007</v>
      </c>
      <c r="E49" t="s">
        <v>1746</v>
      </c>
      <c r="F49" t="s">
        <v>1794</v>
      </c>
      <c r="G49">
        <v>42.02</v>
      </c>
      <c r="H49">
        <v>19.5</v>
      </c>
      <c r="I49">
        <v>787.95</v>
      </c>
      <c r="J49">
        <v>68.90000000000001</v>
      </c>
      <c r="K49">
        <v>2896.33</v>
      </c>
      <c r="L49">
        <v>79.68000000000001</v>
      </c>
      <c r="M49">
        <v>3652.49</v>
      </c>
      <c r="N49">
        <v>4.75</v>
      </c>
      <c r="O49">
        <v>200.07</v>
      </c>
      <c r="P49" s="2">
        <f>(H49 + J49) - (L49 + N49)</f>
        <v>0</v>
      </c>
      <c r="Q49" s="2">
        <f>P49 * G49</f>
        <v>0</v>
      </c>
      <c r="R49">
        <v>6.3</v>
      </c>
      <c r="S49" s="2">
        <f>R49 * G49</f>
        <v>0</v>
      </c>
      <c r="T49" s="2">
        <f>(H49 + J49) - (L49 + N49) - R49</f>
        <v>0</v>
      </c>
      <c r="U49" s="2">
        <f>T49 * G49</f>
        <v>0</v>
      </c>
      <c r="V49" s="2">
        <f>I49 + K49 - S49</f>
        <v>0</v>
      </c>
      <c r="W49" s="2">
        <f>M49 - V49</f>
        <v>0</v>
      </c>
      <c r="X49" s="2">
        <f>IFERROR(W49 / M49 * 100, 0)</f>
        <v>0</v>
      </c>
    </row>
    <row r="50" spans="1:24">
      <c r="A50" t="s">
        <v>1550</v>
      </c>
      <c r="B50" t="s">
        <v>512</v>
      </c>
      <c r="C50" t="s">
        <v>1672</v>
      </c>
      <c r="D50" t="s">
        <v>1007</v>
      </c>
      <c r="E50" t="s">
        <v>1746</v>
      </c>
      <c r="F50" t="s">
        <v>1795</v>
      </c>
      <c r="G50">
        <v>11.58</v>
      </c>
      <c r="H50">
        <v>2.2</v>
      </c>
      <c r="I50">
        <v>25.27</v>
      </c>
      <c r="J50">
        <v>59.25</v>
      </c>
      <c r="K50">
        <v>809.73</v>
      </c>
      <c r="L50">
        <v>51.35</v>
      </c>
      <c r="M50">
        <v>1027.04</v>
      </c>
      <c r="N50">
        <v>0</v>
      </c>
      <c r="O50">
        <v>0</v>
      </c>
      <c r="P50" s="2">
        <f>(H50 + J50) - (L50 + N50)</f>
        <v>0</v>
      </c>
      <c r="Q50" s="2">
        <f>P50 * G50</f>
        <v>0</v>
      </c>
      <c r="R50">
        <v>0</v>
      </c>
      <c r="S50" s="2">
        <f>R50 * G50</f>
        <v>0</v>
      </c>
      <c r="T50" s="2">
        <f>(H50 + J50) - (L50 + N50) - R50</f>
        <v>0</v>
      </c>
      <c r="U50" s="2">
        <f>T50 * G50</f>
        <v>0</v>
      </c>
      <c r="V50" s="2">
        <f>I50 + K50 - S50</f>
        <v>0</v>
      </c>
      <c r="W50" s="2">
        <f>M50 - V50</f>
        <v>0</v>
      </c>
      <c r="X50" s="2">
        <f>IFERROR(W50 / M50 * 100, 0)</f>
        <v>0</v>
      </c>
    </row>
    <row r="51" spans="1:24">
      <c r="A51" t="s">
        <v>1551</v>
      </c>
      <c r="B51" t="s">
        <v>512</v>
      </c>
      <c r="C51" t="s">
        <v>1673</v>
      </c>
      <c r="D51" t="s">
        <v>1007</v>
      </c>
      <c r="E51" t="s">
        <v>1746</v>
      </c>
      <c r="F51" t="s">
        <v>1796</v>
      </c>
      <c r="G51">
        <v>24.41</v>
      </c>
      <c r="H51">
        <v>41.7</v>
      </c>
      <c r="I51">
        <v>1003.94</v>
      </c>
      <c r="J51">
        <v>246.37</v>
      </c>
      <c r="K51">
        <v>6846.71</v>
      </c>
      <c r="L51">
        <v>209.72</v>
      </c>
      <c r="M51">
        <v>7752.4</v>
      </c>
      <c r="N51">
        <v>9.300000000000001</v>
      </c>
      <c r="O51">
        <v>242.51</v>
      </c>
      <c r="P51" s="2">
        <f>(H51 + J51) - (L51 + N51)</f>
        <v>0</v>
      </c>
      <c r="Q51" s="2">
        <f>P51 * G51</f>
        <v>0</v>
      </c>
      <c r="R51">
        <v>45</v>
      </c>
      <c r="S51" s="2">
        <f>R51 * G51</f>
        <v>0</v>
      </c>
      <c r="T51" s="2">
        <f>(H51 + J51) - (L51 + N51) - R51</f>
        <v>0</v>
      </c>
      <c r="U51" s="2">
        <f>T51 * G51</f>
        <v>0</v>
      </c>
      <c r="V51" s="2">
        <f>I51 + K51 - S51</f>
        <v>0</v>
      </c>
      <c r="W51" s="2">
        <f>M51 - V51</f>
        <v>0</v>
      </c>
      <c r="X51" s="2">
        <f>IFERROR(W51 / M51 * 100, 0)</f>
        <v>0</v>
      </c>
    </row>
    <row r="52" spans="1:24">
      <c r="A52" t="s">
        <v>1552</v>
      </c>
      <c r="B52" t="s">
        <v>512</v>
      </c>
      <c r="C52" t="s">
        <v>1674</v>
      </c>
      <c r="D52" t="s">
        <v>1007</v>
      </c>
      <c r="E52" t="s">
        <v>1746</v>
      </c>
      <c r="F52" t="s">
        <v>1797</v>
      </c>
      <c r="G52">
        <v>25</v>
      </c>
      <c r="H52">
        <v>0</v>
      </c>
      <c r="I52">
        <v>0</v>
      </c>
      <c r="J52">
        <v>18.5</v>
      </c>
      <c r="K52">
        <v>425</v>
      </c>
      <c r="L52">
        <v>3.47</v>
      </c>
      <c r="M52">
        <v>98.66</v>
      </c>
      <c r="N52">
        <v>0</v>
      </c>
      <c r="O52">
        <v>0</v>
      </c>
      <c r="P52" s="2">
        <f>(H52 + J52) - (L52 + N52)</f>
        <v>0</v>
      </c>
      <c r="Q52" s="2">
        <f>P52 * G52</f>
        <v>0</v>
      </c>
      <c r="R52">
        <v>8.5</v>
      </c>
      <c r="S52" s="2">
        <f>R52 * G52</f>
        <v>0</v>
      </c>
      <c r="T52" s="2">
        <f>(H52 + J52) - (L52 + N52) - R52</f>
        <v>0</v>
      </c>
      <c r="U52" s="2">
        <f>T52 * G52</f>
        <v>0</v>
      </c>
      <c r="V52" s="2">
        <f>I52 + K52 - S52</f>
        <v>0</v>
      </c>
      <c r="W52" s="2">
        <f>M52 - V52</f>
        <v>0</v>
      </c>
      <c r="X52" s="2">
        <f>IFERROR(W52 / M52 * 100, 0)</f>
        <v>0</v>
      </c>
    </row>
    <row r="53" spans="1:24">
      <c r="A53" t="s">
        <v>1553</v>
      </c>
      <c r="B53" t="s">
        <v>512</v>
      </c>
      <c r="C53" t="s">
        <v>1675</v>
      </c>
      <c r="D53" t="s">
        <v>1007</v>
      </c>
      <c r="E53" t="s">
        <v>1746</v>
      </c>
      <c r="F53" t="s">
        <v>1798</v>
      </c>
      <c r="G53">
        <v>8</v>
      </c>
      <c r="H53">
        <v>0</v>
      </c>
      <c r="I53">
        <v>0</v>
      </c>
      <c r="J53">
        <v>120</v>
      </c>
      <c r="K53">
        <v>960</v>
      </c>
      <c r="L53">
        <v>134.34</v>
      </c>
      <c r="M53">
        <v>1450.5</v>
      </c>
      <c r="N53">
        <v>0</v>
      </c>
      <c r="O53">
        <v>0</v>
      </c>
      <c r="P53" s="2">
        <f>(H53 + J53) - (L53 + N53)</f>
        <v>0</v>
      </c>
      <c r="Q53" s="2">
        <f>P53 * G53</f>
        <v>0</v>
      </c>
      <c r="R53">
        <v>0</v>
      </c>
      <c r="S53" s="2">
        <f>R53 * G53</f>
        <v>0</v>
      </c>
      <c r="T53" s="2">
        <f>(H53 + J53) - (L53 + N53) - R53</f>
        <v>0</v>
      </c>
      <c r="U53" s="2">
        <f>T53 * G53</f>
        <v>0</v>
      </c>
      <c r="V53" s="2">
        <f>I53 + K53 - S53</f>
        <v>0</v>
      </c>
      <c r="W53" s="2">
        <f>M53 - V53</f>
        <v>0</v>
      </c>
      <c r="X53" s="2">
        <f>IFERROR(W53 / M53 * 100, 0)</f>
        <v>0</v>
      </c>
    </row>
    <row r="54" spans="1:24">
      <c r="A54" t="s">
        <v>1554</v>
      </c>
      <c r="B54" t="s">
        <v>512</v>
      </c>
      <c r="C54" t="s">
        <v>1676</v>
      </c>
      <c r="D54" t="s">
        <v>1007</v>
      </c>
      <c r="E54" t="s">
        <v>1746</v>
      </c>
      <c r="F54" t="s">
        <v>1799</v>
      </c>
      <c r="G54">
        <v>11.94</v>
      </c>
      <c r="H54">
        <v>3.4</v>
      </c>
      <c r="I54">
        <v>37.97</v>
      </c>
      <c r="J54">
        <v>207</v>
      </c>
      <c r="K54">
        <v>2778</v>
      </c>
      <c r="L54">
        <v>217.35</v>
      </c>
      <c r="M54">
        <v>3740.08</v>
      </c>
      <c r="N54">
        <v>0</v>
      </c>
      <c r="O54">
        <v>0</v>
      </c>
      <c r="P54" s="2">
        <f>(H54 + J54) - (L54 + N54)</f>
        <v>0</v>
      </c>
      <c r="Q54" s="2">
        <f>P54 * G54</f>
        <v>0</v>
      </c>
      <c r="R54">
        <v>0</v>
      </c>
      <c r="S54" s="2">
        <f>R54 * G54</f>
        <v>0</v>
      </c>
      <c r="T54" s="2">
        <f>(H54 + J54) - (L54 + N54) - R54</f>
        <v>0</v>
      </c>
      <c r="U54" s="2">
        <f>T54 * G54</f>
        <v>0</v>
      </c>
      <c r="V54" s="2">
        <f>I54 + K54 - S54</f>
        <v>0</v>
      </c>
      <c r="W54" s="2">
        <f>M54 - V54</f>
        <v>0</v>
      </c>
      <c r="X54" s="2">
        <f>IFERROR(W54 / M54 * 100, 0)</f>
        <v>0</v>
      </c>
    </row>
    <row r="55" spans="1:24">
      <c r="A55" t="s">
        <v>1555</v>
      </c>
      <c r="B55" t="s">
        <v>512</v>
      </c>
      <c r="C55" t="s">
        <v>1677</v>
      </c>
      <c r="D55" t="s">
        <v>1007</v>
      </c>
      <c r="E55" t="s">
        <v>1746</v>
      </c>
      <c r="F55" t="s">
        <v>1800</v>
      </c>
      <c r="G55">
        <v>7.48</v>
      </c>
      <c r="H55">
        <v>16.6</v>
      </c>
      <c r="I55">
        <v>143.72</v>
      </c>
      <c r="J55">
        <v>181.17</v>
      </c>
      <c r="K55">
        <v>1265.05</v>
      </c>
      <c r="L55">
        <v>172.76</v>
      </c>
      <c r="M55">
        <v>2019.19</v>
      </c>
      <c r="N55">
        <v>5.85</v>
      </c>
      <c r="O55">
        <v>52.39</v>
      </c>
      <c r="P55" s="2">
        <f>(H55 + J55) - (L55 + N55)</f>
        <v>0</v>
      </c>
      <c r="Q55" s="2">
        <f>P55 * G55</f>
        <v>0</v>
      </c>
      <c r="R55">
        <v>14</v>
      </c>
      <c r="S55" s="2">
        <f>R55 * G55</f>
        <v>0</v>
      </c>
      <c r="T55" s="2">
        <f>(H55 + J55) - (L55 + N55) - R55</f>
        <v>0</v>
      </c>
      <c r="U55" s="2">
        <f>T55 * G55</f>
        <v>0</v>
      </c>
      <c r="V55" s="2">
        <f>I55 + K55 - S55</f>
        <v>0</v>
      </c>
      <c r="W55" s="2">
        <f>M55 - V55</f>
        <v>0</v>
      </c>
      <c r="X55" s="2">
        <f>IFERROR(W55 / M55 * 100, 0)</f>
        <v>0</v>
      </c>
    </row>
    <row r="56" spans="1:24">
      <c r="A56" t="s">
        <v>1556</v>
      </c>
      <c r="B56" t="s">
        <v>512</v>
      </c>
      <c r="C56" t="s">
        <v>1678</v>
      </c>
      <c r="D56" t="s">
        <v>1007</v>
      </c>
      <c r="E56" t="s">
        <v>1746</v>
      </c>
      <c r="F56" t="s">
        <v>1801</v>
      </c>
      <c r="G56">
        <v>4.25</v>
      </c>
      <c r="H56">
        <v>68</v>
      </c>
      <c r="I56">
        <v>490.24</v>
      </c>
      <c r="J56">
        <v>925</v>
      </c>
      <c r="K56">
        <v>5087.5</v>
      </c>
      <c r="L56">
        <v>1033.94</v>
      </c>
      <c r="M56">
        <v>7862.1</v>
      </c>
      <c r="N56">
        <v>0</v>
      </c>
      <c r="O56">
        <v>0</v>
      </c>
      <c r="P56" s="2">
        <f>(H56 + J56) - (L56 + N56)</f>
        <v>0</v>
      </c>
      <c r="Q56" s="2">
        <f>P56 * G56</f>
        <v>0</v>
      </c>
      <c r="R56">
        <v>0</v>
      </c>
      <c r="S56" s="2">
        <f>R56 * G56</f>
        <v>0</v>
      </c>
      <c r="T56" s="2">
        <f>(H56 + J56) - (L56 + N56) - R56</f>
        <v>0</v>
      </c>
      <c r="U56" s="2">
        <f>T56 * G56</f>
        <v>0</v>
      </c>
      <c r="V56" s="2">
        <f>I56 + K56 - S56</f>
        <v>0</v>
      </c>
      <c r="W56" s="2">
        <f>M56 - V56</f>
        <v>0</v>
      </c>
      <c r="X56" s="2">
        <f>IFERROR(W56 / M56 * 100, 0)</f>
        <v>0</v>
      </c>
    </row>
    <row r="57" spans="1:24">
      <c r="A57" t="s">
        <v>1557</v>
      </c>
      <c r="B57" t="s">
        <v>512</v>
      </c>
      <c r="C57" t="s">
        <v>1679</v>
      </c>
      <c r="D57" t="s">
        <v>1007</v>
      </c>
      <c r="E57" t="s">
        <v>1746</v>
      </c>
      <c r="F57" t="s">
        <v>1802</v>
      </c>
      <c r="G57">
        <v>13.25</v>
      </c>
      <c r="H57">
        <v>0</v>
      </c>
      <c r="I57">
        <v>0</v>
      </c>
      <c r="J57">
        <v>25</v>
      </c>
      <c r="K57">
        <v>331.25</v>
      </c>
      <c r="L57">
        <v>24.45</v>
      </c>
      <c r="M57">
        <v>335.41</v>
      </c>
      <c r="N57">
        <v>0</v>
      </c>
      <c r="O57">
        <v>0</v>
      </c>
      <c r="P57" s="2">
        <f>(H57 + J57) - (L57 + N57)</f>
        <v>0</v>
      </c>
      <c r="Q57" s="2">
        <f>P57 * G57</f>
        <v>0</v>
      </c>
      <c r="R57">
        <v>0</v>
      </c>
      <c r="S57" s="2">
        <f>R57 * G57</f>
        <v>0</v>
      </c>
      <c r="T57" s="2">
        <f>(H57 + J57) - (L57 + N57) - R57</f>
        <v>0</v>
      </c>
      <c r="U57" s="2">
        <f>T57 * G57</f>
        <v>0</v>
      </c>
      <c r="V57" s="2">
        <f>I57 + K57 - S57</f>
        <v>0</v>
      </c>
      <c r="W57" s="2">
        <f>M57 - V57</f>
        <v>0</v>
      </c>
      <c r="X57" s="2">
        <f>IFERROR(W57 / M57 * 100, 0)</f>
        <v>0</v>
      </c>
    </row>
    <row r="58" spans="1:24">
      <c r="A58" t="s">
        <v>1558</v>
      </c>
      <c r="B58" t="s">
        <v>512</v>
      </c>
      <c r="C58" t="s">
        <v>1680</v>
      </c>
      <c r="D58" t="s">
        <v>1007</v>
      </c>
      <c r="E58" t="s">
        <v>1746</v>
      </c>
      <c r="F58" t="s">
        <v>1803</v>
      </c>
      <c r="G58">
        <v>8.5</v>
      </c>
      <c r="H58">
        <v>0</v>
      </c>
      <c r="I58">
        <v>0</v>
      </c>
      <c r="J58">
        <v>100</v>
      </c>
      <c r="K58">
        <v>850</v>
      </c>
      <c r="L58">
        <v>96.42</v>
      </c>
      <c r="M58">
        <v>1349.91</v>
      </c>
      <c r="N58">
        <v>0.75</v>
      </c>
      <c r="O58">
        <v>6.38</v>
      </c>
      <c r="P58" s="2">
        <f>(H58 + J58) - (L58 + N58)</f>
        <v>0</v>
      </c>
      <c r="Q58" s="2">
        <f>P58 * G58</f>
        <v>0</v>
      </c>
      <c r="R58">
        <v>0</v>
      </c>
      <c r="S58" s="2">
        <f>R58 * G58</f>
        <v>0</v>
      </c>
      <c r="T58" s="2">
        <f>(H58 + J58) - (L58 + N58) - R58</f>
        <v>0</v>
      </c>
      <c r="U58" s="2">
        <f>T58 * G58</f>
        <v>0</v>
      </c>
      <c r="V58" s="2">
        <f>I58 + K58 - S58</f>
        <v>0</v>
      </c>
      <c r="W58" s="2">
        <f>M58 - V58</f>
        <v>0</v>
      </c>
      <c r="X58" s="2">
        <f>IFERROR(W58 / M58 * 100, 0)</f>
        <v>0</v>
      </c>
    </row>
    <row r="59" spans="1:24">
      <c r="A59" t="s">
        <v>1559</v>
      </c>
      <c r="B59" t="s">
        <v>512</v>
      </c>
      <c r="C59" t="s">
        <v>1681</v>
      </c>
      <c r="D59" t="s">
        <v>1007</v>
      </c>
      <c r="E59" t="s">
        <v>1746</v>
      </c>
      <c r="F59" t="s">
        <v>1804</v>
      </c>
      <c r="G59">
        <v>11.01</v>
      </c>
      <c r="H59">
        <v>118</v>
      </c>
      <c r="I59">
        <v>1417.28</v>
      </c>
      <c r="J59">
        <v>1198.25</v>
      </c>
      <c r="K59">
        <v>13973.65</v>
      </c>
      <c r="L59">
        <v>1213.34</v>
      </c>
      <c r="M59">
        <v>16285.42</v>
      </c>
      <c r="N59">
        <v>6.4</v>
      </c>
      <c r="O59">
        <v>75.75</v>
      </c>
      <c r="P59" s="2">
        <f>(H59 + J59) - (L59 + N59)</f>
        <v>0</v>
      </c>
      <c r="Q59" s="2">
        <f>P59 * G59</f>
        <v>0</v>
      </c>
      <c r="R59">
        <v>88.5</v>
      </c>
      <c r="S59" s="2">
        <f>R59 * G59</f>
        <v>0</v>
      </c>
      <c r="T59" s="2">
        <f>(H59 + J59) - (L59 + N59) - R59</f>
        <v>0</v>
      </c>
      <c r="U59" s="2">
        <f>T59 * G59</f>
        <v>0</v>
      </c>
      <c r="V59" s="2">
        <f>I59 + K59 - S59</f>
        <v>0</v>
      </c>
      <c r="W59" s="2">
        <f>M59 - V59</f>
        <v>0</v>
      </c>
      <c r="X59" s="2">
        <f>IFERROR(W59 / M59 * 100, 0)</f>
        <v>0</v>
      </c>
    </row>
    <row r="60" spans="1:24">
      <c r="A60" t="s">
        <v>1560</v>
      </c>
      <c r="B60" t="s">
        <v>512</v>
      </c>
      <c r="C60" t="s">
        <v>1682</v>
      </c>
      <c r="D60" t="s">
        <v>1007</v>
      </c>
      <c r="E60" t="s">
        <v>1746</v>
      </c>
      <c r="F60" t="s">
        <v>1805</v>
      </c>
      <c r="G60">
        <v>15.52</v>
      </c>
      <c r="H60">
        <v>6</v>
      </c>
      <c r="I60">
        <v>90</v>
      </c>
      <c r="J60">
        <v>104</v>
      </c>
      <c r="K60">
        <v>1553</v>
      </c>
      <c r="L60">
        <v>95.73</v>
      </c>
      <c r="M60">
        <v>1767.15</v>
      </c>
      <c r="N60">
        <v>2</v>
      </c>
      <c r="O60">
        <v>30.19</v>
      </c>
      <c r="P60" s="2">
        <f>(H60 + J60) - (L60 + N60)</f>
        <v>0</v>
      </c>
      <c r="Q60" s="2">
        <f>P60 * G60</f>
        <v>0</v>
      </c>
      <c r="R60">
        <v>23</v>
      </c>
      <c r="S60" s="2">
        <f>R60 * G60</f>
        <v>0</v>
      </c>
      <c r="T60" s="2">
        <f>(H60 + J60) - (L60 + N60) - R60</f>
        <v>0</v>
      </c>
      <c r="U60" s="2">
        <f>T60 * G60</f>
        <v>0</v>
      </c>
      <c r="V60" s="2">
        <f>I60 + K60 - S60</f>
        <v>0</v>
      </c>
      <c r="W60" s="2">
        <f>M60 - V60</f>
        <v>0</v>
      </c>
      <c r="X60" s="2">
        <f>IFERROR(W60 / M60 * 100, 0)</f>
        <v>0</v>
      </c>
    </row>
    <row r="61" spans="1:24">
      <c r="A61" t="s">
        <v>1561</v>
      </c>
      <c r="B61" t="s">
        <v>512</v>
      </c>
      <c r="C61" t="s">
        <v>1683</v>
      </c>
      <c r="D61" t="s">
        <v>1007</v>
      </c>
      <c r="E61" t="s">
        <v>1746</v>
      </c>
      <c r="F61" t="s">
        <v>1806</v>
      </c>
      <c r="G61">
        <v>9</v>
      </c>
      <c r="H61">
        <v>4</v>
      </c>
      <c r="I61">
        <v>40</v>
      </c>
      <c r="J61">
        <v>222</v>
      </c>
      <c r="K61">
        <v>1995</v>
      </c>
      <c r="L61">
        <v>245.7</v>
      </c>
      <c r="M61">
        <v>3002.68</v>
      </c>
      <c r="N61">
        <v>0</v>
      </c>
      <c r="O61">
        <v>0</v>
      </c>
      <c r="P61" s="2">
        <f>(H61 + J61) - (L61 + N61)</f>
        <v>0</v>
      </c>
      <c r="Q61" s="2">
        <f>P61 * G61</f>
        <v>0</v>
      </c>
      <c r="R61">
        <v>0</v>
      </c>
      <c r="S61" s="2">
        <f>R61 * G61</f>
        <v>0</v>
      </c>
      <c r="T61" s="2">
        <f>(H61 + J61) - (L61 + N61) - R61</f>
        <v>0</v>
      </c>
      <c r="U61" s="2">
        <f>T61 * G61</f>
        <v>0</v>
      </c>
      <c r="V61" s="2">
        <f>I61 + K61 - S61</f>
        <v>0</v>
      </c>
      <c r="W61" s="2">
        <f>M61 - V61</f>
        <v>0</v>
      </c>
      <c r="X61" s="2">
        <f>IFERROR(W61 / M61 * 100, 0)</f>
        <v>0</v>
      </c>
    </row>
    <row r="62" spans="1:24">
      <c r="A62" t="s">
        <v>1562</v>
      </c>
      <c r="B62" t="s">
        <v>512</v>
      </c>
      <c r="C62" t="s">
        <v>1684</v>
      </c>
      <c r="D62" t="s">
        <v>1007</v>
      </c>
      <c r="E62" t="s">
        <v>1746</v>
      </c>
      <c r="F62" t="s">
        <v>1807</v>
      </c>
      <c r="G62">
        <v>7.25</v>
      </c>
      <c r="H62">
        <v>14.6</v>
      </c>
      <c r="I62">
        <v>73</v>
      </c>
      <c r="J62">
        <v>13.9</v>
      </c>
      <c r="K62">
        <v>144.63</v>
      </c>
      <c r="L62">
        <v>21.48</v>
      </c>
      <c r="M62">
        <v>268.45</v>
      </c>
      <c r="N62">
        <v>0</v>
      </c>
      <c r="O62">
        <v>0</v>
      </c>
      <c r="P62" s="2">
        <f>(H62 + J62) - (L62 + N62)</f>
        <v>0</v>
      </c>
      <c r="Q62" s="2">
        <f>P62 * G62</f>
        <v>0</v>
      </c>
      <c r="R62">
        <v>7</v>
      </c>
      <c r="S62" s="2">
        <f>R62 * G62</f>
        <v>0</v>
      </c>
      <c r="T62" s="2">
        <f>(H62 + J62) - (L62 + N62) - R62</f>
        <v>0</v>
      </c>
      <c r="U62" s="2">
        <f>T62 * G62</f>
        <v>0</v>
      </c>
      <c r="V62" s="2">
        <f>I62 + K62 - S62</f>
        <v>0</v>
      </c>
      <c r="W62" s="2">
        <f>M62 - V62</f>
        <v>0</v>
      </c>
      <c r="X62" s="2">
        <f>IFERROR(W62 / M62 * 100, 0)</f>
        <v>0</v>
      </c>
    </row>
    <row r="63" spans="1:24">
      <c r="A63" t="s">
        <v>1563</v>
      </c>
      <c r="B63" t="s">
        <v>512</v>
      </c>
      <c r="C63" t="s">
        <v>1685</v>
      </c>
      <c r="D63" t="s">
        <v>1007</v>
      </c>
      <c r="E63" t="s">
        <v>1746</v>
      </c>
      <c r="F63" t="s">
        <v>1808</v>
      </c>
      <c r="G63">
        <v>19.03</v>
      </c>
      <c r="H63">
        <v>0</v>
      </c>
      <c r="I63">
        <v>0</v>
      </c>
      <c r="J63">
        <v>57</v>
      </c>
      <c r="K63">
        <v>1032</v>
      </c>
      <c r="L63">
        <v>46.31</v>
      </c>
      <c r="M63">
        <v>1221.29</v>
      </c>
      <c r="N63">
        <v>0</v>
      </c>
      <c r="O63">
        <v>0</v>
      </c>
      <c r="P63" s="2">
        <f>(H63 + J63) - (L63 + N63)</f>
        <v>0</v>
      </c>
      <c r="Q63" s="2">
        <f>P63 * G63</f>
        <v>0</v>
      </c>
      <c r="R63">
        <v>0</v>
      </c>
      <c r="S63" s="2">
        <f>R63 * G63</f>
        <v>0</v>
      </c>
      <c r="T63" s="2">
        <f>(H63 + J63) - (L63 + N63) - R63</f>
        <v>0</v>
      </c>
      <c r="U63" s="2">
        <f>T63 * G63</f>
        <v>0</v>
      </c>
      <c r="V63" s="2">
        <f>I63 + K63 - S63</f>
        <v>0</v>
      </c>
      <c r="W63" s="2">
        <f>M63 - V63</f>
        <v>0</v>
      </c>
      <c r="X63" s="2">
        <f>IFERROR(W63 / M63 * 100, 0)</f>
        <v>0</v>
      </c>
    </row>
    <row r="64" spans="1:24">
      <c r="A64" t="s">
        <v>1564</v>
      </c>
      <c r="B64" t="s">
        <v>512</v>
      </c>
      <c r="C64" t="s">
        <v>1686</v>
      </c>
      <c r="D64" t="s">
        <v>1007</v>
      </c>
      <c r="E64" t="s">
        <v>1746</v>
      </c>
      <c r="F64" t="s">
        <v>1809</v>
      </c>
      <c r="G64">
        <v>4.4</v>
      </c>
      <c r="H64">
        <v>7.6</v>
      </c>
      <c r="I64">
        <v>39.9</v>
      </c>
      <c r="J64">
        <v>47.41</v>
      </c>
      <c r="K64">
        <v>189.42</v>
      </c>
      <c r="L64">
        <v>47.97</v>
      </c>
      <c r="M64">
        <v>422.15</v>
      </c>
      <c r="N64">
        <v>5</v>
      </c>
      <c r="O64">
        <v>15.72</v>
      </c>
      <c r="P64" s="2">
        <f>(H64 + J64) - (L64 + N64)</f>
        <v>0</v>
      </c>
      <c r="Q64" s="2">
        <f>P64 * G64</f>
        <v>0</v>
      </c>
      <c r="R64">
        <v>10</v>
      </c>
      <c r="S64" s="2">
        <f>R64 * G64</f>
        <v>0</v>
      </c>
      <c r="T64" s="2">
        <f>(H64 + J64) - (L64 + N64) - R64</f>
        <v>0</v>
      </c>
      <c r="U64" s="2">
        <f>T64 * G64</f>
        <v>0</v>
      </c>
      <c r="V64" s="2">
        <f>I64 + K64 - S64</f>
        <v>0</v>
      </c>
      <c r="W64" s="2">
        <f>M64 - V64</f>
        <v>0</v>
      </c>
      <c r="X64" s="2">
        <f>IFERROR(W64 / M64 * 100, 0)</f>
        <v>0</v>
      </c>
    </row>
    <row r="65" spans="1:24">
      <c r="A65" t="s">
        <v>1565</v>
      </c>
      <c r="B65" t="s">
        <v>512</v>
      </c>
      <c r="C65" t="s">
        <v>1687</v>
      </c>
      <c r="D65" t="s">
        <v>1007</v>
      </c>
      <c r="E65" t="s">
        <v>1746</v>
      </c>
      <c r="F65" t="s">
        <v>1810</v>
      </c>
      <c r="G65">
        <v>11</v>
      </c>
      <c r="H65">
        <v>0</v>
      </c>
      <c r="I65">
        <v>0</v>
      </c>
      <c r="J65">
        <v>0</v>
      </c>
      <c r="K65">
        <v>0</v>
      </c>
      <c r="L65">
        <v>1.84</v>
      </c>
      <c r="M65">
        <v>16.1</v>
      </c>
      <c r="N65">
        <v>0</v>
      </c>
      <c r="O65">
        <v>0</v>
      </c>
      <c r="P65" s="2">
        <f>(H65 + J65) - (L65 + N65)</f>
        <v>0</v>
      </c>
      <c r="Q65" s="2">
        <f>P65 * G65</f>
        <v>0</v>
      </c>
      <c r="R65">
        <v>0</v>
      </c>
      <c r="S65" s="2">
        <f>R65 * G65</f>
        <v>0</v>
      </c>
      <c r="T65" s="2">
        <f>(H65 + J65) - (L65 + N65) - R65</f>
        <v>0</v>
      </c>
      <c r="U65" s="2">
        <f>T65 * G65</f>
        <v>0</v>
      </c>
      <c r="V65" s="2">
        <f>I65 + K65 - S65</f>
        <v>0</v>
      </c>
      <c r="W65" s="2">
        <f>M65 - V65</f>
        <v>0</v>
      </c>
      <c r="X65" s="2">
        <f>IFERROR(W65 / M65 * 100, 0)</f>
        <v>0</v>
      </c>
    </row>
    <row r="66" spans="1:24">
      <c r="A66" t="s">
        <v>1566</v>
      </c>
      <c r="B66" t="s">
        <v>512</v>
      </c>
      <c r="C66" t="s">
        <v>1688</v>
      </c>
      <c r="D66" t="s">
        <v>1007</v>
      </c>
      <c r="E66" t="s">
        <v>1746</v>
      </c>
      <c r="F66" t="s">
        <v>1811</v>
      </c>
      <c r="G66">
        <v>8.35</v>
      </c>
      <c r="H66">
        <v>0</v>
      </c>
      <c r="I66">
        <v>0</v>
      </c>
      <c r="J66">
        <v>213</v>
      </c>
      <c r="K66">
        <v>1999</v>
      </c>
      <c r="L66">
        <v>171.42</v>
      </c>
      <c r="M66">
        <v>2333.39</v>
      </c>
      <c r="N66">
        <v>3.5</v>
      </c>
      <c r="O66">
        <v>29.24</v>
      </c>
      <c r="P66" s="2">
        <f>(H66 + J66) - (L66 + N66)</f>
        <v>0</v>
      </c>
      <c r="Q66" s="2">
        <f>P66 * G66</f>
        <v>0</v>
      </c>
      <c r="R66">
        <v>27</v>
      </c>
      <c r="S66" s="2">
        <f>R66 * G66</f>
        <v>0</v>
      </c>
      <c r="T66" s="2">
        <f>(H66 + J66) - (L66 + N66) - R66</f>
        <v>0</v>
      </c>
      <c r="U66" s="2">
        <f>T66 * G66</f>
        <v>0</v>
      </c>
      <c r="V66" s="2">
        <f>I66 + K66 - S66</f>
        <v>0</v>
      </c>
      <c r="W66" s="2">
        <f>M66 - V66</f>
        <v>0</v>
      </c>
      <c r="X66" s="2">
        <f>IFERROR(W66 / M66 * 100, 0)</f>
        <v>0</v>
      </c>
    </row>
    <row r="67" spans="1:24">
      <c r="A67" t="s">
        <v>1567</v>
      </c>
      <c r="B67" t="s">
        <v>512</v>
      </c>
      <c r="C67" t="s">
        <v>1689</v>
      </c>
      <c r="D67" t="s">
        <v>1007</v>
      </c>
      <c r="E67" t="s">
        <v>1746</v>
      </c>
      <c r="F67" t="s">
        <v>1812</v>
      </c>
      <c r="G67">
        <v>23.5</v>
      </c>
      <c r="H67">
        <v>0</v>
      </c>
      <c r="I67">
        <v>0</v>
      </c>
      <c r="J67">
        <v>22.41</v>
      </c>
      <c r="K67">
        <v>526.59</v>
      </c>
      <c r="L67">
        <v>22.41</v>
      </c>
      <c r="M67">
        <v>614.59</v>
      </c>
      <c r="N67">
        <v>0</v>
      </c>
      <c r="O67">
        <v>0</v>
      </c>
      <c r="P67" s="2">
        <f>(H67 + J67) - (L67 + N67)</f>
        <v>0</v>
      </c>
      <c r="Q67" s="2">
        <f>P67 * G67</f>
        <v>0</v>
      </c>
      <c r="R67">
        <v>0</v>
      </c>
      <c r="S67" s="2">
        <f>R67 * G67</f>
        <v>0</v>
      </c>
      <c r="T67" s="2">
        <f>(H67 + J67) - (L67 + N67) - R67</f>
        <v>0</v>
      </c>
      <c r="U67" s="2">
        <f>T67 * G67</f>
        <v>0</v>
      </c>
      <c r="V67" s="2">
        <f>I67 + K67 - S67</f>
        <v>0</v>
      </c>
      <c r="W67" s="2">
        <f>M67 - V67</f>
        <v>0</v>
      </c>
      <c r="X67" s="2">
        <f>IFERROR(W67 / M67 * 100, 0)</f>
        <v>0</v>
      </c>
    </row>
    <row r="68" spans="1:24">
      <c r="A68" t="s">
        <v>1568</v>
      </c>
      <c r="B68" t="s">
        <v>512</v>
      </c>
      <c r="C68" t="s">
        <v>1690</v>
      </c>
      <c r="D68" t="s">
        <v>1007</v>
      </c>
      <c r="E68" t="s">
        <v>1746</v>
      </c>
      <c r="F68" t="s">
        <v>1813</v>
      </c>
      <c r="G68">
        <v>3.74</v>
      </c>
      <c r="H68">
        <v>12</v>
      </c>
      <c r="I68">
        <v>61.44</v>
      </c>
      <c r="J68">
        <v>192.3</v>
      </c>
      <c r="K68">
        <v>877.35</v>
      </c>
      <c r="L68">
        <v>192.95</v>
      </c>
      <c r="M68">
        <v>1596.55</v>
      </c>
      <c r="N68">
        <v>0</v>
      </c>
      <c r="O68">
        <v>0</v>
      </c>
      <c r="P68" s="2">
        <f>(H68 + J68) - (L68 + N68)</f>
        <v>0</v>
      </c>
      <c r="Q68" s="2">
        <f>P68 * G68</f>
        <v>0</v>
      </c>
      <c r="R68">
        <v>7</v>
      </c>
      <c r="S68" s="2">
        <f>R68 * G68</f>
        <v>0</v>
      </c>
      <c r="T68" s="2">
        <f>(H68 + J68) - (L68 + N68) - R68</f>
        <v>0</v>
      </c>
      <c r="U68" s="2">
        <f>T68 * G68</f>
        <v>0</v>
      </c>
      <c r="V68" s="2">
        <f>I68 + K68 - S68</f>
        <v>0</v>
      </c>
      <c r="W68" s="2">
        <f>M68 - V68</f>
        <v>0</v>
      </c>
      <c r="X68" s="2">
        <f>IFERROR(W68 / M68 * 100, 0)</f>
        <v>0</v>
      </c>
    </row>
    <row r="69" spans="1:24">
      <c r="A69" t="s">
        <v>1569</v>
      </c>
      <c r="B69" t="s">
        <v>512</v>
      </c>
      <c r="C69" t="s">
        <v>1691</v>
      </c>
      <c r="D69" t="s">
        <v>1007</v>
      </c>
      <c r="E69" t="s">
        <v>1746</v>
      </c>
      <c r="F69" t="s">
        <v>1814</v>
      </c>
      <c r="G69">
        <v>11.45</v>
      </c>
      <c r="H69">
        <v>0</v>
      </c>
      <c r="I69">
        <v>0</v>
      </c>
      <c r="J69">
        <v>0</v>
      </c>
      <c r="K69">
        <v>0</v>
      </c>
      <c r="L69">
        <v>7.15</v>
      </c>
      <c r="M69">
        <v>92.89</v>
      </c>
      <c r="N69">
        <v>0</v>
      </c>
      <c r="O69">
        <v>0</v>
      </c>
      <c r="P69" s="2">
        <f>(H69 + J69) - (L69 + N69)</f>
        <v>0</v>
      </c>
      <c r="Q69" s="2">
        <f>P69 * G69</f>
        <v>0</v>
      </c>
      <c r="R69">
        <v>0</v>
      </c>
      <c r="S69" s="2">
        <f>R69 * G69</f>
        <v>0</v>
      </c>
      <c r="T69" s="2">
        <f>(H69 + J69) - (L69 + N69) - R69</f>
        <v>0</v>
      </c>
      <c r="U69" s="2">
        <f>T69 * G69</f>
        <v>0</v>
      </c>
      <c r="V69" s="2">
        <f>I69 + K69 - S69</f>
        <v>0</v>
      </c>
      <c r="W69" s="2">
        <f>M69 - V69</f>
        <v>0</v>
      </c>
      <c r="X69" s="2">
        <f>IFERROR(W69 / M69 * 100, 0)</f>
        <v>0</v>
      </c>
    </row>
    <row r="70" spans="1:24">
      <c r="A70" t="s">
        <v>1570</v>
      </c>
      <c r="B70" t="s">
        <v>512</v>
      </c>
      <c r="C70" t="s">
        <v>1692</v>
      </c>
      <c r="D70" t="s">
        <v>1007</v>
      </c>
      <c r="E70" t="s">
        <v>1746</v>
      </c>
      <c r="F70" t="s">
        <v>1815</v>
      </c>
      <c r="G70">
        <v>14.06</v>
      </c>
      <c r="H70">
        <v>91</v>
      </c>
      <c r="I70">
        <v>1279.84</v>
      </c>
      <c r="J70">
        <v>-50</v>
      </c>
      <c r="K70">
        <v>-700</v>
      </c>
      <c r="L70">
        <v>16.13</v>
      </c>
      <c r="M70">
        <v>349.69</v>
      </c>
      <c r="N70">
        <v>0</v>
      </c>
      <c r="O70">
        <v>0</v>
      </c>
      <c r="P70" s="2">
        <f>(H70 + J70) - (L70 + N70)</f>
        <v>0</v>
      </c>
      <c r="Q70" s="2">
        <f>P70 * G70</f>
        <v>0</v>
      </c>
      <c r="R70">
        <v>0</v>
      </c>
      <c r="S70" s="2">
        <f>R70 * G70</f>
        <v>0</v>
      </c>
      <c r="T70" s="2">
        <f>(H70 + J70) - (L70 + N70) - R70</f>
        <v>0</v>
      </c>
      <c r="U70" s="2">
        <f>T70 * G70</f>
        <v>0</v>
      </c>
      <c r="V70" s="2">
        <f>I70 + K70 - S70</f>
        <v>0</v>
      </c>
      <c r="W70" s="2">
        <f>M70 - V70</f>
        <v>0</v>
      </c>
      <c r="X70" s="2">
        <f>IFERROR(W70 / M70 * 100, 0)</f>
        <v>0</v>
      </c>
    </row>
    <row r="71" spans="1:24">
      <c r="A71" t="s">
        <v>1571</v>
      </c>
      <c r="B71" t="s">
        <v>512</v>
      </c>
      <c r="C71" t="s">
        <v>1693</v>
      </c>
      <c r="D71" t="s">
        <v>1007</v>
      </c>
      <c r="E71" t="s">
        <v>1746</v>
      </c>
      <c r="F71" t="s">
        <v>1816</v>
      </c>
      <c r="G71">
        <v>2.53</v>
      </c>
      <c r="H71">
        <v>0</v>
      </c>
      <c r="I71">
        <v>0</v>
      </c>
      <c r="J71">
        <v>28</v>
      </c>
      <c r="K71">
        <v>80.5</v>
      </c>
      <c r="L71">
        <v>19.06</v>
      </c>
      <c r="M71">
        <v>134.35</v>
      </c>
      <c r="N71">
        <v>5.13</v>
      </c>
      <c r="O71">
        <v>12.96</v>
      </c>
      <c r="P71" s="2">
        <f>(H71 + J71) - (L71 + N71)</f>
        <v>0</v>
      </c>
      <c r="Q71" s="2">
        <f>P71 * G71</f>
        <v>0</v>
      </c>
      <c r="R71">
        <v>7</v>
      </c>
      <c r="S71" s="2">
        <f>R71 * G71</f>
        <v>0</v>
      </c>
      <c r="T71" s="2">
        <f>(H71 + J71) - (L71 + N71) - R71</f>
        <v>0</v>
      </c>
      <c r="U71" s="2">
        <f>T71 * G71</f>
        <v>0</v>
      </c>
      <c r="V71" s="2">
        <f>I71 + K71 - S71</f>
        <v>0</v>
      </c>
      <c r="W71" s="2">
        <f>M71 - V71</f>
        <v>0</v>
      </c>
      <c r="X71" s="2">
        <f>IFERROR(W71 / M71 * 100, 0)</f>
        <v>0</v>
      </c>
    </row>
    <row r="72" spans="1:24">
      <c r="A72" t="s">
        <v>1572</v>
      </c>
      <c r="B72" t="s">
        <v>512</v>
      </c>
      <c r="C72" t="s">
        <v>1694</v>
      </c>
      <c r="D72" t="s">
        <v>1007</v>
      </c>
      <c r="E72" t="s">
        <v>1746</v>
      </c>
      <c r="F72" t="s">
        <v>1817</v>
      </c>
      <c r="G72">
        <v>11.75</v>
      </c>
      <c r="H72">
        <v>0</v>
      </c>
      <c r="I72">
        <v>0</v>
      </c>
      <c r="J72">
        <v>225</v>
      </c>
      <c r="K72">
        <v>2651.5</v>
      </c>
      <c r="L72">
        <v>244.68</v>
      </c>
      <c r="M72">
        <v>3615.72</v>
      </c>
      <c r="N72">
        <v>0</v>
      </c>
      <c r="O72">
        <v>0</v>
      </c>
      <c r="P72" s="2">
        <f>(H72 + J72) - (L72 + N72)</f>
        <v>0</v>
      </c>
      <c r="Q72" s="2">
        <f>P72 * G72</f>
        <v>0</v>
      </c>
      <c r="R72">
        <v>0</v>
      </c>
      <c r="S72" s="2">
        <f>R72 * G72</f>
        <v>0</v>
      </c>
      <c r="T72" s="2">
        <f>(H72 + J72) - (L72 + N72) - R72</f>
        <v>0</v>
      </c>
      <c r="U72" s="2">
        <f>T72 * G72</f>
        <v>0</v>
      </c>
      <c r="V72" s="2">
        <f>I72 + K72 - S72</f>
        <v>0</v>
      </c>
      <c r="W72" s="2">
        <f>M72 - V72</f>
        <v>0</v>
      </c>
      <c r="X72" s="2">
        <f>IFERROR(W72 / M72 * 100, 0)</f>
        <v>0</v>
      </c>
    </row>
    <row r="73" spans="1:24">
      <c r="A73" t="s">
        <v>1573</v>
      </c>
      <c r="B73" t="s">
        <v>512</v>
      </c>
      <c r="C73" t="s">
        <v>1695</v>
      </c>
      <c r="D73" t="s">
        <v>1007</v>
      </c>
      <c r="E73" t="s">
        <v>1746</v>
      </c>
      <c r="F73" t="s">
        <v>1818</v>
      </c>
      <c r="G73">
        <v>4.75</v>
      </c>
      <c r="H73">
        <v>33.6</v>
      </c>
      <c r="I73">
        <v>269.74</v>
      </c>
      <c r="J73">
        <v>475.02</v>
      </c>
      <c r="K73">
        <v>2857.8</v>
      </c>
      <c r="L73">
        <v>463.23</v>
      </c>
      <c r="M73">
        <v>4308.43</v>
      </c>
      <c r="N73">
        <v>9.699999999999999</v>
      </c>
      <c r="O73">
        <v>56.56</v>
      </c>
      <c r="P73" s="2">
        <f>(H73 + J73) - (L73 + N73)</f>
        <v>0</v>
      </c>
      <c r="Q73" s="2">
        <f>P73 * G73</f>
        <v>0</v>
      </c>
      <c r="R73">
        <v>34.7</v>
      </c>
      <c r="S73" s="2">
        <f>R73 * G73</f>
        <v>0</v>
      </c>
      <c r="T73" s="2">
        <f>(H73 + J73) - (L73 + N73) - R73</f>
        <v>0</v>
      </c>
      <c r="U73" s="2">
        <f>T73 * G73</f>
        <v>0</v>
      </c>
      <c r="V73" s="2">
        <f>I73 + K73 - S73</f>
        <v>0</v>
      </c>
      <c r="W73" s="2">
        <f>M73 - V73</f>
        <v>0</v>
      </c>
      <c r="X73" s="2">
        <f>IFERROR(W73 / M73 * 100, 0)</f>
        <v>0</v>
      </c>
    </row>
    <row r="74" spans="1:24">
      <c r="A74" t="s">
        <v>1574</v>
      </c>
      <c r="B74" t="s">
        <v>512</v>
      </c>
      <c r="C74" t="s">
        <v>1696</v>
      </c>
      <c r="D74" t="s">
        <v>1007</v>
      </c>
      <c r="E74" t="s">
        <v>1746</v>
      </c>
      <c r="F74" t="s">
        <v>1819</v>
      </c>
      <c r="G74">
        <v>3.33</v>
      </c>
      <c r="H74">
        <v>0</v>
      </c>
      <c r="I74">
        <v>0</v>
      </c>
      <c r="J74">
        <v>0</v>
      </c>
      <c r="K74">
        <v>0</v>
      </c>
      <c r="L74">
        <v>1.61</v>
      </c>
      <c r="M74">
        <v>11.25</v>
      </c>
      <c r="N74">
        <v>0</v>
      </c>
      <c r="O74">
        <v>0</v>
      </c>
      <c r="P74" s="2">
        <f>(H74 + J74) - (L74 + N74)</f>
        <v>0</v>
      </c>
      <c r="Q74" s="2">
        <f>P74 * G74</f>
        <v>0</v>
      </c>
      <c r="R74">
        <v>0</v>
      </c>
      <c r="S74" s="2">
        <f>R74 * G74</f>
        <v>0</v>
      </c>
      <c r="T74" s="2">
        <f>(H74 + J74) - (L74 + N74) - R74</f>
        <v>0</v>
      </c>
      <c r="U74" s="2">
        <f>T74 * G74</f>
        <v>0</v>
      </c>
      <c r="V74" s="2">
        <f>I74 + K74 - S74</f>
        <v>0</v>
      </c>
      <c r="W74" s="2">
        <f>M74 - V74</f>
        <v>0</v>
      </c>
      <c r="X74" s="2">
        <f>IFERROR(W74 / M74 * 100, 0)</f>
        <v>0</v>
      </c>
    </row>
    <row r="75" spans="1:24">
      <c r="A75" t="s">
        <v>1575</v>
      </c>
      <c r="B75" t="s">
        <v>512</v>
      </c>
      <c r="C75" t="s">
        <v>1697</v>
      </c>
      <c r="D75" t="s">
        <v>1007</v>
      </c>
      <c r="E75" t="s">
        <v>1746</v>
      </c>
      <c r="F75" t="s">
        <v>1820</v>
      </c>
      <c r="G75">
        <v>11.05</v>
      </c>
      <c r="H75">
        <v>0</v>
      </c>
      <c r="I75">
        <v>0</v>
      </c>
      <c r="J75">
        <v>67</v>
      </c>
      <c r="K75">
        <v>1159.75</v>
      </c>
      <c r="L75">
        <v>49.58</v>
      </c>
      <c r="M75">
        <v>1290.1</v>
      </c>
      <c r="N75">
        <v>0.3</v>
      </c>
      <c r="O75">
        <v>3.32</v>
      </c>
      <c r="P75" s="2">
        <f>(H75 + J75) - (L75 + N75)</f>
        <v>0</v>
      </c>
      <c r="Q75" s="2">
        <f>P75 * G75</f>
        <v>0</v>
      </c>
      <c r="R75">
        <v>0</v>
      </c>
      <c r="S75" s="2">
        <f>R75 * G75</f>
        <v>0</v>
      </c>
      <c r="T75" s="2">
        <f>(H75 + J75) - (L75 + N75) - R75</f>
        <v>0</v>
      </c>
      <c r="U75" s="2">
        <f>T75 * G75</f>
        <v>0</v>
      </c>
      <c r="V75" s="2">
        <f>I75 + K75 - S75</f>
        <v>0</v>
      </c>
      <c r="W75" s="2">
        <f>M75 - V75</f>
        <v>0</v>
      </c>
      <c r="X75" s="2">
        <f>IFERROR(W75 / M75 * 100, 0)</f>
        <v>0</v>
      </c>
    </row>
    <row r="76" spans="1:24">
      <c r="A76" t="s">
        <v>1576</v>
      </c>
      <c r="B76" t="s">
        <v>512</v>
      </c>
      <c r="C76" t="s">
        <v>1698</v>
      </c>
      <c r="D76" t="s">
        <v>1007</v>
      </c>
      <c r="E76" t="s">
        <v>1746</v>
      </c>
      <c r="F76" t="s">
        <v>1821</v>
      </c>
      <c r="G76">
        <v>13.75</v>
      </c>
      <c r="H76">
        <v>0</v>
      </c>
      <c r="I76">
        <v>0</v>
      </c>
      <c r="J76">
        <v>67</v>
      </c>
      <c r="K76">
        <v>1013.75</v>
      </c>
      <c r="L76">
        <v>54.23</v>
      </c>
      <c r="M76">
        <v>927.33</v>
      </c>
      <c r="N76">
        <v>0</v>
      </c>
      <c r="O76">
        <v>0</v>
      </c>
      <c r="P76" s="2">
        <f>(H76 + J76) - (L76 + N76)</f>
        <v>0</v>
      </c>
      <c r="Q76" s="2">
        <f>P76 * G76</f>
        <v>0</v>
      </c>
      <c r="R76">
        <v>17</v>
      </c>
      <c r="S76" s="2">
        <f>R76 * G76</f>
        <v>0</v>
      </c>
      <c r="T76" s="2">
        <f>(H76 + J76) - (L76 + N76) - R76</f>
        <v>0</v>
      </c>
      <c r="U76" s="2">
        <f>T76 * G76</f>
        <v>0</v>
      </c>
      <c r="V76" s="2">
        <f>I76 + K76 - S76</f>
        <v>0</v>
      </c>
      <c r="W76" s="2">
        <f>M76 - V76</f>
        <v>0</v>
      </c>
      <c r="X76" s="2">
        <f>IFERROR(W76 / M76 * 100, 0)</f>
        <v>0</v>
      </c>
    </row>
    <row r="77" spans="1:24">
      <c r="A77" t="s">
        <v>1577</v>
      </c>
      <c r="B77" t="s">
        <v>512</v>
      </c>
      <c r="C77" t="s">
        <v>1699</v>
      </c>
      <c r="D77" t="s">
        <v>1007</v>
      </c>
      <c r="E77" t="s">
        <v>1746</v>
      </c>
      <c r="F77" t="s">
        <v>1822</v>
      </c>
      <c r="G77">
        <v>7</v>
      </c>
      <c r="H77">
        <v>5</v>
      </c>
      <c r="I77">
        <v>35</v>
      </c>
      <c r="J77">
        <v>44</v>
      </c>
      <c r="K77">
        <v>308</v>
      </c>
      <c r="L77">
        <v>25.52</v>
      </c>
      <c r="M77">
        <v>382.84</v>
      </c>
      <c r="N77">
        <v>1.25</v>
      </c>
      <c r="O77">
        <v>8.75</v>
      </c>
      <c r="P77" s="2">
        <f>(H77 + J77) - (L77 + N77)</f>
        <v>0</v>
      </c>
      <c r="Q77" s="2">
        <f>P77 * G77</f>
        <v>0</v>
      </c>
      <c r="R77">
        <v>10</v>
      </c>
      <c r="S77" s="2">
        <f>R77 * G77</f>
        <v>0</v>
      </c>
      <c r="T77" s="2">
        <f>(H77 + J77) - (L77 + N77) - R77</f>
        <v>0</v>
      </c>
      <c r="U77" s="2">
        <f>T77 * G77</f>
        <v>0</v>
      </c>
      <c r="V77" s="2">
        <f>I77 + K77 - S77</f>
        <v>0</v>
      </c>
      <c r="W77" s="2">
        <f>M77 - V77</f>
        <v>0</v>
      </c>
      <c r="X77" s="2">
        <f>IFERROR(W77 / M77 * 100, 0)</f>
        <v>0</v>
      </c>
    </row>
    <row r="78" spans="1:24">
      <c r="A78" t="s">
        <v>1578</v>
      </c>
      <c r="B78" t="s">
        <v>512</v>
      </c>
      <c r="C78" t="s">
        <v>1700</v>
      </c>
      <c r="D78" t="s">
        <v>1007</v>
      </c>
      <c r="E78" t="s">
        <v>1746</v>
      </c>
      <c r="F78" t="s">
        <v>1823</v>
      </c>
      <c r="G78">
        <v>9.75</v>
      </c>
      <c r="H78">
        <v>80</v>
      </c>
      <c r="I78">
        <v>1120</v>
      </c>
      <c r="J78">
        <v>376.49</v>
      </c>
      <c r="K78">
        <v>4101.03</v>
      </c>
      <c r="L78">
        <v>469.67</v>
      </c>
      <c r="M78">
        <v>6729.84</v>
      </c>
      <c r="N78">
        <v>2.6</v>
      </c>
      <c r="O78">
        <v>33.15</v>
      </c>
      <c r="P78" s="2">
        <f>(H78 + J78) - (L78 + N78)</f>
        <v>0</v>
      </c>
      <c r="Q78" s="2">
        <f>P78 * G78</f>
        <v>0</v>
      </c>
      <c r="R78">
        <v>0</v>
      </c>
      <c r="S78" s="2">
        <f>R78 * G78</f>
        <v>0</v>
      </c>
      <c r="T78" s="2">
        <f>(H78 + J78) - (L78 + N78) - R78</f>
        <v>0</v>
      </c>
      <c r="U78" s="2">
        <f>T78 * G78</f>
        <v>0</v>
      </c>
      <c r="V78" s="2">
        <f>I78 + K78 - S78</f>
        <v>0</v>
      </c>
      <c r="W78" s="2">
        <f>M78 - V78</f>
        <v>0</v>
      </c>
      <c r="X78" s="2">
        <f>IFERROR(W78 / M78 * 100, 0)</f>
        <v>0</v>
      </c>
    </row>
    <row r="79" spans="1:24">
      <c r="A79" t="s">
        <v>1579</v>
      </c>
      <c r="B79" t="s">
        <v>512</v>
      </c>
      <c r="C79" t="s">
        <v>1701</v>
      </c>
      <c r="D79" t="s">
        <v>1007</v>
      </c>
      <c r="E79" t="s">
        <v>1746</v>
      </c>
      <c r="F79" t="s">
        <v>1824</v>
      </c>
      <c r="G79">
        <v>16.25</v>
      </c>
      <c r="H79">
        <v>0</v>
      </c>
      <c r="I79">
        <v>0</v>
      </c>
      <c r="J79">
        <v>340</v>
      </c>
      <c r="K79">
        <v>5910</v>
      </c>
      <c r="L79">
        <v>328.1</v>
      </c>
      <c r="M79">
        <v>6434.94</v>
      </c>
      <c r="N79">
        <v>5</v>
      </c>
      <c r="O79">
        <v>81.23</v>
      </c>
      <c r="P79" s="2">
        <f>(H79 + J79) - (L79 + N79)</f>
        <v>0</v>
      </c>
      <c r="Q79" s="2">
        <f>P79 * G79</f>
        <v>0</v>
      </c>
      <c r="R79">
        <v>0</v>
      </c>
      <c r="S79" s="2">
        <f>R79 * G79</f>
        <v>0</v>
      </c>
      <c r="T79" s="2">
        <f>(H79 + J79) - (L79 + N79) - R79</f>
        <v>0</v>
      </c>
      <c r="U79" s="2">
        <f>T79 * G79</f>
        <v>0</v>
      </c>
      <c r="V79" s="2">
        <f>I79 + K79 - S79</f>
        <v>0</v>
      </c>
      <c r="W79" s="2">
        <f>M79 - V79</f>
        <v>0</v>
      </c>
      <c r="X79" s="2">
        <f>IFERROR(W79 / M79 * 100, 0)</f>
        <v>0</v>
      </c>
    </row>
    <row r="80" spans="1:24">
      <c r="A80" t="s">
        <v>1580</v>
      </c>
      <c r="B80" t="s">
        <v>512</v>
      </c>
      <c r="C80" t="s">
        <v>1702</v>
      </c>
      <c r="D80" t="s">
        <v>1007</v>
      </c>
      <c r="E80" t="s">
        <v>1746</v>
      </c>
      <c r="F80" t="s">
        <v>1825</v>
      </c>
      <c r="G80">
        <v>4.5</v>
      </c>
      <c r="H80">
        <v>0</v>
      </c>
      <c r="I80">
        <v>0</v>
      </c>
      <c r="J80">
        <v>6464.94</v>
      </c>
      <c r="K80">
        <v>36085.33</v>
      </c>
      <c r="L80">
        <v>6158.74</v>
      </c>
      <c r="M80">
        <v>43244.91</v>
      </c>
      <c r="N80">
        <v>0</v>
      </c>
      <c r="O80">
        <v>0</v>
      </c>
      <c r="P80" s="2">
        <f>(H80 + J80) - (L80 + N80)</f>
        <v>0</v>
      </c>
      <c r="Q80" s="2">
        <f>P80 * G80</f>
        <v>0</v>
      </c>
      <c r="R80">
        <v>420</v>
      </c>
      <c r="S80" s="2">
        <f>R80 * G80</f>
        <v>0</v>
      </c>
      <c r="T80" s="2">
        <f>(H80 + J80) - (L80 + N80) - R80</f>
        <v>0</v>
      </c>
      <c r="U80" s="2">
        <f>T80 * G80</f>
        <v>0</v>
      </c>
      <c r="V80" s="2">
        <f>I80 + K80 - S80</f>
        <v>0</v>
      </c>
      <c r="W80" s="2">
        <f>M80 - V80</f>
        <v>0</v>
      </c>
      <c r="X80" s="2">
        <f>IFERROR(W80 / M80 * 100, 0)</f>
        <v>0</v>
      </c>
    </row>
    <row r="81" spans="1:24">
      <c r="A81" t="s">
        <v>1581</v>
      </c>
      <c r="B81" t="s">
        <v>512</v>
      </c>
      <c r="C81" t="s">
        <v>1703</v>
      </c>
      <c r="D81" t="s">
        <v>1007</v>
      </c>
      <c r="E81" t="s">
        <v>1746</v>
      </c>
      <c r="F81" t="s">
        <v>1826</v>
      </c>
      <c r="G81">
        <v>11.25</v>
      </c>
      <c r="H81">
        <v>0</v>
      </c>
      <c r="I81">
        <v>0</v>
      </c>
      <c r="J81">
        <v>660</v>
      </c>
      <c r="K81">
        <v>9930</v>
      </c>
      <c r="L81">
        <v>616.02</v>
      </c>
      <c r="M81">
        <v>10682.44</v>
      </c>
      <c r="N81">
        <v>0</v>
      </c>
      <c r="O81">
        <v>0</v>
      </c>
      <c r="P81" s="2">
        <f>(H81 + J81) - (L81 + N81)</f>
        <v>0</v>
      </c>
      <c r="Q81" s="2">
        <f>P81 * G81</f>
        <v>0</v>
      </c>
      <c r="R81">
        <v>2.5</v>
      </c>
      <c r="S81" s="2">
        <f>R81 * G81</f>
        <v>0</v>
      </c>
      <c r="T81" s="2">
        <f>(H81 + J81) - (L81 + N81) - R81</f>
        <v>0</v>
      </c>
      <c r="U81" s="2">
        <f>T81 * G81</f>
        <v>0</v>
      </c>
      <c r="V81" s="2">
        <f>I81 + K81 - S81</f>
        <v>0</v>
      </c>
      <c r="W81" s="2">
        <f>M81 - V81</f>
        <v>0</v>
      </c>
      <c r="X81" s="2">
        <f>IFERROR(W81 / M81 * 100, 0)</f>
        <v>0</v>
      </c>
    </row>
    <row r="82" spans="1:24">
      <c r="A82" t="s">
        <v>1582</v>
      </c>
      <c r="B82" t="s">
        <v>512</v>
      </c>
      <c r="C82" t="s">
        <v>1704</v>
      </c>
      <c r="D82" t="s">
        <v>1007</v>
      </c>
      <c r="E82" t="s">
        <v>1746</v>
      </c>
      <c r="F82" t="s">
        <v>1827</v>
      </c>
      <c r="G82">
        <v>17</v>
      </c>
      <c r="H82">
        <v>9.5</v>
      </c>
      <c r="I82">
        <v>194.75</v>
      </c>
      <c r="J82">
        <v>276.5</v>
      </c>
      <c r="K82">
        <v>6108.25</v>
      </c>
      <c r="L82">
        <v>239.53</v>
      </c>
      <c r="M82">
        <v>6721.42</v>
      </c>
      <c r="N82">
        <v>1</v>
      </c>
      <c r="O82">
        <v>17</v>
      </c>
      <c r="P82" s="2">
        <f>(H82 + J82) - (L82 + N82)</f>
        <v>0</v>
      </c>
      <c r="Q82" s="2">
        <f>P82 * G82</f>
        <v>0</v>
      </c>
      <c r="R82">
        <v>0</v>
      </c>
      <c r="S82" s="2">
        <f>R82 * G82</f>
        <v>0</v>
      </c>
      <c r="T82" s="2">
        <f>(H82 + J82) - (L82 + N82) - R82</f>
        <v>0</v>
      </c>
      <c r="U82" s="2">
        <f>T82 * G82</f>
        <v>0</v>
      </c>
      <c r="V82" s="2">
        <f>I82 + K82 - S82</f>
        <v>0</v>
      </c>
      <c r="W82" s="2">
        <f>M82 - V82</f>
        <v>0</v>
      </c>
      <c r="X82" s="2">
        <f>IFERROR(W82 / M82 * 100, 0)</f>
        <v>0</v>
      </c>
    </row>
    <row r="83" spans="1:24">
      <c r="A83" t="s">
        <v>1583</v>
      </c>
      <c r="B83" t="s">
        <v>512</v>
      </c>
      <c r="C83" t="s">
        <v>1705</v>
      </c>
      <c r="D83" t="s">
        <v>1007</v>
      </c>
      <c r="E83" t="s">
        <v>1746</v>
      </c>
      <c r="F83" t="s">
        <v>1828</v>
      </c>
      <c r="G83">
        <v>16.91</v>
      </c>
      <c r="H83">
        <v>0</v>
      </c>
      <c r="I83">
        <v>0</v>
      </c>
      <c r="J83">
        <v>487.55</v>
      </c>
      <c r="K83">
        <v>6683.26</v>
      </c>
      <c r="L83">
        <v>449.87</v>
      </c>
      <c r="M83">
        <v>6514.94</v>
      </c>
      <c r="N83">
        <v>0</v>
      </c>
      <c r="O83">
        <v>0</v>
      </c>
      <c r="P83" s="2">
        <f>(H83 + J83) - (L83 + N83)</f>
        <v>0</v>
      </c>
      <c r="Q83" s="2">
        <f>P83 * G83</f>
        <v>0</v>
      </c>
      <c r="R83">
        <v>0</v>
      </c>
      <c r="S83" s="2">
        <f>R83 * G83</f>
        <v>0</v>
      </c>
      <c r="T83" s="2">
        <f>(H83 + J83) - (L83 + N83) - R83</f>
        <v>0</v>
      </c>
      <c r="U83" s="2">
        <f>T83 * G83</f>
        <v>0</v>
      </c>
      <c r="V83" s="2">
        <f>I83 + K83 - S83</f>
        <v>0</v>
      </c>
      <c r="W83" s="2">
        <f>M83 - V83</f>
        <v>0</v>
      </c>
      <c r="X83" s="2">
        <f>IFERROR(W83 / M83 * 100, 0)</f>
        <v>0</v>
      </c>
    </row>
    <row r="84" spans="1:24">
      <c r="A84" t="s">
        <v>1584</v>
      </c>
      <c r="B84" t="s">
        <v>512</v>
      </c>
      <c r="C84" t="s">
        <v>1706</v>
      </c>
      <c r="D84" t="s">
        <v>1007</v>
      </c>
      <c r="E84" t="s">
        <v>1746</v>
      </c>
      <c r="F84" t="s">
        <v>1829</v>
      </c>
      <c r="G84">
        <v>27.75</v>
      </c>
      <c r="H84">
        <v>0</v>
      </c>
      <c r="I84">
        <v>0</v>
      </c>
      <c r="J84">
        <v>152</v>
      </c>
      <c r="K84">
        <v>4047</v>
      </c>
      <c r="L84">
        <v>142.48</v>
      </c>
      <c r="M84">
        <v>4482.91</v>
      </c>
      <c r="N84">
        <v>0</v>
      </c>
      <c r="O84">
        <v>0</v>
      </c>
      <c r="P84" s="2">
        <f>(H84 + J84) - (L84 + N84)</f>
        <v>0</v>
      </c>
      <c r="Q84" s="2">
        <f>P84 * G84</f>
        <v>0</v>
      </c>
      <c r="R84">
        <v>4.1</v>
      </c>
      <c r="S84" s="2">
        <f>R84 * G84</f>
        <v>0</v>
      </c>
      <c r="T84" s="2">
        <f>(H84 + J84) - (L84 + N84) - R84</f>
        <v>0</v>
      </c>
      <c r="U84" s="2">
        <f>T84 * G84</f>
        <v>0</v>
      </c>
      <c r="V84" s="2">
        <f>I84 + K84 - S84</f>
        <v>0</v>
      </c>
      <c r="W84" s="2">
        <f>M84 - V84</f>
        <v>0</v>
      </c>
      <c r="X84" s="2">
        <f>IFERROR(W84 / M84 * 100, 0)</f>
        <v>0</v>
      </c>
    </row>
    <row r="85" spans="1:24">
      <c r="A85" t="s">
        <v>1585</v>
      </c>
      <c r="B85" t="s">
        <v>512</v>
      </c>
      <c r="C85" t="s">
        <v>1707</v>
      </c>
      <c r="D85" t="s">
        <v>1007</v>
      </c>
      <c r="E85" t="s">
        <v>1746</v>
      </c>
      <c r="F85" t="s">
        <v>1830</v>
      </c>
      <c r="G85">
        <v>15</v>
      </c>
      <c r="H85">
        <v>0</v>
      </c>
      <c r="I85">
        <v>0</v>
      </c>
      <c r="J85">
        <v>0</v>
      </c>
      <c r="K85">
        <v>0</v>
      </c>
      <c r="L85">
        <v>1.18</v>
      </c>
      <c r="M85">
        <v>21.31</v>
      </c>
      <c r="N85">
        <v>0</v>
      </c>
      <c r="O85">
        <v>0</v>
      </c>
      <c r="P85" s="2">
        <f>(H85 + J85) - (L85 + N85)</f>
        <v>0</v>
      </c>
      <c r="Q85" s="2">
        <f>P85 * G85</f>
        <v>0</v>
      </c>
      <c r="R85">
        <v>0</v>
      </c>
      <c r="S85" s="2">
        <f>R85 * G85</f>
        <v>0</v>
      </c>
      <c r="T85" s="2">
        <f>(H85 + J85) - (L85 + N85) - R85</f>
        <v>0</v>
      </c>
      <c r="U85" s="2">
        <f>T85 * G85</f>
        <v>0</v>
      </c>
      <c r="V85" s="2">
        <f>I85 + K85 - S85</f>
        <v>0</v>
      </c>
      <c r="W85" s="2">
        <f>M85 - V85</f>
        <v>0</v>
      </c>
      <c r="X85" s="2">
        <f>IFERROR(W85 / M85 * 100, 0)</f>
        <v>0</v>
      </c>
    </row>
    <row r="86" spans="1:24">
      <c r="A86" t="s">
        <v>1586</v>
      </c>
      <c r="B86" t="s">
        <v>512</v>
      </c>
      <c r="C86" t="s">
        <v>1708</v>
      </c>
      <c r="D86" t="s">
        <v>1007</v>
      </c>
      <c r="E86" t="s">
        <v>1746</v>
      </c>
      <c r="F86" t="s">
        <v>1831</v>
      </c>
      <c r="G86">
        <v>16.5</v>
      </c>
      <c r="H86">
        <v>0</v>
      </c>
      <c r="I86">
        <v>0</v>
      </c>
      <c r="J86">
        <v>184</v>
      </c>
      <c r="K86">
        <v>3036</v>
      </c>
      <c r="L86">
        <v>185.05</v>
      </c>
      <c r="M86">
        <v>3700.92</v>
      </c>
      <c r="N86">
        <v>0</v>
      </c>
      <c r="O86">
        <v>0</v>
      </c>
      <c r="P86" s="2">
        <f>(H86 + J86) - (L86 + N86)</f>
        <v>0</v>
      </c>
      <c r="Q86" s="2">
        <f>P86 * G86</f>
        <v>0</v>
      </c>
      <c r="R86">
        <v>0</v>
      </c>
      <c r="S86" s="2">
        <f>R86 * G86</f>
        <v>0</v>
      </c>
      <c r="T86" s="2">
        <f>(H86 + J86) - (L86 + N86) - R86</f>
        <v>0</v>
      </c>
      <c r="U86" s="2">
        <f>T86 * G86</f>
        <v>0</v>
      </c>
      <c r="V86" s="2">
        <f>I86 + K86 - S86</f>
        <v>0</v>
      </c>
      <c r="W86" s="2">
        <f>M86 - V86</f>
        <v>0</v>
      </c>
      <c r="X86" s="2">
        <f>IFERROR(W86 / M86 * 100, 0)</f>
        <v>0</v>
      </c>
    </row>
    <row r="87" spans="1:24">
      <c r="A87" t="s">
        <v>1587</v>
      </c>
      <c r="B87" t="s">
        <v>512</v>
      </c>
      <c r="C87" t="s">
        <v>1709</v>
      </c>
      <c r="D87" t="s">
        <v>1007</v>
      </c>
      <c r="E87" t="s">
        <v>1746</v>
      </c>
      <c r="F87" t="s">
        <v>1832</v>
      </c>
      <c r="G87">
        <v>6.75</v>
      </c>
      <c r="H87">
        <v>0</v>
      </c>
      <c r="I87">
        <v>0</v>
      </c>
      <c r="J87">
        <v>64.86</v>
      </c>
      <c r="K87">
        <v>613.4</v>
      </c>
      <c r="L87">
        <v>62.42</v>
      </c>
      <c r="M87">
        <v>841.53</v>
      </c>
      <c r="N87">
        <v>3</v>
      </c>
      <c r="O87">
        <v>28.01</v>
      </c>
      <c r="P87" s="2">
        <f>(H87 + J87) - (L87 + N87)</f>
        <v>0</v>
      </c>
      <c r="Q87" s="2">
        <f>P87 * G87</f>
        <v>0</v>
      </c>
      <c r="R87">
        <v>0</v>
      </c>
      <c r="S87" s="2">
        <f>R87 * G87</f>
        <v>0</v>
      </c>
      <c r="T87" s="2">
        <f>(H87 + J87) - (L87 + N87) - R87</f>
        <v>0</v>
      </c>
      <c r="U87" s="2">
        <f>T87 * G87</f>
        <v>0</v>
      </c>
      <c r="V87" s="2">
        <f>I87 + K87 - S87</f>
        <v>0</v>
      </c>
      <c r="W87" s="2">
        <f>M87 - V87</f>
        <v>0</v>
      </c>
      <c r="X87" s="2">
        <f>IFERROR(W87 / M87 * 100, 0)</f>
        <v>0</v>
      </c>
    </row>
    <row r="88" spans="1:24">
      <c r="A88" t="s">
        <v>1588</v>
      </c>
      <c r="B88" t="s">
        <v>512</v>
      </c>
      <c r="C88" t="s">
        <v>1710</v>
      </c>
      <c r="D88" t="s">
        <v>1007</v>
      </c>
      <c r="E88" t="s">
        <v>1746</v>
      </c>
      <c r="F88" t="s">
        <v>1833</v>
      </c>
      <c r="G88">
        <v>6.1</v>
      </c>
      <c r="H88">
        <v>0</v>
      </c>
      <c r="I88">
        <v>0</v>
      </c>
      <c r="J88">
        <v>70.5</v>
      </c>
      <c r="K88">
        <v>456.25</v>
      </c>
      <c r="L88">
        <v>69.26000000000001</v>
      </c>
      <c r="M88">
        <v>742.45</v>
      </c>
      <c r="N88">
        <v>0.5</v>
      </c>
      <c r="O88">
        <v>3.05</v>
      </c>
      <c r="P88" s="2">
        <f>(H88 + J88) - (L88 + N88)</f>
        <v>0</v>
      </c>
      <c r="Q88" s="2">
        <f>P88 * G88</f>
        <v>0</v>
      </c>
      <c r="R88">
        <v>12</v>
      </c>
      <c r="S88" s="2">
        <f>R88 * G88</f>
        <v>0</v>
      </c>
      <c r="T88" s="2">
        <f>(H88 + J88) - (L88 + N88) - R88</f>
        <v>0</v>
      </c>
      <c r="U88" s="2">
        <f>T88 * G88</f>
        <v>0</v>
      </c>
      <c r="V88" s="2">
        <f>I88 + K88 - S88</f>
        <v>0</v>
      </c>
      <c r="W88" s="2">
        <f>M88 - V88</f>
        <v>0</v>
      </c>
      <c r="X88" s="2">
        <f>IFERROR(W88 / M88 * 100, 0)</f>
        <v>0</v>
      </c>
    </row>
    <row r="89" spans="1:24">
      <c r="A89" t="s">
        <v>1589</v>
      </c>
      <c r="B89" t="s">
        <v>512</v>
      </c>
      <c r="C89" t="s">
        <v>1711</v>
      </c>
      <c r="D89" t="s">
        <v>1007</v>
      </c>
      <c r="E89" t="s">
        <v>1746</v>
      </c>
      <c r="F89" t="s">
        <v>1834</v>
      </c>
      <c r="G89">
        <v>5.26</v>
      </c>
      <c r="H89">
        <v>0</v>
      </c>
      <c r="I89">
        <v>0</v>
      </c>
      <c r="J89">
        <v>165.08</v>
      </c>
      <c r="K89">
        <v>1024.87</v>
      </c>
      <c r="L89">
        <v>164.77</v>
      </c>
      <c r="M89">
        <v>1483.4</v>
      </c>
      <c r="N89">
        <v>0</v>
      </c>
      <c r="O89">
        <v>0</v>
      </c>
      <c r="P89" s="2">
        <f>(H89 + J89) - (L89 + N89)</f>
        <v>0</v>
      </c>
      <c r="Q89" s="2">
        <f>P89 * G89</f>
        <v>0</v>
      </c>
      <c r="R89">
        <v>0</v>
      </c>
      <c r="S89" s="2">
        <f>R89 * G89</f>
        <v>0</v>
      </c>
      <c r="T89" s="2">
        <f>(H89 + J89) - (L89 + N89) - R89</f>
        <v>0</v>
      </c>
      <c r="U89" s="2">
        <f>T89 * G89</f>
        <v>0</v>
      </c>
      <c r="V89" s="2">
        <f>I89 + K89 - S89</f>
        <v>0</v>
      </c>
      <c r="W89" s="2">
        <f>M89 - V89</f>
        <v>0</v>
      </c>
      <c r="X89" s="2">
        <f>IFERROR(W89 / M89 * 100, 0)</f>
        <v>0</v>
      </c>
    </row>
    <row r="90" spans="1:24">
      <c r="A90" t="s">
        <v>1590</v>
      </c>
      <c r="B90" t="s">
        <v>512</v>
      </c>
      <c r="C90" t="s">
        <v>1712</v>
      </c>
      <c r="D90" t="s">
        <v>1007</v>
      </c>
      <c r="E90" t="s">
        <v>1746</v>
      </c>
      <c r="F90" t="s">
        <v>1835</v>
      </c>
      <c r="G90">
        <v>21.25</v>
      </c>
      <c r="H90">
        <v>0</v>
      </c>
      <c r="I90">
        <v>0</v>
      </c>
      <c r="J90">
        <v>15</v>
      </c>
      <c r="K90">
        <v>318.75</v>
      </c>
      <c r="L90">
        <v>7.18</v>
      </c>
      <c r="M90">
        <v>208.29</v>
      </c>
      <c r="N90">
        <v>0</v>
      </c>
      <c r="O90">
        <v>0</v>
      </c>
      <c r="P90" s="2">
        <f>(H90 + J90) - (L90 + N90)</f>
        <v>0</v>
      </c>
      <c r="Q90" s="2">
        <f>P90 * G90</f>
        <v>0</v>
      </c>
      <c r="R90">
        <v>8.199999999999999</v>
      </c>
      <c r="S90" s="2">
        <f>R90 * G90</f>
        <v>0</v>
      </c>
      <c r="T90" s="2">
        <f>(H90 + J90) - (L90 + N90) - R90</f>
        <v>0</v>
      </c>
      <c r="U90" s="2">
        <f>T90 * G90</f>
        <v>0</v>
      </c>
      <c r="V90" s="2">
        <f>I90 + K90 - S90</f>
        <v>0</v>
      </c>
      <c r="W90" s="2">
        <f>M90 - V90</f>
        <v>0</v>
      </c>
      <c r="X90" s="2">
        <f>IFERROR(W90 / M90 * 100, 0)</f>
        <v>0</v>
      </c>
    </row>
    <row r="91" spans="1:24">
      <c r="A91" t="s">
        <v>1591</v>
      </c>
      <c r="B91" t="s">
        <v>512</v>
      </c>
      <c r="C91" t="s">
        <v>1713</v>
      </c>
      <c r="D91" t="s">
        <v>1007</v>
      </c>
      <c r="E91" t="s">
        <v>1746</v>
      </c>
      <c r="F91" t="s">
        <v>1836</v>
      </c>
      <c r="G91">
        <v>12.75</v>
      </c>
      <c r="H91">
        <v>35</v>
      </c>
      <c r="I91">
        <v>411.25</v>
      </c>
      <c r="J91">
        <v>1020</v>
      </c>
      <c r="K91">
        <v>9706.25</v>
      </c>
      <c r="L91">
        <v>1023.13</v>
      </c>
      <c r="M91">
        <v>12599.79</v>
      </c>
      <c r="N91">
        <v>0</v>
      </c>
      <c r="O91">
        <v>0</v>
      </c>
      <c r="P91" s="2">
        <f>(H91 + J91) - (L91 + N91)</f>
        <v>0</v>
      </c>
      <c r="Q91" s="2">
        <f>P91 * G91</f>
        <v>0</v>
      </c>
      <c r="R91">
        <v>66</v>
      </c>
      <c r="S91" s="2">
        <f>R91 * G91</f>
        <v>0</v>
      </c>
      <c r="T91" s="2">
        <f>(H91 + J91) - (L91 + N91) - R91</f>
        <v>0</v>
      </c>
      <c r="U91" s="2">
        <f>T91 * G91</f>
        <v>0</v>
      </c>
      <c r="V91" s="2">
        <f>I91 + K91 - S91</f>
        <v>0</v>
      </c>
      <c r="W91" s="2">
        <f>M91 - V91</f>
        <v>0</v>
      </c>
      <c r="X91" s="2">
        <f>IFERROR(W91 / M91 * 100, 0)</f>
        <v>0</v>
      </c>
    </row>
    <row r="92" spans="1:24">
      <c r="A92" t="s">
        <v>1592</v>
      </c>
      <c r="B92" t="s">
        <v>512</v>
      </c>
      <c r="C92" t="s">
        <v>1714</v>
      </c>
      <c r="D92" t="s">
        <v>1007</v>
      </c>
      <c r="E92" t="s">
        <v>1746</v>
      </c>
      <c r="F92" t="s">
        <v>1837</v>
      </c>
      <c r="G92">
        <v>17</v>
      </c>
      <c r="H92">
        <v>0</v>
      </c>
      <c r="I92">
        <v>0</v>
      </c>
      <c r="J92">
        <v>41</v>
      </c>
      <c r="K92">
        <v>724</v>
      </c>
      <c r="L92">
        <v>32.35</v>
      </c>
      <c r="M92">
        <v>724.61</v>
      </c>
      <c r="N92">
        <v>0</v>
      </c>
      <c r="O92">
        <v>0</v>
      </c>
      <c r="P92" s="2">
        <f>(H92 + J92) - (L92 + N92)</f>
        <v>0</v>
      </c>
      <c r="Q92" s="2">
        <f>P92 * G92</f>
        <v>0</v>
      </c>
      <c r="R92">
        <v>0</v>
      </c>
      <c r="S92" s="2">
        <f>R92 * G92</f>
        <v>0</v>
      </c>
      <c r="T92" s="2">
        <f>(H92 + J92) - (L92 + N92) - R92</f>
        <v>0</v>
      </c>
      <c r="U92" s="2">
        <f>T92 * G92</f>
        <v>0</v>
      </c>
      <c r="V92" s="2">
        <f>I92 + K92 - S92</f>
        <v>0</v>
      </c>
      <c r="W92" s="2">
        <f>M92 - V92</f>
        <v>0</v>
      </c>
      <c r="X92" s="2">
        <f>IFERROR(W92 / M92 * 100, 0)</f>
        <v>0</v>
      </c>
    </row>
    <row r="93" spans="1:24">
      <c r="A93" t="s">
        <v>1593</v>
      </c>
      <c r="B93" t="s">
        <v>512</v>
      </c>
      <c r="C93" t="s">
        <v>1715</v>
      </c>
      <c r="D93" t="s">
        <v>1007</v>
      </c>
      <c r="E93" t="s">
        <v>1746</v>
      </c>
      <c r="F93" t="s">
        <v>1838</v>
      </c>
      <c r="G93">
        <v>2.97</v>
      </c>
      <c r="H93">
        <v>0</v>
      </c>
      <c r="I93">
        <v>0</v>
      </c>
      <c r="J93">
        <v>497.2</v>
      </c>
      <c r="K93">
        <v>2082.27</v>
      </c>
      <c r="L93">
        <v>418.69</v>
      </c>
      <c r="M93">
        <v>2761.55</v>
      </c>
      <c r="N93">
        <v>5.2</v>
      </c>
      <c r="O93">
        <v>11.91</v>
      </c>
      <c r="P93" s="2">
        <f>(H93 + J93) - (L93 + N93)</f>
        <v>0</v>
      </c>
      <c r="Q93" s="2">
        <f>P93 * G93</f>
        <v>0</v>
      </c>
      <c r="R93">
        <v>61</v>
      </c>
      <c r="S93" s="2">
        <f>R93 * G93</f>
        <v>0</v>
      </c>
      <c r="T93" s="2">
        <f>(H93 + J93) - (L93 + N93) - R93</f>
        <v>0</v>
      </c>
      <c r="U93" s="2">
        <f>T93 * G93</f>
        <v>0</v>
      </c>
      <c r="V93" s="2">
        <f>I93 + K93 - S93</f>
        <v>0</v>
      </c>
      <c r="W93" s="2">
        <f>M93 - V93</f>
        <v>0</v>
      </c>
      <c r="X93" s="2">
        <f>IFERROR(W93 / M93 * 100, 0)</f>
        <v>0</v>
      </c>
    </row>
    <row r="94" spans="1:24">
      <c r="A94" t="s">
        <v>1594</v>
      </c>
      <c r="B94" t="s">
        <v>512</v>
      </c>
      <c r="C94" t="s">
        <v>1716</v>
      </c>
      <c r="D94" t="s">
        <v>1007</v>
      </c>
      <c r="E94" t="s">
        <v>1746</v>
      </c>
      <c r="F94" t="s">
        <v>1839</v>
      </c>
      <c r="G94">
        <v>14.73</v>
      </c>
      <c r="H94">
        <v>0</v>
      </c>
      <c r="I94">
        <v>0</v>
      </c>
      <c r="J94">
        <v>286.5</v>
      </c>
      <c r="K94">
        <v>4579.38</v>
      </c>
      <c r="L94">
        <v>278.44</v>
      </c>
      <c r="M94">
        <v>5187.39</v>
      </c>
      <c r="N94">
        <v>0</v>
      </c>
      <c r="O94">
        <v>0</v>
      </c>
      <c r="P94" s="2">
        <f>(H94 + J94) - (L94 + N94)</f>
        <v>0</v>
      </c>
      <c r="Q94" s="2">
        <f>P94 * G94</f>
        <v>0</v>
      </c>
      <c r="R94">
        <v>11.5</v>
      </c>
      <c r="S94" s="2">
        <f>R94 * G94</f>
        <v>0</v>
      </c>
      <c r="T94" s="2">
        <f>(H94 + J94) - (L94 + N94) - R94</f>
        <v>0</v>
      </c>
      <c r="U94" s="2">
        <f>T94 * G94</f>
        <v>0</v>
      </c>
      <c r="V94" s="2">
        <f>I94 + K94 - S94</f>
        <v>0</v>
      </c>
      <c r="W94" s="2">
        <f>M94 - V94</f>
        <v>0</v>
      </c>
      <c r="X94" s="2">
        <f>IFERROR(W94 / M94 * 100, 0)</f>
        <v>0</v>
      </c>
    </row>
    <row r="95" spans="1:24">
      <c r="A95" t="s">
        <v>1595</v>
      </c>
      <c r="B95" t="s">
        <v>512</v>
      </c>
      <c r="C95" t="s">
        <v>1717</v>
      </c>
      <c r="D95" t="s">
        <v>1007</v>
      </c>
      <c r="E95" t="s">
        <v>1746</v>
      </c>
      <c r="F95" t="s">
        <v>1840</v>
      </c>
      <c r="G95">
        <v>2</v>
      </c>
      <c r="H95">
        <v>7</v>
      </c>
      <c r="I95">
        <v>14</v>
      </c>
      <c r="J95">
        <v>0</v>
      </c>
      <c r="K95">
        <v>0</v>
      </c>
      <c r="L95">
        <v>4.65</v>
      </c>
      <c r="M95">
        <v>27.9</v>
      </c>
      <c r="N95">
        <v>0</v>
      </c>
      <c r="O95">
        <v>0</v>
      </c>
      <c r="P95" s="2">
        <f>(H95 + J95) - (L95 + N95)</f>
        <v>0</v>
      </c>
      <c r="Q95" s="2">
        <f>P95 * G95</f>
        <v>0</v>
      </c>
      <c r="R95">
        <v>0</v>
      </c>
      <c r="S95" s="2">
        <f>R95 * G95</f>
        <v>0</v>
      </c>
      <c r="T95" s="2">
        <f>(H95 + J95) - (L95 + N95) - R95</f>
        <v>0</v>
      </c>
      <c r="U95" s="2">
        <f>T95 * G95</f>
        <v>0</v>
      </c>
      <c r="V95" s="2">
        <f>I95 + K95 - S95</f>
        <v>0</v>
      </c>
      <c r="W95" s="2">
        <f>M95 - V95</f>
        <v>0</v>
      </c>
      <c r="X95" s="2">
        <f>IFERROR(W95 / M95 * 100, 0)</f>
        <v>0</v>
      </c>
    </row>
    <row r="96" spans="1:24">
      <c r="A96" t="s">
        <v>1596</v>
      </c>
      <c r="B96" t="s">
        <v>512</v>
      </c>
      <c r="C96" t="s">
        <v>1718</v>
      </c>
      <c r="D96" t="s">
        <v>1007</v>
      </c>
      <c r="E96" t="s">
        <v>1746</v>
      </c>
      <c r="F96" t="s">
        <v>1841</v>
      </c>
      <c r="G96">
        <v>4.24</v>
      </c>
      <c r="H96">
        <v>52</v>
      </c>
      <c r="I96">
        <v>429.91</v>
      </c>
      <c r="J96">
        <v>553.39</v>
      </c>
      <c r="K96">
        <v>3063.68</v>
      </c>
      <c r="L96">
        <v>536.77</v>
      </c>
      <c r="M96">
        <v>5396.03</v>
      </c>
      <c r="N96">
        <v>21.37</v>
      </c>
      <c r="O96">
        <v>102.19</v>
      </c>
      <c r="P96" s="2">
        <f>(H96 + J96) - (L96 + N96)</f>
        <v>0</v>
      </c>
      <c r="Q96" s="2">
        <f>P96 * G96</f>
        <v>0</v>
      </c>
      <c r="R96">
        <v>75.5</v>
      </c>
      <c r="S96" s="2">
        <f>R96 * G96</f>
        <v>0</v>
      </c>
      <c r="T96" s="2">
        <f>(H96 + J96) - (L96 + N96) - R96</f>
        <v>0</v>
      </c>
      <c r="U96" s="2">
        <f>T96 * G96</f>
        <v>0</v>
      </c>
      <c r="V96" s="2">
        <f>I96 + K96 - S96</f>
        <v>0</v>
      </c>
      <c r="W96" s="2">
        <f>M96 - V96</f>
        <v>0</v>
      </c>
      <c r="X96" s="2">
        <f>IFERROR(W96 / M96 * 100, 0)</f>
        <v>0</v>
      </c>
    </row>
    <row r="97" spans="1:24">
      <c r="A97" t="s">
        <v>1597</v>
      </c>
      <c r="B97" t="s">
        <v>512</v>
      </c>
      <c r="C97" t="s">
        <v>1719</v>
      </c>
      <c r="D97" t="s">
        <v>1007</v>
      </c>
      <c r="E97" t="s">
        <v>1746</v>
      </c>
      <c r="F97" t="s">
        <v>1842</v>
      </c>
      <c r="G97">
        <v>9</v>
      </c>
      <c r="H97">
        <v>0</v>
      </c>
      <c r="I97">
        <v>0</v>
      </c>
      <c r="J97">
        <v>50</v>
      </c>
      <c r="K97">
        <v>450</v>
      </c>
      <c r="L97">
        <v>48.32</v>
      </c>
      <c r="M97">
        <v>700.61</v>
      </c>
      <c r="N97">
        <v>0</v>
      </c>
      <c r="O97">
        <v>0</v>
      </c>
      <c r="P97" s="2">
        <f>(H97 + J97) - (L97 + N97)</f>
        <v>0</v>
      </c>
      <c r="Q97" s="2">
        <f>P97 * G97</f>
        <v>0</v>
      </c>
      <c r="R97">
        <v>0</v>
      </c>
      <c r="S97" s="2">
        <f>R97 * G97</f>
        <v>0</v>
      </c>
      <c r="T97" s="2">
        <f>(H97 + J97) - (L97 + N97) - R97</f>
        <v>0</v>
      </c>
      <c r="U97" s="2">
        <f>T97 * G97</f>
        <v>0</v>
      </c>
      <c r="V97" s="2">
        <f>I97 + K97 - S97</f>
        <v>0</v>
      </c>
      <c r="W97" s="2">
        <f>M97 - V97</f>
        <v>0</v>
      </c>
      <c r="X97" s="2">
        <f>IFERROR(W97 / M97 * 100, 0)</f>
        <v>0</v>
      </c>
    </row>
    <row r="98" spans="1:24">
      <c r="A98" t="s">
        <v>1598</v>
      </c>
      <c r="B98" t="s">
        <v>512</v>
      </c>
      <c r="C98" t="s">
        <v>1720</v>
      </c>
      <c r="D98" t="s">
        <v>1007</v>
      </c>
      <c r="E98" t="s">
        <v>1746</v>
      </c>
      <c r="F98" t="s">
        <v>1843</v>
      </c>
      <c r="G98">
        <v>26.23</v>
      </c>
      <c r="H98">
        <v>5.7</v>
      </c>
      <c r="I98">
        <v>139.85</v>
      </c>
      <c r="J98">
        <v>70.7</v>
      </c>
      <c r="K98">
        <v>1850.38</v>
      </c>
      <c r="L98">
        <v>63.71</v>
      </c>
      <c r="M98">
        <v>1825.25</v>
      </c>
      <c r="N98">
        <v>7.65</v>
      </c>
      <c r="O98">
        <v>200.12</v>
      </c>
      <c r="P98" s="2">
        <f>(H98 + J98) - (L98 + N98)</f>
        <v>0</v>
      </c>
      <c r="Q98" s="2">
        <f>P98 * G98</f>
        <v>0</v>
      </c>
      <c r="R98">
        <v>5</v>
      </c>
      <c r="S98" s="2">
        <f>R98 * G98</f>
        <v>0</v>
      </c>
      <c r="T98" s="2">
        <f>(H98 + J98) - (L98 + N98) - R98</f>
        <v>0</v>
      </c>
      <c r="U98" s="2">
        <f>T98 * G98</f>
        <v>0</v>
      </c>
      <c r="V98" s="2">
        <f>I98 + K98 - S98</f>
        <v>0</v>
      </c>
      <c r="W98" s="2">
        <f>M98 - V98</f>
        <v>0</v>
      </c>
      <c r="X98" s="2">
        <f>IFERROR(W98 / M98 * 100, 0)</f>
        <v>0</v>
      </c>
    </row>
    <row r="99" spans="1:24">
      <c r="A99" t="s">
        <v>1599</v>
      </c>
      <c r="B99" t="s">
        <v>512</v>
      </c>
      <c r="C99" t="s">
        <v>1721</v>
      </c>
      <c r="D99" t="s">
        <v>1007</v>
      </c>
      <c r="E99" t="s">
        <v>1746</v>
      </c>
      <c r="F99" t="s">
        <v>1844</v>
      </c>
      <c r="G99">
        <v>9.48</v>
      </c>
      <c r="H99">
        <v>16.5</v>
      </c>
      <c r="I99">
        <v>148.44</v>
      </c>
      <c r="J99">
        <v>71</v>
      </c>
      <c r="K99">
        <v>666</v>
      </c>
      <c r="L99">
        <v>69.59999999999999</v>
      </c>
      <c r="M99">
        <v>822.85</v>
      </c>
      <c r="N99">
        <v>0</v>
      </c>
      <c r="O99">
        <v>0</v>
      </c>
      <c r="P99" s="2">
        <f>(H99 + J99) - (L99 + N99)</f>
        <v>0</v>
      </c>
      <c r="Q99" s="2">
        <f>P99 * G99</f>
        <v>0</v>
      </c>
      <c r="R99">
        <v>0</v>
      </c>
      <c r="S99" s="2">
        <f>R99 * G99</f>
        <v>0</v>
      </c>
      <c r="T99" s="2">
        <f>(H99 + J99) - (L99 + N99) - R99</f>
        <v>0</v>
      </c>
      <c r="U99" s="2">
        <f>T99 * G99</f>
        <v>0</v>
      </c>
      <c r="V99" s="2">
        <f>I99 + K99 - S99</f>
        <v>0</v>
      </c>
      <c r="W99" s="2">
        <f>M99 - V99</f>
        <v>0</v>
      </c>
      <c r="X99" s="2">
        <f>IFERROR(W99 / M99 * 100, 0)</f>
        <v>0</v>
      </c>
    </row>
    <row r="100" spans="1:24">
      <c r="A100" t="s">
        <v>1600</v>
      </c>
      <c r="B100" t="s">
        <v>512</v>
      </c>
      <c r="C100" t="s">
        <v>1722</v>
      </c>
      <c r="D100" t="s">
        <v>1007</v>
      </c>
      <c r="E100" t="s">
        <v>1746</v>
      </c>
      <c r="F100" t="s">
        <v>1845</v>
      </c>
      <c r="G100">
        <v>14</v>
      </c>
      <c r="H100">
        <v>40</v>
      </c>
      <c r="I100">
        <v>558.4400000000001</v>
      </c>
      <c r="J100">
        <v>510</v>
      </c>
      <c r="K100">
        <v>6755</v>
      </c>
      <c r="L100">
        <v>506.78</v>
      </c>
      <c r="M100">
        <v>7831.71</v>
      </c>
      <c r="N100">
        <v>5</v>
      </c>
      <c r="O100">
        <v>68.78</v>
      </c>
      <c r="P100" s="2">
        <f>(H100 + J100) - (L100 + N100)</f>
        <v>0</v>
      </c>
      <c r="Q100" s="2">
        <f>P100 * G100</f>
        <v>0</v>
      </c>
      <c r="R100">
        <v>60</v>
      </c>
      <c r="S100" s="2">
        <f>R100 * G100</f>
        <v>0</v>
      </c>
      <c r="T100" s="2">
        <f>(H100 + J100) - (L100 + N100) - R100</f>
        <v>0</v>
      </c>
      <c r="U100" s="2">
        <f>T100 * G100</f>
        <v>0</v>
      </c>
      <c r="V100" s="2">
        <f>I100 + K100 - S100</f>
        <v>0</v>
      </c>
      <c r="W100" s="2">
        <f>M100 - V100</f>
        <v>0</v>
      </c>
      <c r="X100" s="2">
        <f>IFERROR(W100 / M100 * 100, 0)</f>
        <v>0</v>
      </c>
    </row>
    <row r="101" spans="1:24">
      <c r="A101" t="s">
        <v>1601</v>
      </c>
      <c r="B101" t="s">
        <v>512</v>
      </c>
      <c r="C101" t="s">
        <v>1723</v>
      </c>
      <c r="D101" t="s">
        <v>1007</v>
      </c>
      <c r="E101" t="s">
        <v>1746</v>
      </c>
      <c r="F101" t="s">
        <v>1846</v>
      </c>
      <c r="G101">
        <v>11.75</v>
      </c>
      <c r="H101">
        <v>0</v>
      </c>
      <c r="I101">
        <v>0</v>
      </c>
      <c r="J101">
        <v>539</v>
      </c>
      <c r="K101">
        <v>3748.5</v>
      </c>
      <c r="L101">
        <v>532.75</v>
      </c>
      <c r="M101">
        <v>4128.8</v>
      </c>
      <c r="N101">
        <v>0</v>
      </c>
      <c r="O101">
        <v>0</v>
      </c>
      <c r="P101" s="2">
        <f>(H101 + J101) - (L101 + N101)</f>
        <v>0</v>
      </c>
      <c r="Q101" s="2">
        <f>P101 * G101</f>
        <v>0</v>
      </c>
      <c r="R101">
        <v>0</v>
      </c>
      <c r="S101" s="2">
        <f>R101 * G101</f>
        <v>0</v>
      </c>
      <c r="T101" s="2">
        <f>(H101 + J101) - (L101 + N101) - R101</f>
        <v>0</v>
      </c>
      <c r="U101" s="2">
        <f>T101 * G101</f>
        <v>0</v>
      </c>
      <c r="V101" s="2">
        <f>I101 + K101 - S101</f>
        <v>0</v>
      </c>
      <c r="W101" s="2">
        <f>M101 - V101</f>
        <v>0</v>
      </c>
      <c r="X101" s="2">
        <f>IFERROR(W101 / M101 * 100, 0)</f>
        <v>0</v>
      </c>
    </row>
    <row r="102" spans="1:24">
      <c r="A102" t="s">
        <v>1602</v>
      </c>
      <c r="B102" t="s">
        <v>512</v>
      </c>
      <c r="C102" t="s">
        <v>1724</v>
      </c>
      <c r="D102" t="s">
        <v>1007</v>
      </c>
      <c r="E102" t="s">
        <v>1746</v>
      </c>
      <c r="F102" t="s">
        <v>1847</v>
      </c>
      <c r="G102">
        <v>25.75</v>
      </c>
      <c r="H102">
        <v>0</v>
      </c>
      <c r="I102">
        <v>0</v>
      </c>
      <c r="J102">
        <v>0</v>
      </c>
      <c r="K102">
        <v>0</v>
      </c>
      <c r="L102">
        <v>15.33</v>
      </c>
      <c r="M102">
        <v>431.61</v>
      </c>
      <c r="N102">
        <v>0</v>
      </c>
      <c r="O102">
        <v>0</v>
      </c>
      <c r="P102" s="2">
        <f>(H102 + J102) - (L102 + N102)</f>
        <v>0</v>
      </c>
      <c r="Q102" s="2">
        <f>P102 * G102</f>
        <v>0</v>
      </c>
      <c r="R102">
        <v>0</v>
      </c>
      <c r="S102" s="2">
        <f>R102 * G102</f>
        <v>0</v>
      </c>
      <c r="T102" s="2">
        <f>(H102 + J102) - (L102 + N102) - R102</f>
        <v>0</v>
      </c>
      <c r="U102" s="2">
        <f>T102 * G102</f>
        <v>0</v>
      </c>
      <c r="V102" s="2">
        <f>I102 + K102 - S102</f>
        <v>0</v>
      </c>
      <c r="W102" s="2">
        <f>M102 - V102</f>
        <v>0</v>
      </c>
      <c r="X102" s="2">
        <f>IFERROR(W102 / M102 * 100, 0)</f>
        <v>0</v>
      </c>
    </row>
    <row r="103" spans="1:24">
      <c r="A103" t="s">
        <v>1603</v>
      </c>
      <c r="B103" t="s">
        <v>512</v>
      </c>
      <c r="C103" t="s">
        <v>1725</v>
      </c>
      <c r="D103" t="s">
        <v>1007</v>
      </c>
      <c r="E103" t="s">
        <v>1746</v>
      </c>
      <c r="F103" t="s">
        <v>1848</v>
      </c>
      <c r="G103">
        <v>3.58</v>
      </c>
      <c r="H103">
        <v>0</v>
      </c>
      <c r="I103">
        <v>0</v>
      </c>
      <c r="J103">
        <v>2111</v>
      </c>
      <c r="K103">
        <v>8464.360000000001</v>
      </c>
      <c r="L103">
        <v>1688.14</v>
      </c>
      <c r="M103">
        <v>10438.76</v>
      </c>
      <c r="N103">
        <v>10</v>
      </c>
      <c r="O103">
        <v>35.85</v>
      </c>
      <c r="P103" s="2">
        <f>(H103 + J103) - (L103 + N103)</f>
        <v>0</v>
      </c>
      <c r="Q103" s="2">
        <f>P103 * G103</f>
        <v>0</v>
      </c>
      <c r="R103">
        <v>344</v>
      </c>
      <c r="S103" s="2">
        <f>R103 * G103</f>
        <v>0</v>
      </c>
      <c r="T103" s="2">
        <f>(H103 + J103) - (L103 + N103) - R103</f>
        <v>0</v>
      </c>
      <c r="U103" s="2">
        <f>T103 * G103</f>
        <v>0</v>
      </c>
      <c r="V103" s="2">
        <f>I103 + K103 - S103</f>
        <v>0</v>
      </c>
      <c r="W103" s="2">
        <f>M103 - V103</f>
        <v>0</v>
      </c>
      <c r="X103" s="2">
        <f>IFERROR(W103 / M103 * 100, 0)</f>
        <v>0</v>
      </c>
    </row>
    <row r="104" spans="1:24">
      <c r="A104" t="s">
        <v>1604</v>
      </c>
      <c r="B104" t="s">
        <v>512</v>
      </c>
      <c r="C104" t="s">
        <v>1726</v>
      </c>
      <c r="D104" t="s">
        <v>1007</v>
      </c>
      <c r="E104" t="s">
        <v>1746</v>
      </c>
      <c r="F104" t="s">
        <v>1849</v>
      </c>
      <c r="G104">
        <v>10.5</v>
      </c>
      <c r="H104">
        <v>0</v>
      </c>
      <c r="I104">
        <v>0</v>
      </c>
      <c r="J104">
        <v>25</v>
      </c>
      <c r="K104">
        <v>262.5</v>
      </c>
      <c r="L104">
        <v>26.18</v>
      </c>
      <c r="M104">
        <v>405.9</v>
      </c>
      <c r="N104">
        <v>0</v>
      </c>
      <c r="O104">
        <v>0</v>
      </c>
      <c r="P104" s="2">
        <f>(H104 + J104) - (L104 + N104)</f>
        <v>0</v>
      </c>
      <c r="Q104" s="2">
        <f>P104 * G104</f>
        <v>0</v>
      </c>
      <c r="R104">
        <v>0</v>
      </c>
      <c r="S104" s="2">
        <f>R104 * G104</f>
        <v>0</v>
      </c>
      <c r="T104" s="2">
        <f>(H104 + J104) - (L104 + N104) - R104</f>
        <v>0</v>
      </c>
      <c r="U104" s="2">
        <f>T104 * G104</f>
        <v>0</v>
      </c>
      <c r="V104" s="2">
        <f>I104 + K104 - S104</f>
        <v>0</v>
      </c>
      <c r="W104" s="2">
        <f>M104 - V104</f>
        <v>0</v>
      </c>
      <c r="X104" s="2">
        <f>IFERROR(W104 / M104 * 100, 0)</f>
        <v>0</v>
      </c>
    </row>
    <row r="105" spans="1:24">
      <c r="A105" t="s">
        <v>1605</v>
      </c>
      <c r="B105" t="s">
        <v>512</v>
      </c>
      <c r="C105" t="s">
        <v>1727</v>
      </c>
      <c r="D105" t="s">
        <v>1007</v>
      </c>
      <c r="E105" t="s">
        <v>1746</v>
      </c>
      <c r="F105" t="s">
        <v>1850</v>
      </c>
      <c r="G105">
        <v>16</v>
      </c>
      <c r="H105">
        <v>0</v>
      </c>
      <c r="I105">
        <v>0</v>
      </c>
      <c r="J105">
        <v>61.45</v>
      </c>
      <c r="K105">
        <v>983.15</v>
      </c>
      <c r="L105">
        <v>17.57</v>
      </c>
      <c r="M105">
        <v>328.95</v>
      </c>
      <c r="N105">
        <v>0</v>
      </c>
      <c r="O105">
        <v>0</v>
      </c>
      <c r="P105" s="2">
        <f>(H105 + J105) - (L105 + N105)</f>
        <v>0</v>
      </c>
      <c r="Q105" s="2">
        <f>P105 * G105</f>
        <v>0</v>
      </c>
      <c r="R105">
        <v>43</v>
      </c>
      <c r="S105" s="2">
        <f>R105 * G105</f>
        <v>0</v>
      </c>
      <c r="T105" s="2">
        <f>(H105 + J105) - (L105 + N105) - R105</f>
        <v>0</v>
      </c>
      <c r="U105" s="2">
        <f>T105 * G105</f>
        <v>0</v>
      </c>
      <c r="V105" s="2">
        <f>I105 + K105 - S105</f>
        <v>0</v>
      </c>
      <c r="W105" s="2">
        <f>M105 - V105</f>
        <v>0</v>
      </c>
      <c r="X105" s="2">
        <f>IFERROR(W105 / M105 * 100, 0)</f>
        <v>0</v>
      </c>
    </row>
    <row r="106" spans="1:24">
      <c r="A106" t="s">
        <v>1606</v>
      </c>
      <c r="B106" t="s">
        <v>512</v>
      </c>
      <c r="C106" t="s">
        <v>1728</v>
      </c>
      <c r="D106" t="s">
        <v>1007</v>
      </c>
      <c r="E106" t="s">
        <v>1746</v>
      </c>
      <c r="F106" t="s">
        <v>1851</v>
      </c>
      <c r="G106">
        <v>16</v>
      </c>
      <c r="H106">
        <v>116</v>
      </c>
      <c r="I106">
        <v>1856</v>
      </c>
      <c r="J106">
        <v>0</v>
      </c>
      <c r="K106">
        <v>0</v>
      </c>
      <c r="L106">
        <v>119.24</v>
      </c>
      <c r="M106">
        <v>2812.57</v>
      </c>
      <c r="N106">
        <v>0</v>
      </c>
      <c r="O106">
        <v>0</v>
      </c>
      <c r="P106" s="2">
        <f>(H106 + J106) - (L106 + N106)</f>
        <v>0</v>
      </c>
      <c r="Q106" s="2">
        <f>P106 * G106</f>
        <v>0</v>
      </c>
      <c r="R106">
        <v>0</v>
      </c>
      <c r="S106" s="2">
        <f>R106 * G106</f>
        <v>0</v>
      </c>
      <c r="T106" s="2">
        <f>(H106 + J106) - (L106 + N106) - R106</f>
        <v>0</v>
      </c>
      <c r="U106" s="2">
        <f>T106 * G106</f>
        <v>0</v>
      </c>
      <c r="V106" s="2">
        <f>I106 + K106 - S106</f>
        <v>0</v>
      </c>
      <c r="W106" s="2">
        <f>M106 - V106</f>
        <v>0</v>
      </c>
      <c r="X106" s="2">
        <f>IFERROR(W106 / M106 * 100, 0)</f>
        <v>0</v>
      </c>
    </row>
    <row r="107" spans="1:24">
      <c r="A107" t="s">
        <v>1607</v>
      </c>
      <c r="B107" t="s">
        <v>512</v>
      </c>
      <c r="C107" t="s">
        <v>1729</v>
      </c>
      <c r="D107" t="s">
        <v>1007</v>
      </c>
      <c r="E107" t="s">
        <v>1746</v>
      </c>
      <c r="F107" t="s">
        <v>1852</v>
      </c>
      <c r="G107">
        <v>44</v>
      </c>
      <c r="H107">
        <v>1.9</v>
      </c>
      <c r="I107">
        <v>82.3</v>
      </c>
      <c r="J107">
        <v>91.03</v>
      </c>
      <c r="K107">
        <v>4029.32</v>
      </c>
      <c r="L107">
        <v>77.48999999999999</v>
      </c>
      <c r="M107">
        <v>3792.83</v>
      </c>
      <c r="N107">
        <v>1.5</v>
      </c>
      <c r="O107">
        <v>66</v>
      </c>
      <c r="P107" s="2">
        <f>(H107 + J107) - (L107 + N107)</f>
        <v>0</v>
      </c>
      <c r="Q107" s="2">
        <f>P107 * G107</f>
        <v>0</v>
      </c>
      <c r="R107">
        <v>13.7</v>
      </c>
      <c r="S107" s="2">
        <f>R107 * G107</f>
        <v>0</v>
      </c>
      <c r="T107" s="2">
        <f>(H107 + J107) - (L107 + N107) - R107</f>
        <v>0</v>
      </c>
      <c r="U107" s="2">
        <f>T107 * G107</f>
        <v>0</v>
      </c>
      <c r="V107" s="2">
        <f>I107 + K107 - S107</f>
        <v>0</v>
      </c>
      <c r="W107" s="2">
        <f>M107 - V107</f>
        <v>0</v>
      </c>
      <c r="X107" s="2">
        <f>IFERROR(W107 / M107 * 100, 0)</f>
        <v>0</v>
      </c>
    </row>
    <row r="108" spans="1:24">
      <c r="A108" t="s">
        <v>1608</v>
      </c>
      <c r="B108" t="s">
        <v>512</v>
      </c>
      <c r="C108" t="s">
        <v>1730</v>
      </c>
      <c r="D108" t="s">
        <v>1007</v>
      </c>
      <c r="E108" t="s">
        <v>1746</v>
      </c>
      <c r="F108" t="s">
        <v>1853</v>
      </c>
      <c r="G108">
        <v>12</v>
      </c>
      <c r="H108">
        <v>0</v>
      </c>
      <c r="I108">
        <v>0</v>
      </c>
      <c r="J108">
        <v>0</v>
      </c>
      <c r="K108">
        <v>0</v>
      </c>
      <c r="L108">
        <v>1.18</v>
      </c>
      <c r="M108">
        <v>21.29</v>
      </c>
      <c r="N108">
        <v>0</v>
      </c>
      <c r="O108">
        <v>0</v>
      </c>
      <c r="P108" s="2">
        <f>(H108 + J108) - (L108 + N108)</f>
        <v>0</v>
      </c>
      <c r="Q108" s="2">
        <f>P108 * G108</f>
        <v>0</v>
      </c>
      <c r="R108">
        <v>0</v>
      </c>
      <c r="S108" s="2">
        <f>R108 * G108</f>
        <v>0</v>
      </c>
      <c r="T108" s="2">
        <f>(H108 + J108) - (L108 + N108) - R108</f>
        <v>0</v>
      </c>
      <c r="U108" s="2">
        <f>T108 * G108</f>
        <v>0</v>
      </c>
      <c r="V108" s="2">
        <f>I108 + K108 - S108</f>
        <v>0</v>
      </c>
      <c r="W108" s="2">
        <f>M108 - V108</f>
        <v>0</v>
      </c>
      <c r="X108" s="2">
        <f>IFERROR(W108 / M108 * 100, 0)</f>
        <v>0</v>
      </c>
    </row>
    <row r="109" spans="1:24">
      <c r="A109" t="s">
        <v>1609</v>
      </c>
      <c r="B109" t="s">
        <v>512</v>
      </c>
      <c r="C109" t="s">
        <v>1731</v>
      </c>
      <c r="D109" t="s">
        <v>1008</v>
      </c>
      <c r="E109" t="s">
        <v>1746</v>
      </c>
      <c r="F109" t="s">
        <v>1854</v>
      </c>
      <c r="G109">
        <v>9</v>
      </c>
      <c r="H109">
        <v>0</v>
      </c>
      <c r="I109">
        <v>0</v>
      </c>
      <c r="J109">
        <v>568</v>
      </c>
      <c r="K109">
        <v>5112</v>
      </c>
      <c r="L109">
        <v>0</v>
      </c>
      <c r="M109">
        <v>0</v>
      </c>
      <c r="N109">
        <v>0</v>
      </c>
      <c r="O109">
        <v>0</v>
      </c>
      <c r="P109" s="2">
        <f>(H109 + J109) - (L109 + N109)</f>
        <v>0</v>
      </c>
      <c r="Q109" s="2">
        <f>P109 * G109</f>
        <v>0</v>
      </c>
      <c r="R109">
        <v>0</v>
      </c>
      <c r="S109" s="2">
        <f>R109 * G109</f>
        <v>0</v>
      </c>
      <c r="T109" s="2">
        <f>(H109 + J109) - (L109 + N109) - R109</f>
        <v>0</v>
      </c>
      <c r="U109" s="2">
        <f>T109 * G109</f>
        <v>0</v>
      </c>
      <c r="V109" s="2">
        <f>I109 + K109 - S109</f>
        <v>0</v>
      </c>
      <c r="W109" s="2">
        <f>M109 - V109</f>
        <v>0</v>
      </c>
      <c r="X109" s="2">
        <f>IFERROR(W109 / M109 * 100, 0)</f>
        <v>0</v>
      </c>
    </row>
    <row r="110" spans="1:24">
      <c r="A110" t="s">
        <v>1610</v>
      </c>
      <c r="B110" t="s">
        <v>512</v>
      </c>
      <c r="C110" t="s">
        <v>1732</v>
      </c>
      <c r="D110" t="s">
        <v>1007</v>
      </c>
      <c r="E110" t="s">
        <v>1746</v>
      </c>
      <c r="F110" t="s">
        <v>1855</v>
      </c>
      <c r="G110">
        <v>10.75</v>
      </c>
      <c r="H110">
        <v>0</v>
      </c>
      <c r="I110">
        <v>0</v>
      </c>
      <c r="J110">
        <v>25</v>
      </c>
      <c r="K110">
        <v>268.75</v>
      </c>
      <c r="L110">
        <v>23.74</v>
      </c>
      <c r="M110">
        <v>308.58</v>
      </c>
      <c r="N110">
        <v>0</v>
      </c>
      <c r="O110">
        <v>0</v>
      </c>
      <c r="P110" s="2">
        <f>(H110 + J110) - (L110 + N110)</f>
        <v>0</v>
      </c>
      <c r="Q110" s="2">
        <f>P110 * G110</f>
        <v>0</v>
      </c>
      <c r="R110">
        <v>0</v>
      </c>
      <c r="S110" s="2">
        <f>R110 * G110</f>
        <v>0</v>
      </c>
      <c r="T110" s="2">
        <f>(H110 + J110) - (L110 + N110) - R110</f>
        <v>0</v>
      </c>
      <c r="U110" s="2">
        <f>T110 * G110</f>
        <v>0</v>
      </c>
      <c r="V110" s="2">
        <f>I110 + K110 - S110</f>
        <v>0</v>
      </c>
      <c r="W110" s="2">
        <f>M110 - V110</f>
        <v>0</v>
      </c>
      <c r="X110" s="2">
        <f>IFERROR(W110 / M110 * 100, 0)</f>
        <v>0</v>
      </c>
    </row>
    <row r="111" spans="1:24">
      <c r="A111" t="s">
        <v>1611</v>
      </c>
      <c r="B111" t="s">
        <v>512</v>
      </c>
      <c r="C111" t="s">
        <v>1733</v>
      </c>
      <c r="D111" t="s">
        <v>1007</v>
      </c>
      <c r="E111" t="s">
        <v>1746</v>
      </c>
      <c r="F111" t="s">
        <v>1856</v>
      </c>
      <c r="G111">
        <v>7.25</v>
      </c>
      <c r="H111">
        <v>0</v>
      </c>
      <c r="I111">
        <v>0</v>
      </c>
      <c r="J111">
        <v>3544.19</v>
      </c>
      <c r="K111">
        <v>20949.48</v>
      </c>
      <c r="L111">
        <v>3629.62</v>
      </c>
      <c r="M111">
        <v>27473.44</v>
      </c>
      <c r="N111">
        <v>1</v>
      </c>
      <c r="O111">
        <v>7.25</v>
      </c>
      <c r="P111" s="2">
        <f>(H111 + J111) - (L111 + N111)</f>
        <v>0</v>
      </c>
      <c r="Q111" s="2">
        <f>P111 * G111</f>
        <v>0</v>
      </c>
      <c r="R111">
        <v>25</v>
      </c>
      <c r="S111" s="2">
        <f>R111 * G111</f>
        <v>0</v>
      </c>
      <c r="T111" s="2">
        <f>(H111 + J111) - (L111 + N111) - R111</f>
        <v>0</v>
      </c>
      <c r="U111" s="2">
        <f>T111 * G111</f>
        <v>0</v>
      </c>
      <c r="V111" s="2">
        <f>I111 + K111 - S111</f>
        <v>0</v>
      </c>
      <c r="W111" s="2">
        <f>M111 - V111</f>
        <v>0</v>
      </c>
      <c r="X111" s="2">
        <f>IFERROR(W111 / M111 * 100, 0)</f>
        <v>0</v>
      </c>
    </row>
    <row r="112" spans="1:24">
      <c r="A112" t="s">
        <v>1612</v>
      </c>
      <c r="B112" t="s">
        <v>512</v>
      </c>
      <c r="C112" t="s">
        <v>1734</v>
      </c>
      <c r="D112" t="s">
        <v>1007</v>
      </c>
      <c r="E112" t="s">
        <v>1746</v>
      </c>
      <c r="F112" t="s">
        <v>1857</v>
      </c>
      <c r="G112">
        <v>19.5</v>
      </c>
      <c r="H112">
        <v>0</v>
      </c>
      <c r="I112">
        <v>0</v>
      </c>
      <c r="J112">
        <v>413.36</v>
      </c>
      <c r="K112">
        <v>8658.59</v>
      </c>
      <c r="L112">
        <v>407.14</v>
      </c>
      <c r="M112">
        <v>9668.139999999999</v>
      </c>
      <c r="N112">
        <v>0</v>
      </c>
      <c r="O112">
        <v>0</v>
      </c>
      <c r="P112" s="2">
        <f>(H112 + J112) - (L112 + N112)</f>
        <v>0</v>
      </c>
      <c r="Q112" s="2">
        <f>P112 * G112</f>
        <v>0</v>
      </c>
      <c r="R112">
        <v>26</v>
      </c>
      <c r="S112" s="2">
        <f>R112 * G112</f>
        <v>0</v>
      </c>
      <c r="T112" s="2">
        <f>(H112 + J112) - (L112 + N112) - R112</f>
        <v>0</v>
      </c>
      <c r="U112" s="2">
        <f>T112 * G112</f>
        <v>0</v>
      </c>
      <c r="V112" s="2">
        <f>I112 + K112 - S112</f>
        <v>0</v>
      </c>
      <c r="W112" s="2">
        <f>M112 - V112</f>
        <v>0</v>
      </c>
      <c r="X112" s="2">
        <f>IFERROR(W112 / M112 * 100, 0)</f>
        <v>0</v>
      </c>
    </row>
    <row r="113" spans="1:24">
      <c r="A113" t="s">
        <v>1613</v>
      </c>
      <c r="B113" t="s">
        <v>512</v>
      </c>
      <c r="C113" t="s">
        <v>1735</v>
      </c>
      <c r="D113" t="s">
        <v>1007</v>
      </c>
      <c r="E113" t="s">
        <v>1746</v>
      </c>
      <c r="F113" t="s">
        <v>1858</v>
      </c>
      <c r="G113">
        <v>4.28</v>
      </c>
      <c r="H113">
        <v>9</v>
      </c>
      <c r="I113">
        <v>32.78</v>
      </c>
      <c r="J113">
        <v>1084.5</v>
      </c>
      <c r="K113">
        <v>5808.05</v>
      </c>
      <c r="L113">
        <v>1093.67</v>
      </c>
      <c r="M113">
        <v>9038.120000000001</v>
      </c>
      <c r="N113">
        <v>0</v>
      </c>
      <c r="O113">
        <v>0</v>
      </c>
      <c r="P113" s="2">
        <f>(H113 + J113) - (L113 + N113)</f>
        <v>0</v>
      </c>
      <c r="Q113" s="2">
        <f>P113 * G113</f>
        <v>0</v>
      </c>
      <c r="R113">
        <v>0</v>
      </c>
      <c r="S113" s="2">
        <f>R113 * G113</f>
        <v>0</v>
      </c>
      <c r="T113" s="2">
        <f>(H113 + J113) - (L113 + N113) - R113</f>
        <v>0</v>
      </c>
      <c r="U113" s="2">
        <f>T113 * G113</f>
        <v>0</v>
      </c>
      <c r="V113" s="2">
        <f>I113 + K113 - S113</f>
        <v>0</v>
      </c>
      <c r="W113" s="2">
        <f>M113 - V113</f>
        <v>0</v>
      </c>
      <c r="X113" s="2">
        <f>IFERROR(W113 / M113 * 100, 0)</f>
        <v>0</v>
      </c>
    </row>
    <row r="114" spans="1:24">
      <c r="A114" t="s">
        <v>1614</v>
      </c>
      <c r="B114" t="s">
        <v>512</v>
      </c>
      <c r="C114" t="s">
        <v>1736</v>
      </c>
      <c r="D114" t="s">
        <v>1007</v>
      </c>
      <c r="E114" t="s">
        <v>1746</v>
      </c>
      <c r="F114" t="s">
        <v>1859</v>
      </c>
      <c r="G114">
        <v>14.38</v>
      </c>
      <c r="H114">
        <v>11</v>
      </c>
      <c r="I114">
        <v>199.54</v>
      </c>
      <c r="J114">
        <v>105.95</v>
      </c>
      <c r="K114">
        <v>1942.02</v>
      </c>
      <c r="L114">
        <v>113.88</v>
      </c>
      <c r="M114">
        <v>2373.64</v>
      </c>
      <c r="N114">
        <v>2</v>
      </c>
      <c r="O114">
        <v>28.76</v>
      </c>
      <c r="P114" s="2">
        <f>(H114 + J114) - (L114 + N114)</f>
        <v>0</v>
      </c>
      <c r="Q114" s="2">
        <f>P114 * G114</f>
        <v>0</v>
      </c>
      <c r="R114">
        <v>0</v>
      </c>
      <c r="S114" s="2">
        <f>R114 * G114</f>
        <v>0</v>
      </c>
      <c r="T114" s="2">
        <f>(H114 + J114) - (L114 + N114) - R114</f>
        <v>0</v>
      </c>
      <c r="U114" s="2">
        <f>T114 * G114</f>
        <v>0</v>
      </c>
      <c r="V114" s="2">
        <f>I114 + K114 - S114</f>
        <v>0</v>
      </c>
      <c r="W114" s="2">
        <f>M114 - V114</f>
        <v>0</v>
      </c>
      <c r="X114" s="2">
        <f>IFERROR(W114 / M114 * 100, 0)</f>
        <v>0</v>
      </c>
    </row>
    <row r="115" spans="1:24">
      <c r="A115" t="s">
        <v>1615</v>
      </c>
      <c r="B115" t="s">
        <v>512</v>
      </c>
      <c r="C115" t="s">
        <v>1737</v>
      </c>
      <c r="D115" t="s">
        <v>1007</v>
      </c>
      <c r="E115" t="s">
        <v>1746</v>
      </c>
      <c r="F115" t="s">
        <v>1860</v>
      </c>
      <c r="G115">
        <v>10.75</v>
      </c>
      <c r="H115">
        <v>0</v>
      </c>
      <c r="I115">
        <v>0</v>
      </c>
      <c r="J115">
        <v>175</v>
      </c>
      <c r="K115">
        <v>1731.25</v>
      </c>
      <c r="L115">
        <v>195.83</v>
      </c>
      <c r="M115">
        <v>2500.14</v>
      </c>
      <c r="N115">
        <v>0</v>
      </c>
      <c r="O115">
        <v>0</v>
      </c>
      <c r="P115" s="2">
        <f>(H115 + J115) - (L115 + N115)</f>
        <v>0</v>
      </c>
      <c r="Q115" s="2">
        <f>P115 * G115</f>
        <v>0</v>
      </c>
      <c r="R115">
        <v>0</v>
      </c>
      <c r="S115" s="2">
        <f>R115 * G115</f>
        <v>0</v>
      </c>
      <c r="T115" s="2">
        <f>(H115 + J115) - (L115 + N115) - R115</f>
        <v>0</v>
      </c>
      <c r="U115" s="2">
        <f>T115 * G115</f>
        <v>0</v>
      </c>
      <c r="V115" s="2">
        <f>I115 + K115 - S115</f>
        <v>0</v>
      </c>
      <c r="W115" s="2">
        <f>M115 - V115</f>
        <v>0</v>
      </c>
      <c r="X115" s="2">
        <f>IFERROR(W115 / M115 * 100, 0)</f>
        <v>0</v>
      </c>
    </row>
    <row r="116" spans="1:24">
      <c r="A116" t="s">
        <v>1616</v>
      </c>
      <c r="B116" t="s">
        <v>512</v>
      </c>
      <c r="C116" t="s">
        <v>1738</v>
      </c>
      <c r="D116" t="s">
        <v>1007</v>
      </c>
      <c r="E116" t="s">
        <v>1746</v>
      </c>
      <c r="F116" t="s">
        <v>1861</v>
      </c>
      <c r="G116">
        <v>15</v>
      </c>
      <c r="H116">
        <v>5</v>
      </c>
      <c r="I116">
        <v>75</v>
      </c>
      <c r="J116">
        <v>15</v>
      </c>
      <c r="K116">
        <v>225</v>
      </c>
      <c r="L116">
        <v>18.05</v>
      </c>
      <c r="M116">
        <v>324.96</v>
      </c>
      <c r="N116">
        <v>0</v>
      </c>
      <c r="O116">
        <v>0</v>
      </c>
      <c r="P116" s="2">
        <f>(H116 + J116) - (L116 + N116)</f>
        <v>0</v>
      </c>
      <c r="Q116" s="2">
        <f>P116 * G116</f>
        <v>0</v>
      </c>
      <c r="R116">
        <v>0</v>
      </c>
      <c r="S116" s="2">
        <f>R116 * G116</f>
        <v>0</v>
      </c>
      <c r="T116" s="2">
        <f>(H116 + J116) - (L116 + N116) - R116</f>
        <v>0</v>
      </c>
      <c r="U116" s="2">
        <f>T116 * G116</f>
        <v>0</v>
      </c>
      <c r="V116" s="2">
        <f>I116 + K116 - S116</f>
        <v>0</v>
      </c>
      <c r="W116" s="2">
        <f>M116 - V116</f>
        <v>0</v>
      </c>
      <c r="X116" s="2">
        <f>IFERROR(W116 / M116 * 100, 0)</f>
        <v>0</v>
      </c>
    </row>
    <row r="117" spans="1:24">
      <c r="A117" t="s">
        <v>1617</v>
      </c>
      <c r="B117" t="s">
        <v>512</v>
      </c>
      <c r="C117" t="s">
        <v>1739</v>
      </c>
      <c r="D117" t="s">
        <v>1007</v>
      </c>
      <c r="E117" t="s">
        <v>1746</v>
      </c>
      <c r="F117" t="s">
        <v>1862</v>
      </c>
      <c r="G117">
        <v>21.04</v>
      </c>
      <c r="H117">
        <v>28</v>
      </c>
      <c r="I117">
        <v>589.09</v>
      </c>
      <c r="J117">
        <v>-20.58</v>
      </c>
      <c r="K117">
        <v>-432.92</v>
      </c>
      <c r="L117">
        <v>7.42</v>
      </c>
      <c r="M117">
        <v>178.15</v>
      </c>
      <c r="N117">
        <v>0</v>
      </c>
      <c r="O117">
        <v>0</v>
      </c>
      <c r="P117" s="2">
        <f>(H117 + J117) - (L117 + N117)</f>
        <v>0</v>
      </c>
      <c r="Q117" s="2">
        <f>P117 * G117</f>
        <v>0</v>
      </c>
      <c r="R117">
        <v>0</v>
      </c>
      <c r="S117" s="2">
        <f>R117 * G117</f>
        <v>0</v>
      </c>
      <c r="T117" s="2">
        <f>(H117 + J117) - (L117 + N117) - R117</f>
        <v>0</v>
      </c>
      <c r="U117" s="2">
        <f>T117 * G117</f>
        <v>0</v>
      </c>
      <c r="V117" s="2">
        <f>I117 + K117 - S117</f>
        <v>0</v>
      </c>
      <c r="W117" s="2">
        <f>M117 - V117</f>
        <v>0</v>
      </c>
      <c r="X117" s="2">
        <f>IFERROR(W117 / M117 * 100, 0)</f>
        <v>0</v>
      </c>
    </row>
    <row r="118" spans="1:24">
      <c r="A118" t="s">
        <v>1618</v>
      </c>
      <c r="B118" t="s">
        <v>512</v>
      </c>
      <c r="C118" t="s">
        <v>1740</v>
      </c>
      <c r="D118" t="s">
        <v>1007</v>
      </c>
      <c r="E118" t="s">
        <v>1746</v>
      </c>
      <c r="F118" t="s">
        <v>1863</v>
      </c>
      <c r="G118">
        <v>11.65</v>
      </c>
      <c r="H118">
        <v>0</v>
      </c>
      <c r="I118">
        <v>0</v>
      </c>
      <c r="J118">
        <v>138.9</v>
      </c>
      <c r="K118">
        <v>1918.04</v>
      </c>
      <c r="L118">
        <v>133.99</v>
      </c>
      <c r="M118">
        <v>2456.19</v>
      </c>
      <c r="N118">
        <v>0</v>
      </c>
      <c r="O118">
        <v>0</v>
      </c>
      <c r="P118" s="2">
        <f>(H118 + J118) - (L118 + N118)</f>
        <v>0</v>
      </c>
      <c r="Q118" s="2">
        <f>P118 * G118</f>
        <v>0</v>
      </c>
      <c r="R118">
        <v>3.5</v>
      </c>
      <c r="S118" s="2">
        <f>R118 * G118</f>
        <v>0</v>
      </c>
      <c r="T118" s="2">
        <f>(H118 + J118) - (L118 + N118) - R118</f>
        <v>0</v>
      </c>
      <c r="U118" s="2">
        <f>T118 * G118</f>
        <v>0</v>
      </c>
      <c r="V118" s="2">
        <f>I118 + K118 - S118</f>
        <v>0</v>
      </c>
      <c r="W118" s="2">
        <f>M118 - V118</f>
        <v>0</v>
      </c>
      <c r="X118" s="2">
        <f>IFERROR(W118 / M118 * 100, 0)</f>
        <v>0</v>
      </c>
    </row>
    <row r="119" spans="1:24">
      <c r="A119" t="s">
        <v>1619</v>
      </c>
      <c r="B119" t="s">
        <v>512</v>
      </c>
      <c r="C119" t="s">
        <v>1741</v>
      </c>
      <c r="D119" t="s">
        <v>1007</v>
      </c>
      <c r="E119" t="s">
        <v>1746</v>
      </c>
      <c r="F119" t="s">
        <v>1864</v>
      </c>
      <c r="G119">
        <v>3.34</v>
      </c>
      <c r="H119">
        <v>70</v>
      </c>
      <c r="I119">
        <v>425.07</v>
      </c>
      <c r="J119">
        <v>734.79</v>
      </c>
      <c r="K119">
        <v>3742.87</v>
      </c>
      <c r="L119">
        <v>717.33</v>
      </c>
      <c r="M119">
        <v>5367.3</v>
      </c>
      <c r="N119">
        <v>3.8</v>
      </c>
      <c r="O119">
        <v>16.74</v>
      </c>
      <c r="P119" s="2">
        <f>(H119 + J119) - (L119 + N119)</f>
        <v>0</v>
      </c>
      <c r="Q119" s="2">
        <f>P119 * G119</f>
        <v>0</v>
      </c>
      <c r="R119">
        <v>102</v>
      </c>
      <c r="S119" s="2">
        <f>R119 * G119</f>
        <v>0</v>
      </c>
      <c r="T119" s="2">
        <f>(H119 + J119) - (L119 + N119) - R119</f>
        <v>0</v>
      </c>
      <c r="U119" s="2">
        <f>T119 * G119</f>
        <v>0</v>
      </c>
      <c r="V119" s="2">
        <f>I119 + K119 - S119</f>
        <v>0</v>
      </c>
      <c r="W119" s="2">
        <f>M119 - V119</f>
        <v>0</v>
      </c>
      <c r="X119" s="2">
        <f>IFERROR(W119 / M119 * 100, 0)</f>
        <v>0</v>
      </c>
    </row>
    <row r="120" spans="1:24">
      <c r="A120" t="s">
        <v>1620</v>
      </c>
      <c r="B120" t="s">
        <v>512</v>
      </c>
      <c r="C120" t="s">
        <v>1742</v>
      </c>
      <c r="D120" t="s">
        <v>1007</v>
      </c>
      <c r="E120" t="s">
        <v>1746</v>
      </c>
      <c r="F120" t="s">
        <v>1865</v>
      </c>
      <c r="G120">
        <v>8.029999999999999</v>
      </c>
      <c r="H120">
        <v>16.9</v>
      </c>
      <c r="I120">
        <v>170.34</v>
      </c>
      <c r="J120">
        <v>164.66</v>
      </c>
      <c r="K120">
        <v>1535.09</v>
      </c>
      <c r="L120">
        <v>116.05</v>
      </c>
      <c r="M120">
        <v>1538.85</v>
      </c>
      <c r="N120">
        <v>7.5</v>
      </c>
      <c r="O120">
        <v>65.76000000000001</v>
      </c>
      <c r="P120" s="2">
        <f>(H120 + J120) - (L120 + N120)</f>
        <v>0</v>
      </c>
      <c r="Q120" s="2">
        <f>P120 * G120</f>
        <v>0</v>
      </c>
      <c r="R120">
        <v>33</v>
      </c>
      <c r="S120" s="2">
        <f>R120 * G120</f>
        <v>0</v>
      </c>
      <c r="T120" s="2">
        <f>(H120 + J120) - (L120 + N120) - R120</f>
        <v>0</v>
      </c>
      <c r="U120" s="2">
        <f>T120 * G120</f>
        <v>0</v>
      </c>
      <c r="V120" s="2">
        <f>I120 + K120 - S120</f>
        <v>0</v>
      </c>
      <c r="W120" s="2">
        <f>M120 - V120</f>
        <v>0</v>
      </c>
      <c r="X120" s="2">
        <f>IFERROR(W120 / M120 * 100, 0)</f>
        <v>0</v>
      </c>
    </row>
    <row r="121" spans="1:24">
      <c r="A121" t="s">
        <v>1621</v>
      </c>
      <c r="B121" t="s">
        <v>512</v>
      </c>
      <c r="C121" t="s">
        <v>1743</v>
      </c>
      <c r="D121" t="s">
        <v>1007</v>
      </c>
      <c r="E121" t="s">
        <v>1746</v>
      </c>
      <c r="F121" t="s">
        <v>1866</v>
      </c>
      <c r="G121">
        <v>20.68</v>
      </c>
      <c r="H121">
        <v>21.4</v>
      </c>
      <c r="I121">
        <v>387.16</v>
      </c>
      <c r="J121">
        <v>272.15</v>
      </c>
      <c r="K121">
        <v>6554.31</v>
      </c>
      <c r="L121">
        <v>201.69</v>
      </c>
      <c r="M121">
        <v>6416.65</v>
      </c>
      <c r="N121">
        <v>0</v>
      </c>
      <c r="O121">
        <v>0</v>
      </c>
      <c r="P121" s="2">
        <f>(H121 + J121) - (L121 + N121)</f>
        <v>0</v>
      </c>
      <c r="Q121" s="2">
        <f>P121 * G121</f>
        <v>0</v>
      </c>
      <c r="R121">
        <v>33.6</v>
      </c>
      <c r="S121" s="2">
        <f>R121 * G121</f>
        <v>0</v>
      </c>
      <c r="T121" s="2">
        <f>(H121 + J121) - (L121 + N121) - R121</f>
        <v>0</v>
      </c>
      <c r="U121" s="2">
        <f>T121 * G121</f>
        <v>0</v>
      </c>
      <c r="V121" s="2">
        <f>I121 + K121 - S121</f>
        <v>0</v>
      </c>
      <c r="W121" s="2">
        <f>M121 - V121</f>
        <v>0</v>
      </c>
      <c r="X121" s="2">
        <f>IFERROR(W121 / M121 * 100, 0)</f>
        <v>0</v>
      </c>
    </row>
    <row r="122" spans="1:24">
      <c r="A122" t="s">
        <v>1622</v>
      </c>
      <c r="B122" t="s">
        <v>512</v>
      </c>
      <c r="C122" t="s">
        <v>1744</v>
      </c>
      <c r="D122" t="s">
        <v>1007</v>
      </c>
      <c r="E122" t="s">
        <v>1746</v>
      </c>
      <c r="F122" t="s">
        <v>1867</v>
      </c>
      <c r="G122">
        <v>18.73</v>
      </c>
      <c r="H122">
        <v>0</v>
      </c>
      <c r="I122">
        <v>0</v>
      </c>
      <c r="J122">
        <v>0</v>
      </c>
      <c r="K122">
        <v>0</v>
      </c>
      <c r="L122">
        <v>10.97</v>
      </c>
      <c r="M122">
        <v>248.69</v>
      </c>
      <c r="N122">
        <v>0</v>
      </c>
      <c r="O122">
        <v>0</v>
      </c>
      <c r="P122" s="2">
        <f>(H122 + J122) - (L122 + N122)</f>
        <v>0</v>
      </c>
      <c r="Q122" s="2">
        <f>P122 * G122</f>
        <v>0</v>
      </c>
      <c r="R122">
        <v>0</v>
      </c>
      <c r="S122" s="2">
        <f>R122 * G122</f>
        <v>0</v>
      </c>
      <c r="T122" s="2">
        <f>(H122 + J122) - (L122 + N122) - R122</f>
        <v>0</v>
      </c>
      <c r="U122" s="2">
        <f>T122 * G122</f>
        <v>0</v>
      </c>
      <c r="V122" s="2">
        <f>I122 + K122 - S122</f>
        <v>0</v>
      </c>
      <c r="W122" s="2">
        <f>M122 - V122</f>
        <v>0</v>
      </c>
      <c r="X122" s="2">
        <f>IFERROR(W122 / M122 * 100, 0)</f>
        <v>0</v>
      </c>
    </row>
    <row r="123" spans="1:24">
      <c r="A123" t="s">
        <v>1623</v>
      </c>
      <c r="B123" t="s">
        <v>512</v>
      </c>
      <c r="C123" t="s">
        <v>1745</v>
      </c>
      <c r="D123" t="s">
        <v>1007</v>
      </c>
      <c r="E123" t="s">
        <v>1746</v>
      </c>
      <c r="F123" t="s">
        <v>1868</v>
      </c>
      <c r="G123">
        <v>7.2</v>
      </c>
      <c r="H123">
        <v>12.7</v>
      </c>
      <c r="I123">
        <v>63.68</v>
      </c>
      <c r="J123">
        <v>101</v>
      </c>
      <c r="K123">
        <v>668.45</v>
      </c>
      <c r="L123">
        <v>100.19</v>
      </c>
      <c r="M123">
        <v>1222.79</v>
      </c>
      <c r="N123">
        <v>7.9</v>
      </c>
      <c r="O123">
        <v>53.84</v>
      </c>
      <c r="P123" s="2">
        <f>(H123 + J123) - (L123 + N123)</f>
        <v>0</v>
      </c>
      <c r="Q123" s="2">
        <f>P123 * G123</f>
        <v>0</v>
      </c>
      <c r="R123">
        <v>11.5</v>
      </c>
      <c r="S123" s="2">
        <f>R123 * G123</f>
        <v>0</v>
      </c>
      <c r="T123" s="2">
        <f>(H123 + J123) - (L123 + N123) - R123</f>
        <v>0</v>
      </c>
      <c r="U123" s="2">
        <f>T123 * G123</f>
        <v>0</v>
      </c>
      <c r="V123" s="2">
        <f>I123 + K123 - S123</f>
        <v>0</v>
      </c>
      <c r="W123" s="2">
        <f>M123 - V123</f>
        <v>0</v>
      </c>
      <c r="X123" s="2">
        <f>IFERROR(W123 / M123 * 100, 0)</f>
        <v>0</v>
      </c>
    </row>
    <row r="128" spans="1:24">
      <c r="H128" s="2">
        <f>SUM(H2:H123)</f>
        <v>0</v>
      </c>
      <c r="I128" s="2">
        <f>SUM(I2:I123)</f>
        <v>0</v>
      </c>
      <c r="J128" s="2">
        <f>SUM(J2:J123)</f>
        <v>0</v>
      </c>
      <c r="K128" s="2">
        <f>SUM(K2:K123)</f>
        <v>0</v>
      </c>
      <c r="L128" s="2">
        <f>SUM(L2:L123)</f>
        <v>0</v>
      </c>
      <c r="M128" s="2">
        <f>SUM(M2:M123)</f>
        <v>0</v>
      </c>
      <c r="N128" s="2">
        <f>SUM(N2:N123)</f>
        <v>0</v>
      </c>
      <c r="O128" s="2">
        <f>SUM(O2:O123)</f>
        <v>0</v>
      </c>
      <c r="P128" s="2">
        <f>SUM(P2:P123)</f>
        <v>0</v>
      </c>
      <c r="Q128" s="2">
        <f>SUM(Q2:Q123)</f>
        <v>0</v>
      </c>
      <c r="R128" s="2">
        <f>SUM(R2:R123)</f>
        <v>0</v>
      </c>
      <c r="S128" s="2">
        <f>SUM(S2:S123)</f>
        <v>0</v>
      </c>
      <c r="T128" s="2">
        <f>SUM(T2:T123)</f>
        <v>0</v>
      </c>
      <c r="U128" s="2">
        <f>SUM(U2:U123)</f>
        <v>0</v>
      </c>
      <c r="V128" s="2">
        <f>SUM(V2:V123)</f>
        <v>0</v>
      </c>
      <c r="W128" s="2">
        <f>SUM(W2:W123)</f>
        <v>0</v>
      </c>
      <c r="X128" s="2">
        <f>IFERROR((W128 / M128) * 100, 0)</f>
        <v>0</v>
      </c>
    </row>
  </sheetData>
  <conditionalFormatting sqref="A2:X123">
    <cfRule type="notContainsBlanks" dxfId="0" priority="1">
      <formula>LEN(TRIM(A2))&gt;0</formula>
    </cfRule>
  </conditionalFormatting>
  <conditionalFormatting sqref="X2:X123">
    <cfRule type="expression" dxfId="1" priority="2">
      <formula>AND($X2&lt;=0, $X2&lt;&gt;"")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16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1869</v>
      </c>
      <c r="B2" t="s">
        <v>512</v>
      </c>
      <c r="C2" t="s">
        <v>1979</v>
      </c>
      <c r="D2" t="s">
        <v>1007</v>
      </c>
      <c r="E2" t="s">
        <v>2089</v>
      </c>
      <c r="F2" t="s">
        <v>2090</v>
      </c>
      <c r="G2">
        <v>27.78</v>
      </c>
      <c r="H2">
        <v>0</v>
      </c>
      <c r="I2">
        <v>0</v>
      </c>
      <c r="J2">
        <v>0</v>
      </c>
      <c r="K2">
        <v>0</v>
      </c>
      <c r="L2">
        <v>37.9</v>
      </c>
      <c r="M2">
        <v>284.17</v>
      </c>
      <c r="N2">
        <v>0</v>
      </c>
      <c r="O2">
        <v>0</v>
      </c>
      <c r="P2" s="2">
        <f>(H2 + J2) - (L2 + N2)</f>
        <v>0</v>
      </c>
      <c r="Q2" s="2">
        <f>P2 * G2</f>
        <v>0</v>
      </c>
      <c r="R2">
        <v>0</v>
      </c>
      <c r="S2" s="2">
        <f>R2 * G2</f>
        <v>0</v>
      </c>
      <c r="T2" s="2">
        <f>(H2 + J2) - (L2 + N2) - R2</f>
        <v>0</v>
      </c>
      <c r="U2" s="2">
        <f>T2 * G2</f>
        <v>0</v>
      </c>
      <c r="V2" s="2">
        <f>I2 + K2 - S2</f>
        <v>0</v>
      </c>
      <c r="W2" s="2">
        <f>M2 - V2</f>
        <v>0</v>
      </c>
      <c r="X2" s="2">
        <f>IFERROR(W2 / M2 * 100, 0)</f>
        <v>0</v>
      </c>
    </row>
    <row r="3" spans="1:24">
      <c r="A3" t="s">
        <v>1870</v>
      </c>
      <c r="B3" t="s">
        <v>512</v>
      </c>
      <c r="C3" t="s">
        <v>1980</v>
      </c>
      <c r="D3" t="s">
        <v>1007</v>
      </c>
      <c r="E3" t="s">
        <v>2089</v>
      </c>
      <c r="F3" t="s">
        <v>2091</v>
      </c>
      <c r="G3">
        <v>19.91</v>
      </c>
      <c r="H3">
        <v>0</v>
      </c>
      <c r="I3">
        <v>0</v>
      </c>
      <c r="J3">
        <v>0</v>
      </c>
      <c r="K3">
        <v>0</v>
      </c>
      <c r="L3">
        <v>33.76</v>
      </c>
      <c r="M3">
        <v>253.19</v>
      </c>
      <c r="N3">
        <v>0</v>
      </c>
      <c r="O3">
        <v>0</v>
      </c>
      <c r="P3" s="2">
        <f>(H3 + J3) - (L3 + N3)</f>
        <v>0</v>
      </c>
      <c r="Q3" s="2">
        <f>P3 * G3</f>
        <v>0</v>
      </c>
      <c r="R3">
        <v>0</v>
      </c>
      <c r="S3" s="2">
        <f>R3 * G3</f>
        <v>0</v>
      </c>
      <c r="T3" s="2">
        <f>(H3 + J3) - (L3 + N3) - R3</f>
        <v>0</v>
      </c>
      <c r="U3" s="2">
        <f>T3 * G3</f>
        <v>0</v>
      </c>
      <c r="V3" s="2">
        <f>I3 + K3 - S3</f>
        <v>0</v>
      </c>
      <c r="W3" s="2">
        <f>M3 - V3</f>
        <v>0</v>
      </c>
      <c r="X3" s="2">
        <f>IFERROR(W3 / M3 * 100, 0)</f>
        <v>0</v>
      </c>
    </row>
    <row r="4" spans="1:24">
      <c r="A4" t="s">
        <v>1871</v>
      </c>
      <c r="B4" t="s">
        <v>512</v>
      </c>
      <c r="C4" t="s">
        <v>1981</v>
      </c>
      <c r="D4" t="s">
        <v>1007</v>
      </c>
      <c r="E4" t="s">
        <v>2089</v>
      </c>
      <c r="F4" t="s">
        <v>2092</v>
      </c>
      <c r="G4">
        <v>19.91</v>
      </c>
      <c r="H4">
        <v>0</v>
      </c>
      <c r="I4">
        <v>0</v>
      </c>
      <c r="J4">
        <v>0</v>
      </c>
      <c r="K4">
        <v>0</v>
      </c>
      <c r="L4">
        <v>19.02</v>
      </c>
      <c r="M4">
        <v>142.55</v>
      </c>
      <c r="N4">
        <v>0</v>
      </c>
      <c r="O4">
        <v>0</v>
      </c>
      <c r="P4" s="2">
        <f>(H4 + J4) - (L4 + N4)</f>
        <v>0</v>
      </c>
      <c r="Q4" s="2">
        <f>P4 * G4</f>
        <v>0</v>
      </c>
      <c r="R4">
        <v>0</v>
      </c>
      <c r="S4" s="2">
        <f>R4 * G4</f>
        <v>0</v>
      </c>
      <c r="T4" s="2">
        <f>(H4 + J4) - (L4 + N4) - R4</f>
        <v>0</v>
      </c>
      <c r="U4" s="2">
        <f>T4 * G4</f>
        <v>0</v>
      </c>
      <c r="V4" s="2">
        <f>I4 + K4 - S4</f>
        <v>0</v>
      </c>
      <c r="W4" s="2">
        <f>M4 - V4</f>
        <v>0</v>
      </c>
      <c r="X4" s="2">
        <f>IFERROR(W4 / M4 * 100, 0)</f>
        <v>0</v>
      </c>
    </row>
    <row r="5" spans="1:24">
      <c r="A5" t="s">
        <v>1872</v>
      </c>
      <c r="B5" t="s">
        <v>512</v>
      </c>
      <c r="C5" t="s">
        <v>1982</v>
      </c>
      <c r="D5" t="s">
        <v>1007</v>
      </c>
      <c r="E5" t="s">
        <v>2089</v>
      </c>
      <c r="F5" t="s">
        <v>2093</v>
      </c>
      <c r="G5">
        <v>21</v>
      </c>
      <c r="H5">
        <v>0</v>
      </c>
      <c r="I5">
        <v>0</v>
      </c>
      <c r="J5">
        <v>0</v>
      </c>
      <c r="K5">
        <v>0</v>
      </c>
      <c r="L5">
        <v>70.16</v>
      </c>
      <c r="M5">
        <v>596.3</v>
      </c>
      <c r="N5">
        <v>0</v>
      </c>
      <c r="O5">
        <v>0</v>
      </c>
      <c r="P5" s="2">
        <f>(H5 + J5) - (L5 + N5)</f>
        <v>0</v>
      </c>
      <c r="Q5" s="2">
        <f>P5 * G5</f>
        <v>0</v>
      </c>
      <c r="R5">
        <v>0</v>
      </c>
      <c r="S5" s="2">
        <f>R5 * G5</f>
        <v>0</v>
      </c>
      <c r="T5" s="2">
        <f>(H5 + J5) - (L5 + N5) - R5</f>
        <v>0</v>
      </c>
      <c r="U5" s="2">
        <f>T5 * G5</f>
        <v>0</v>
      </c>
      <c r="V5" s="2">
        <f>I5 + K5 - S5</f>
        <v>0</v>
      </c>
      <c r="W5" s="2">
        <f>M5 - V5</f>
        <v>0</v>
      </c>
      <c r="X5" s="2">
        <f>IFERROR(W5 / M5 * 100, 0)</f>
        <v>0</v>
      </c>
    </row>
    <row r="6" spans="1:24">
      <c r="A6" t="s">
        <v>1873</v>
      </c>
      <c r="B6" t="s">
        <v>512</v>
      </c>
      <c r="C6" t="s">
        <v>1983</v>
      </c>
      <c r="D6" t="s">
        <v>1007</v>
      </c>
      <c r="E6" t="s">
        <v>2089</v>
      </c>
      <c r="F6" t="s">
        <v>2094</v>
      </c>
      <c r="G6">
        <v>41.64</v>
      </c>
      <c r="H6">
        <v>0</v>
      </c>
      <c r="I6">
        <v>0</v>
      </c>
      <c r="J6">
        <v>0</v>
      </c>
      <c r="K6">
        <v>0</v>
      </c>
      <c r="L6">
        <v>1.05</v>
      </c>
      <c r="M6">
        <v>5.25</v>
      </c>
      <c r="N6">
        <v>0</v>
      </c>
      <c r="O6">
        <v>0</v>
      </c>
      <c r="P6" s="2">
        <f>(H6 + J6) - (L6 + N6)</f>
        <v>0</v>
      </c>
      <c r="Q6" s="2">
        <f>P6 * G6</f>
        <v>0</v>
      </c>
      <c r="R6">
        <v>0</v>
      </c>
      <c r="S6" s="2">
        <f>R6 * G6</f>
        <v>0</v>
      </c>
      <c r="T6" s="2">
        <f>(H6 + J6) - (L6 + N6) - R6</f>
        <v>0</v>
      </c>
      <c r="U6" s="2">
        <f>T6 * G6</f>
        <v>0</v>
      </c>
      <c r="V6" s="2">
        <f>I6 + K6 - S6</f>
        <v>0</v>
      </c>
      <c r="W6" s="2">
        <f>M6 - V6</f>
        <v>0</v>
      </c>
      <c r="X6" s="2">
        <f>IFERROR(W6 / M6 * 100, 0)</f>
        <v>0</v>
      </c>
    </row>
    <row r="7" spans="1:24">
      <c r="A7" t="s">
        <v>1874</v>
      </c>
      <c r="B7" t="s">
        <v>512</v>
      </c>
      <c r="C7" t="s">
        <v>1984</v>
      </c>
      <c r="D7" t="s">
        <v>1007</v>
      </c>
      <c r="E7" t="s">
        <v>2089</v>
      </c>
      <c r="F7" t="s">
        <v>2095</v>
      </c>
      <c r="G7">
        <v>41.64</v>
      </c>
      <c r="H7">
        <v>0</v>
      </c>
      <c r="I7">
        <v>0</v>
      </c>
      <c r="J7">
        <v>0</v>
      </c>
      <c r="K7">
        <v>0</v>
      </c>
      <c r="L7">
        <v>2.95</v>
      </c>
      <c r="M7">
        <v>14.73</v>
      </c>
      <c r="N7">
        <v>0</v>
      </c>
      <c r="O7">
        <v>0</v>
      </c>
      <c r="P7" s="2">
        <f>(H7 + J7) - (L7 + N7)</f>
        <v>0</v>
      </c>
      <c r="Q7" s="2">
        <f>P7 * G7</f>
        <v>0</v>
      </c>
      <c r="R7">
        <v>0</v>
      </c>
      <c r="S7" s="2">
        <f>R7 * G7</f>
        <v>0</v>
      </c>
      <c r="T7" s="2">
        <f>(H7 + J7) - (L7 + N7) - R7</f>
        <v>0</v>
      </c>
      <c r="U7" s="2">
        <f>T7 * G7</f>
        <v>0</v>
      </c>
      <c r="V7" s="2">
        <f>I7 + K7 - S7</f>
        <v>0</v>
      </c>
      <c r="W7" s="2">
        <f>M7 - V7</f>
        <v>0</v>
      </c>
      <c r="X7" s="2">
        <f>IFERROR(W7 / M7 * 100, 0)</f>
        <v>0</v>
      </c>
    </row>
    <row r="8" spans="1:24">
      <c r="A8" t="s">
        <v>1875</v>
      </c>
      <c r="B8" t="s">
        <v>512</v>
      </c>
      <c r="C8" t="s">
        <v>1985</v>
      </c>
      <c r="D8" t="s">
        <v>1008</v>
      </c>
      <c r="E8" t="s">
        <v>2089</v>
      </c>
      <c r="F8" t="s">
        <v>2096</v>
      </c>
      <c r="G8">
        <v>15.75</v>
      </c>
      <c r="H8">
        <v>6</v>
      </c>
      <c r="I8">
        <v>94.5</v>
      </c>
      <c r="J8">
        <v>51</v>
      </c>
      <c r="K8">
        <v>803.25</v>
      </c>
      <c r="L8">
        <v>54</v>
      </c>
      <c r="M8">
        <v>864</v>
      </c>
      <c r="N8">
        <v>0</v>
      </c>
      <c r="O8">
        <v>0</v>
      </c>
      <c r="P8" s="2">
        <f>(H8 + J8) - (L8 + N8)</f>
        <v>0</v>
      </c>
      <c r="Q8" s="2">
        <f>P8 * G8</f>
        <v>0</v>
      </c>
      <c r="R8">
        <v>3</v>
      </c>
      <c r="S8" s="2">
        <f>R8 * G8</f>
        <v>0</v>
      </c>
      <c r="T8" s="2">
        <f>(H8 + J8) - (L8 + N8) - R8</f>
        <v>0</v>
      </c>
      <c r="U8" s="2">
        <f>T8 * G8</f>
        <v>0</v>
      </c>
      <c r="V8" s="2">
        <f>I8 + K8 - S8</f>
        <v>0</v>
      </c>
      <c r="W8" s="2">
        <f>M8 - V8</f>
        <v>0</v>
      </c>
      <c r="X8" s="2">
        <f>IFERROR(W8 / M8 * 100, 0)</f>
        <v>0</v>
      </c>
    </row>
    <row r="9" spans="1:24">
      <c r="A9" t="s">
        <v>1876</v>
      </c>
      <c r="B9" t="s">
        <v>512</v>
      </c>
      <c r="C9" t="s">
        <v>1986</v>
      </c>
      <c r="D9" t="s">
        <v>1008</v>
      </c>
      <c r="E9" t="s">
        <v>2089</v>
      </c>
      <c r="F9" t="s">
        <v>2097</v>
      </c>
      <c r="G9">
        <v>17.25</v>
      </c>
      <c r="H9">
        <v>3</v>
      </c>
      <c r="I9">
        <v>51.75</v>
      </c>
      <c r="J9">
        <v>80</v>
      </c>
      <c r="K9">
        <v>1380</v>
      </c>
      <c r="L9">
        <v>82</v>
      </c>
      <c r="M9">
        <v>1435</v>
      </c>
      <c r="N9">
        <v>0</v>
      </c>
      <c r="O9">
        <v>0</v>
      </c>
      <c r="P9" s="2">
        <f>(H9 + J9) - (L9 + N9)</f>
        <v>0</v>
      </c>
      <c r="Q9" s="2">
        <f>P9 * G9</f>
        <v>0</v>
      </c>
      <c r="R9">
        <v>1</v>
      </c>
      <c r="S9" s="2">
        <f>R9 * G9</f>
        <v>0</v>
      </c>
      <c r="T9" s="2">
        <f>(H9 + J9) - (L9 + N9) - R9</f>
        <v>0</v>
      </c>
      <c r="U9" s="2">
        <f>T9 * G9</f>
        <v>0</v>
      </c>
      <c r="V9" s="2">
        <f>I9 + K9 - S9</f>
        <v>0</v>
      </c>
      <c r="W9" s="2">
        <f>M9 - V9</f>
        <v>0</v>
      </c>
      <c r="X9" s="2">
        <f>IFERROR(W9 / M9 * 100, 0)</f>
        <v>0</v>
      </c>
    </row>
    <row r="10" spans="1:24">
      <c r="A10" t="s">
        <v>1877</v>
      </c>
      <c r="B10" t="s">
        <v>512</v>
      </c>
      <c r="C10" t="s">
        <v>1987</v>
      </c>
      <c r="D10" t="s">
        <v>1008</v>
      </c>
      <c r="E10" t="s">
        <v>2089</v>
      </c>
      <c r="F10" t="s">
        <v>2098</v>
      </c>
      <c r="G10">
        <v>19.5</v>
      </c>
      <c r="H10">
        <v>2</v>
      </c>
      <c r="I10">
        <v>39</v>
      </c>
      <c r="J10">
        <v>51</v>
      </c>
      <c r="K10">
        <v>994.5</v>
      </c>
      <c r="L10">
        <v>52</v>
      </c>
      <c r="M10">
        <v>1027</v>
      </c>
      <c r="N10">
        <v>0</v>
      </c>
      <c r="O10">
        <v>0</v>
      </c>
      <c r="P10" s="2">
        <f>(H10 + J10) - (L10 + N10)</f>
        <v>0</v>
      </c>
      <c r="Q10" s="2">
        <f>P10 * G10</f>
        <v>0</v>
      </c>
      <c r="R10">
        <v>0</v>
      </c>
      <c r="S10" s="2">
        <f>R10 * G10</f>
        <v>0</v>
      </c>
      <c r="T10" s="2">
        <f>(H10 + J10) - (L10 + N10) - R10</f>
        <v>0</v>
      </c>
      <c r="U10" s="2">
        <f>T10 * G10</f>
        <v>0</v>
      </c>
      <c r="V10" s="2">
        <f>I10 + K10 - S10</f>
        <v>0</v>
      </c>
      <c r="W10" s="2">
        <f>M10 - V10</f>
        <v>0</v>
      </c>
      <c r="X10" s="2">
        <f>IFERROR(W10 / M10 * 100, 0)</f>
        <v>0</v>
      </c>
    </row>
    <row r="11" spans="1:24">
      <c r="A11" t="s">
        <v>1878</v>
      </c>
      <c r="B11" t="s">
        <v>512</v>
      </c>
      <c r="C11" t="s">
        <v>1988</v>
      </c>
      <c r="D11" t="s">
        <v>1008</v>
      </c>
      <c r="E11" t="s">
        <v>2089</v>
      </c>
      <c r="F11" t="s">
        <v>2099</v>
      </c>
      <c r="G11">
        <v>21.25</v>
      </c>
      <c r="H11">
        <v>1</v>
      </c>
      <c r="I11">
        <v>21.25</v>
      </c>
      <c r="J11">
        <v>47</v>
      </c>
      <c r="K11">
        <v>998.75</v>
      </c>
      <c r="L11">
        <v>48</v>
      </c>
      <c r="M11">
        <v>1032</v>
      </c>
      <c r="N11">
        <v>0</v>
      </c>
      <c r="O11">
        <v>0</v>
      </c>
      <c r="P11" s="2">
        <f>(H11 + J11) - (L11 + N11)</f>
        <v>0</v>
      </c>
      <c r="Q11" s="2">
        <f>P11 * G11</f>
        <v>0</v>
      </c>
      <c r="R11">
        <v>0</v>
      </c>
      <c r="S11" s="2">
        <f>R11 * G11</f>
        <v>0</v>
      </c>
      <c r="T11" s="2">
        <f>(H11 + J11) - (L11 + N11) - R11</f>
        <v>0</v>
      </c>
      <c r="U11" s="2">
        <f>T11 * G11</f>
        <v>0</v>
      </c>
      <c r="V11" s="2">
        <f>I11 + K11 - S11</f>
        <v>0</v>
      </c>
      <c r="W11" s="2">
        <f>M11 - V11</f>
        <v>0</v>
      </c>
      <c r="X11" s="2">
        <f>IFERROR(W11 / M11 * 100, 0)</f>
        <v>0</v>
      </c>
    </row>
    <row r="12" spans="1:24">
      <c r="A12" t="s">
        <v>1879</v>
      </c>
      <c r="B12" t="s">
        <v>512</v>
      </c>
      <c r="C12" t="s">
        <v>1989</v>
      </c>
      <c r="D12" t="s">
        <v>1008</v>
      </c>
      <c r="E12" t="s">
        <v>2089</v>
      </c>
      <c r="F12" t="s">
        <v>2100</v>
      </c>
      <c r="G12">
        <v>22</v>
      </c>
      <c r="H12">
        <v>0</v>
      </c>
      <c r="I12">
        <v>0</v>
      </c>
      <c r="J12">
        <v>14</v>
      </c>
      <c r="K12">
        <v>308</v>
      </c>
      <c r="L12">
        <v>13</v>
      </c>
      <c r="M12">
        <v>289.25</v>
      </c>
      <c r="N12">
        <v>0</v>
      </c>
      <c r="O12">
        <v>0</v>
      </c>
      <c r="P12" s="2">
        <f>(H12 + J12) - (L12 + N12)</f>
        <v>0</v>
      </c>
      <c r="Q12" s="2">
        <f>P12 * G12</f>
        <v>0</v>
      </c>
      <c r="R12">
        <v>0</v>
      </c>
      <c r="S12" s="2">
        <f>R12 * G12</f>
        <v>0</v>
      </c>
      <c r="T12" s="2">
        <f>(H12 + J12) - (L12 + N12) - R12</f>
        <v>0</v>
      </c>
      <c r="U12" s="2">
        <f>T12 * G12</f>
        <v>0</v>
      </c>
      <c r="V12" s="2">
        <f>I12 + K12 - S12</f>
        <v>0</v>
      </c>
      <c r="W12" s="2">
        <f>M12 - V12</f>
        <v>0</v>
      </c>
      <c r="X12" s="2">
        <f>IFERROR(W12 / M12 * 100, 0)</f>
        <v>0</v>
      </c>
    </row>
    <row r="13" spans="1:24">
      <c r="A13" t="s">
        <v>1880</v>
      </c>
      <c r="B13" t="s">
        <v>512</v>
      </c>
      <c r="C13" t="s">
        <v>1990</v>
      </c>
      <c r="D13" t="s">
        <v>1008</v>
      </c>
      <c r="E13" t="s">
        <v>2089</v>
      </c>
      <c r="F13" t="s">
        <v>2101</v>
      </c>
      <c r="G13">
        <v>7.25</v>
      </c>
      <c r="H13">
        <v>0</v>
      </c>
      <c r="I13">
        <v>0</v>
      </c>
      <c r="J13">
        <v>205</v>
      </c>
      <c r="K13">
        <v>1486.25</v>
      </c>
      <c r="L13">
        <v>199</v>
      </c>
      <c r="M13">
        <v>1492.5</v>
      </c>
      <c r="N13">
        <v>0</v>
      </c>
      <c r="O13">
        <v>0</v>
      </c>
      <c r="P13" s="2">
        <f>(H13 + J13) - (L13 + N13)</f>
        <v>0</v>
      </c>
      <c r="Q13" s="2">
        <f>P13 * G13</f>
        <v>0</v>
      </c>
      <c r="R13">
        <v>6</v>
      </c>
      <c r="S13" s="2">
        <f>R13 * G13</f>
        <v>0</v>
      </c>
      <c r="T13" s="2">
        <f>(H13 + J13) - (L13 + N13) - R13</f>
        <v>0</v>
      </c>
      <c r="U13" s="2">
        <f>T13 * G13</f>
        <v>0</v>
      </c>
      <c r="V13" s="2">
        <f>I13 + K13 - S13</f>
        <v>0</v>
      </c>
      <c r="W13" s="2">
        <f>M13 - V13</f>
        <v>0</v>
      </c>
      <c r="X13" s="2">
        <f>IFERROR(W13 / M13 * 100, 0)</f>
        <v>0</v>
      </c>
    </row>
    <row r="14" spans="1:24">
      <c r="A14" t="s">
        <v>1881</v>
      </c>
      <c r="B14" t="s">
        <v>512</v>
      </c>
      <c r="C14" t="s">
        <v>1991</v>
      </c>
      <c r="D14" t="s">
        <v>1008</v>
      </c>
      <c r="E14" t="s">
        <v>2089</v>
      </c>
      <c r="F14" t="s">
        <v>2102</v>
      </c>
      <c r="G14">
        <v>8</v>
      </c>
      <c r="H14">
        <v>8</v>
      </c>
      <c r="I14">
        <v>64</v>
      </c>
      <c r="J14">
        <v>150</v>
      </c>
      <c r="K14">
        <v>1200</v>
      </c>
      <c r="L14">
        <v>155</v>
      </c>
      <c r="M14">
        <v>1278.75</v>
      </c>
      <c r="N14">
        <v>0</v>
      </c>
      <c r="O14">
        <v>0</v>
      </c>
      <c r="P14" s="2">
        <f>(H14 + J14) - (L14 + N14)</f>
        <v>0</v>
      </c>
      <c r="Q14" s="2">
        <f>P14 * G14</f>
        <v>0</v>
      </c>
      <c r="R14">
        <v>3</v>
      </c>
      <c r="S14" s="2">
        <f>R14 * G14</f>
        <v>0</v>
      </c>
      <c r="T14" s="2">
        <f>(H14 + J14) - (L14 + N14) - R14</f>
        <v>0</v>
      </c>
      <c r="U14" s="2">
        <f>T14 * G14</f>
        <v>0</v>
      </c>
      <c r="V14" s="2">
        <f>I14 + K14 - S14</f>
        <v>0</v>
      </c>
      <c r="W14" s="2">
        <f>M14 - V14</f>
        <v>0</v>
      </c>
      <c r="X14" s="2">
        <f>IFERROR(W14 / M14 * 100, 0)</f>
        <v>0</v>
      </c>
    </row>
    <row r="15" spans="1:24">
      <c r="A15" t="s">
        <v>1882</v>
      </c>
      <c r="B15" t="s">
        <v>512</v>
      </c>
      <c r="C15" t="s">
        <v>1992</v>
      </c>
      <c r="D15" t="s">
        <v>1008</v>
      </c>
      <c r="E15" t="s">
        <v>2089</v>
      </c>
      <c r="F15" t="s">
        <v>2103</v>
      </c>
      <c r="G15">
        <v>3.5</v>
      </c>
      <c r="H15">
        <v>0</v>
      </c>
      <c r="I15">
        <v>0</v>
      </c>
      <c r="J15">
        <v>97</v>
      </c>
      <c r="K15">
        <v>339.5</v>
      </c>
      <c r="L15">
        <v>97</v>
      </c>
      <c r="M15">
        <v>363.75</v>
      </c>
      <c r="N15">
        <v>0</v>
      </c>
      <c r="O15">
        <v>0</v>
      </c>
      <c r="P15" s="2">
        <f>(H15 + J15) - (L15 + N15)</f>
        <v>0</v>
      </c>
      <c r="Q15" s="2">
        <f>P15 * G15</f>
        <v>0</v>
      </c>
      <c r="R15">
        <v>0</v>
      </c>
      <c r="S15" s="2">
        <f>R15 * G15</f>
        <v>0</v>
      </c>
      <c r="T15" s="2">
        <f>(H15 + J15) - (L15 + N15) - R15</f>
        <v>0</v>
      </c>
      <c r="U15" s="2">
        <f>T15 * G15</f>
        <v>0</v>
      </c>
      <c r="V15" s="2">
        <f>I15 + K15 - S15</f>
        <v>0</v>
      </c>
      <c r="W15" s="2">
        <f>M15 - V15</f>
        <v>0</v>
      </c>
      <c r="X15" s="2">
        <f>IFERROR(W15 / M15 * 100, 0)</f>
        <v>0</v>
      </c>
    </row>
    <row r="16" spans="1:24">
      <c r="A16" t="s">
        <v>1883</v>
      </c>
      <c r="B16" t="s">
        <v>512</v>
      </c>
      <c r="C16" t="s">
        <v>1993</v>
      </c>
      <c r="D16" t="s">
        <v>1007</v>
      </c>
      <c r="E16" t="s">
        <v>2089</v>
      </c>
      <c r="F16" t="s">
        <v>2104</v>
      </c>
      <c r="G16">
        <v>80</v>
      </c>
      <c r="H16">
        <v>0</v>
      </c>
      <c r="I16">
        <v>0</v>
      </c>
      <c r="J16">
        <v>26.59</v>
      </c>
      <c r="K16">
        <v>2127.2</v>
      </c>
      <c r="L16">
        <v>25.68</v>
      </c>
      <c r="M16">
        <v>2362.28</v>
      </c>
      <c r="N16">
        <v>0</v>
      </c>
      <c r="O16">
        <v>0</v>
      </c>
      <c r="P16" s="2">
        <f>(H16 + J16) - (L16 + N16)</f>
        <v>0</v>
      </c>
      <c r="Q16" s="2">
        <f>P16 * G16</f>
        <v>0</v>
      </c>
      <c r="R16">
        <v>1</v>
      </c>
      <c r="S16" s="2">
        <f>R16 * G16</f>
        <v>0</v>
      </c>
      <c r="T16" s="2">
        <f>(H16 + J16) - (L16 + N16) - R16</f>
        <v>0</v>
      </c>
      <c r="U16" s="2">
        <f>T16 * G16</f>
        <v>0</v>
      </c>
      <c r="V16" s="2">
        <f>I16 + K16 - S16</f>
        <v>0</v>
      </c>
      <c r="W16" s="2">
        <f>M16 - V16</f>
        <v>0</v>
      </c>
      <c r="X16" s="2">
        <f>IFERROR(W16 / M16 * 100, 0)</f>
        <v>0</v>
      </c>
    </row>
    <row r="17" spans="1:24">
      <c r="A17" t="s">
        <v>1884</v>
      </c>
      <c r="B17" t="s">
        <v>512</v>
      </c>
      <c r="C17" t="s">
        <v>1994</v>
      </c>
      <c r="D17" t="s">
        <v>1007</v>
      </c>
      <c r="E17" t="s">
        <v>2089</v>
      </c>
      <c r="F17" t="s">
        <v>2105</v>
      </c>
      <c r="G17">
        <v>27.78</v>
      </c>
      <c r="H17">
        <v>0</v>
      </c>
      <c r="I17">
        <v>0</v>
      </c>
      <c r="J17">
        <v>0</v>
      </c>
      <c r="K17">
        <v>0</v>
      </c>
      <c r="L17">
        <v>334.3</v>
      </c>
      <c r="M17">
        <v>12991.63</v>
      </c>
      <c r="N17">
        <v>0</v>
      </c>
      <c r="O17">
        <v>0</v>
      </c>
      <c r="P17" s="2">
        <f>(H17 + J17) - (L17 + N17)</f>
        <v>0</v>
      </c>
      <c r="Q17" s="2">
        <f>P17 * G17</f>
        <v>0</v>
      </c>
      <c r="R17">
        <v>0</v>
      </c>
      <c r="S17" s="2">
        <f>R17 * G17</f>
        <v>0</v>
      </c>
      <c r="T17" s="2">
        <f>(H17 + J17) - (L17 + N17) - R17</f>
        <v>0</v>
      </c>
      <c r="U17" s="2">
        <f>T17 * G17</f>
        <v>0</v>
      </c>
      <c r="V17" s="2">
        <f>I17 + K17 - S17</f>
        <v>0</v>
      </c>
      <c r="W17" s="2">
        <f>M17 - V17</f>
        <v>0</v>
      </c>
      <c r="X17" s="2">
        <f>IFERROR(W17 / M17 * 100, 0)</f>
        <v>0</v>
      </c>
    </row>
    <row r="18" spans="1:24">
      <c r="A18" t="s">
        <v>1885</v>
      </c>
      <c r="B18" t="s">
        <v>512</v>
      </c>
      <c r="C18" t="s">
        <v>1995</v>
      </c>
      <c r="D18" t="s">
        <v>1008</v>
      </c>
      <c r="E18" t="s">
        <v>2089</v>
      </c>
      <c r="F18" t="s">
        <v>2106</v>
      </c>
      <c r="G18">
        <v>12</v>
      </c>
      <c r="H18">
        <v>5</v>
      </c>
      <c r="I18">
        <v>60</v>
      </c>
      <c r="J18">
        <v>189</v>
      </c>
      <c r="K18">
        <v>2268</v>
      </c>
      <c r="L18">
        <v>189</v>
      </c>
      <c r="M18">
        <v>2315.25</v>
      </c>
      <c r="N18">
        <v>0</v>
      </c>
      <c r="O18">
        <v>0</v>
      </c>
      <c r="P18" s="2">
        <f>(H18 + J18) - (L18 + N18)</f>
        <v>0</v>
      </c>
      <c r="Q18" s="2">
        <f>P18 * G18</f>
        <v>0</v>
      </c>
      <c r="R18">
        <v>5</v>
      </c>
      <c r="S18" s="2">
        <f>R18 * G18</f>
        <v>0</v>
      </c>
      <c r="T18" s="2">
        <f>(H18 + J18) - (L18 + N18) - R18</f>
        <v>0</v>
      </c>
      <c r="U18" s="2">
        <f>T18 * G18</f>
        <v>0</v>
      </c>
      <c r="V18" s="2">
        <f>I18 + K18 - S18</f>
        <v>0</v>
      </c>
      <c r="W18" s="2">
        <f>M18 - V18</f>
        <v>0</v>
      </c>
      <c r="X18" s="2">
        <f>IFERROR(W18 / M18 * 100, 0)</f>
        <v>0</v>
      </c>
    </row>
    <row r="19" spans="1:24">
      <c r="A19" t="s">
        <v>1886</v>
      </c>
      <c r="B19" t="s">
        <v>512</v>
      </c>
      <c r="C19" t="s">
        <v>1996</v>
      </c>
      <c r="D19" t="s">
        <v>1008</v>
      </c>
      <c r="E19" t="s">
        <v>2089</v>
      </c>
      <c r="F19" t="s">
        <v>2107</v>
      </c>
      <c r="G19">
        <v>9.5</v>
      </c>
      <c r="H19">
        <v>8</v>
      </c>
      <c r="I19">
        <v>76</v>
      </c>
      <c r="J19">
        <v>122</v>
      </c>
      <c r="K19">
        <v>1159</v>
      </c>
      <c r="L19">
        <v>130</v>
      </c>
      <c r="M19">
        <v>1267.5</v>
      </c>
      <c r="N19">
        <v>0</v>
      </c>
      <c r="O19">
        <v>0</v>
      </c>
      <c r="P19" s="2">
        <f>(H19 + J19) - (L19 + N19)</f>
        <v>0</v>
      </c>
      <c r="Q19" s="2">
        <f>P19 * G19</f>
        <v>0</v>
      </c>
      <c r="R19">
        <v>0</v>
      </c>
      <c r="S19" s="2">
        <f>R19 * G19</f>
        <v>0</v>
      </c>
      <c r="T19" s="2">
        <f>(H19 + J19) - (L19 + N19) - R19</f>
        <v>0</v>
      </c>
      <c r="U19" s="2">
        <f>T19 * G19</f>
        <v>0</v>
      </c>
      <c r="V19" s="2">
        <f>I19 + K19 - S19</f>
        <v>0</v>
      </c>
      <c r="W19" s="2">
        <f>M19 - V19</f>
        <v>0</v>
      </c>
      <c r="X19" s="2">
        <f>IFERROR(W19 / M19 * 100, 0)</f>
        <v>0</v>
      </c>
    </row>
    <row r="20" spans="1:24">
      <c r="A20" t="s">
        <v>1887</v>
      </c>
      <c r="B20" t="s">
        <v>512</v>
      </c>
      <c r="C20" t="s">
        <v>1997</v>
      </c>
      <c r="D20" t="s">
        <v>1007</v>
      </c>
      <c r="E20" t="s">
        <v>2089</v>
      </c>
      <c r="F20" t="s">
        <v>2108</v>
      </c>
      <c r="G20">
        <v>25</v>
      </c>
      <c r="H20">
        <v>0</v>
      </c>
      <c r="I20">
        <v>0</v>
      </c>
      <c r="J20">
        <v>0</v>
      </c>
      <c r="K20">
        <v>0</v>
      </c>
      <c r="L20">
        <v>0.9399999999999999</v>
      </c>
      <c r="M20">
        <v>18.76</v>
      </c>
      <c r="N20">
        <v>0</v>
      </c>
      <c r="O20">
        <v>0</v>
      </c>
      <c r="P20" s="2">
        <f>(H20 + J20) - (L20 + N20)</f>
        <v>0</v>
      </c>
      <c r="Q20" s="2">
        <f>P20 * G20</f>
        <v>0</v>
      </c>
      <c r="R20">
        <v>0</v>
      </c>
      <c r="S20" s="2">
        <f>R20 * G20</f>
        <v>0</v>
      </c>
      <c r="T20" s="2">
        <f>(H20 + J20) - (L20 + N20) - R20</f>
        <v>0</v>
      </c>
      <c r="U20" s="2">
        <f>T20 * G20</f>
        <v>0</v>
      </c>
      <c r="V20" s="2">
        <f>I20 + K20 - S20</f>
        <v>0</v>
      </c>
      <c r="W20" s="2">
        <f>M20 - V20</f>
        <v>0</v>
      </c>
      <c r="X20" s="2">
        <f>IFERROR(W20 / M20 * 100, 0)</f>
        <v>0</v>
      </c>
    </row>
    <row r="21" spans="1:24">
      <c r="A21" t="s">
        <v>1888</v>
      </c>
      <c r="B21" t="s">
        <v>512</v>
      </c>
      <c r="C21" t="s">
        <v>1998</v>
      </c>
      <c r="D21" t="s">
        <v>1007</v>
      </c>
      <c r="E21" t="s">
        <v>2089</v>
      </c>
      <c r="F21" t="s">
        <v>2109</v>
      </c>
      <c r="G21">
        <v>24.38</v>
      </c>
      <c r="H21">
        <v>0</v>
      </c>
      <c r="I21">
        <v>0</v>
      </c>
      <c r="J21">
        <v>95.5</v>
      </c>
      <c r="K21">
        <v>2328.25</v>
      </c>
      <c r="L21">
        <v>98.13</v>
      </c>
      <c r="M21">
        <v>3017.34</v>
      </c>
      <c r="N21">
        <v>0</v>
      </c>
      <c r="O21">
        <v>0</v>
      </c>
      <c r="P21" s="2">
        <f>(H21 + J21) - (L21 + N21)</f>
        <v>0</v>
      </c>
      <c r="Q21" s="2">
        <f>P21 * G21</f>
        <v>0</v>
      </c>
      <c r="R21">
        <v>0</v>
      </c>
      <c r="S21" s="2">
        <f>R21 * G21</f>
        <v>0</v>
      </c>
      <c r="T21" s="2">
        <f>(H21 + J21) - (L21 + N21) - R21</f>
        <v>0</v>
      </c>
      <c r="U21" s="2">
        <f>T21 * G21</f>
        <v>0</v>
      </c>
      <c r="V21" s="2">
        <f>I21 + K21 - S21</f>
        <v>0</v>
      </c>
      <c r="W21" s="2">
        <f>M21 - V21</f>
        <v>0</v>
      </c>
      <c r="X21" s="2">
        <f>IFERROR(W21 / M21 * 100, 0)</f>
        <v>0</v>
      </c>
    </row>
    <row r="22" spans="1:24">
      <c r="A22" t="s">
        <v>1889</v>
      </c>
      <c r="B22" t="s">
        <v>512</v>
      </c>
      <c r="C22" t="s">
        <v>1999</v>
      </c>
      <c r="D22" t="s">
        <v>1008</v>
      </c>
      <c r="E22" t="s">
        <v>2089</v>
      </c>
      <c r="F22" t="s">
        <v>2110</v>
      </c>
      <c r="G22">
        <v>19.6</v>
      </c>
      <c r="H22">
        <v>0</v>
      </c>
      <c r="I22">
        <v>0</v>
      </c>
      <c r="J22">
        <v>11</v>
      </c>
      <c r="K22">
        <v>215.6</v>
      </c>
      <c r="L22">
        <v>11</v>
      </c>
      <c r="M22">
        <v>222.75</v>
      </c>
      <c r="N22">
        <v>0</v>
      </c>
      <c r="O22">
        <v>0</v>
      </c>
      <c r="P22" s="2">
        <f>(H22 + J22) - (L22 + N22)</f>
        <v>0</v>
      </c>
      <c r="Q22" s="2">
        <f>P22 * G22</f>
        <v>0</v>
      </c>
      <c r="R22">
        <v>0</v>
      </c>
      <c r="S22" s="2">
        <f>R22 * G22</f>
        <v>0</v>
      </c>
      <c r="T22" s="2">
        <f>(H22 + J22) - (L22 + N22) - R22</f>
        <v>0</v>
      </c>
      <c r="U22" s="2">
        <f>T22 * G22</f>
        <v>0</v>
      </c>
      <c r="V22" s="2">
        <f>I22 + K22 - S22</f>
        <v>0</v>
      </c>
      <c r="W22" s="2">
        <f>M22 - V22</f>
        <v>0</v>
      </c>
      <c r="X22" s="2">
        <f>IFERROR(W22 / M22 * 100, 0)</f>
        <v>0</v>
      </c>
    </row>
    <row r="23" spans="1:24">
      <c r="A23" t="s">
        <v>1890</v>
      </c>
      <c r="B23" t="s">
        <v>512</v>
      </c>
      <c r="C23" t="s">
        <v>2000</v>
      </c>
      <c r="D23" t="s">
        <v>1008</v>
      </c>
      <c r="E23" t="s">
        <v>2089</v>
      </c>
      <c r="F23" t="s">
        <v>2111</v>
      </c>
      <c r="G23">
        <v>15.68</v>
      </c>
      <c r="H23">
        <v>0</v>
      </c>
      <c r="I23">
        <v>0</v>
      </c>
      <c r="J23">
        <v>32</v>
      </c>
      <c r="K23">
        <v>501.69</v>
      </c>
      <c r="L23">
        <v>32</v>
      </c>
      <c r="M23">
        <v>520</v>
      </c>
      <c r="N23">
        <v>0</v>
      </c>
      <c r="O23">
        <v>0</v>
      </c>
      <c r="P23" s="2">
        <f>(H23 + J23) - (L23 + N23)</f>
        <v>0</v>
      </c>
      <c r="Q23" s="2">
        <f>P23 * G23</f>
        <v>0</v>
      </c>
      <c r="R23">
        <v>0</v>
      </c>
      <c r="S23" s="2">
        <f>R23 * G23</f>
        <v>0</v>
      </c>
      <c r="T23" s="2">
        <f>(H23 + J23) - (L23 + N23) - R23</f>
        <v>0</v>
      </c>
      <c r="U23" s="2">
        <f>T23 * G23</f>
        <v>0</v>
      </c>
      <c r="V23" s="2">
        <f>I23 + K23 - S23</f>
        <v>0</v>
      </c>
      <c r="W23" s="2">
        <f>M23 - V23</f>
        <v>0</v>
      </c>
      <c r="X23" s="2">
        <f>IFERROR(W23 / M23 * 100, 0)</f>
        <v>0</v>
      </c>
    </row>
    <row r="24" spans="1:24">
      <c r="A24" t="s">
        <v>1891</v>
      </c>
      <c r="B24" t="s">
        <v>512</v>
      </c>
      <c r="C24" t="s">
        <v>2001</v>
      </c>
      <c r="D24" t="s">
        <v>1008</v>
      </c>
      <c r="E24" t="s">
        <v>2089</v>
      </c>
      <c r="F24" t="s">
        <v>2112</v>
      </c>
      <c r="G24">
        <v>14.25</v>
      </c>
      <c r="H24">
        <v>9</v>
      </c>
      <c r="I24">
        <v>128.25</v>
      </c>
      <c r="J24">
        <v>128</v>
      </c>
      <c r="K24">
        <v>1824</v>
      </c>
      <c r="L24">
        <v>137</v>
      </c>
      <c r="M24">
        <v>1986.5</v>
      </c>
      <c r="N24">
        <v>0</v>
      </c>
      <c r="O24">
        <v>0</v>
      </c>
      <c r="P24" s="2">
        <f>(H24 + J24) - (L24 + N24)</f>
        <v>0</v>
      </c>
      <c r="Q24" s="2">
        <f>P24 * G24</f>
        <v>0</v>
      </c>
      <c r="R24">
        <v>0</v>
      </c>
      <c r="S24" s="2">
        <f>R24 * G24</f>
        <v>0</v>
      </c>
      <c r="T24" s="2">
        <f>(H24 + J24) - (L24 + N24) - R24</f>
        <v>0</v>
      </c>
      <c r="U24" s="2">
        <f>T24 * G24</f>
        <v>0</v>
      </c>
      <c r="V24" s="2">
        <f>I24 + K24 - S24</f>
        <v>0</v>
      </c>
      <c r="W24" s="2">
        <f>M24 - V24</f>
        <v>0</v>
      </c>
      <c r="X24" s="2">
        <f>IFERROR(W24 / M24 * 100, 0)</f>
        <v>0</v>
      </c>
    </row>
    <row r="25" spans="1:24">
      <c r="A25" t="s">
        <v>1892</v>
      </c>
      <c r="B25" t="s">
        <v>512</v>
      </c>
      <c r="C25" t="s">
        <v>2002</v>
      </c>
      <c r="D25" t="s">
        <v>1007</v>
      </c>
      <c r="E25" t="s">
        <v>2089</v>
      </c>
      <c r="F25" t="s">
        <v>2113</v>
      </c>
      <c r="G25">
        <v>22</v>
      </c>
      <c r="H25">
        <v>113.5</v>
      </c>
      <c r="I25">
        <v>2501.5</v>
      </c>
      <c r="J25">
        <v>1265.49</v>
      </c>
      <c r="K25">
        <v>27840.78</v>
      </c>
      <c r="L25">
        <v>1149.58</v>
      </c>
      <c r="M25">
        <v>28106.88</v>
      </c>
      <c r="N25">
        <v>0</v>
      </c>
      <c r="O25">
        <v>0</v>
      </c>
      <c r="P25" s="2">
        <f>(H25 + J25) - (L25 + N25)</f>
        <v>0</v>
      </c>
      <c r="Q25" s="2">
        <f>P25 * G25</f>
        <v>0</v>
      </c>
      <c r="R25">
        <v>220.47</v>
      </c>
      <c r="S25" s="2">
        <f>R25 * G25</f>
        <v>0</v>
      </c>
      <c r="T25" s="2">
        <f>(H25 + J25) - (L25 + N25) - R25</f>
        <v>0</v>
      </c>
      <c r="U25" s="2">
        <f>T25 * G25</f>
        <v>0</v>
      </c>
      <c r="V25" s="2">
        <f>I25 + K25 - S25</f>
        <v>0</v>
      </c>
      <c r="W25" s="2">
        <f>M25 - V25</f>
        <v>0</v>
      </c>
      <c r="X25" s="2">
        <f>IFERROR(W25 / M25 * 100, 0)</f>
        <v>0</v>
      </c>
    </row>
    <row r="26" spans="1:24">
      <c r="A26" t="s">
        <v>1893</v>
      </c>
      <c r="B26" t="s">
        <v>512</v>
      </c>
      <c r="C26" t="s">
        <v>2003</v>
      </c>
      <c r="D26" t="s">
        <v>1008</v>
      </c>
      <c r="E26" t="s">
        <v>2089</v>
      </c>
      <c r="F26" t="s">
        <v>2114</v>
      </c>
      <c r="G26">
        <v>15.5</v>
      </c>
      <c r="H26">
        <v>4</v>
      </c>
      <c r="I26">
        <v>62</v>
      </c>
      <c r="J26">
        <v>203</v>
      </c>
      <c r="K26">
        <v>3146.5</v>
      </c>
      <c r="L26">
        <v>207</v>
      </c>
      <c r="M26">
        <v>3260.25</v>
      </c>
      <c r="N26">
        <v>0</v>
      </c>
      <c r="O26">
        <v>0</v>
      </c>
      <c r="P26" s="2">
        <f>(H26 + J26) - (L26 + N26)</f>
        <v>0</v>
      </c>
      <c r="Q26" s="2">
        <f>P26 * G26</f>
        <v>0</v>
      </c>
      <c r="R26">
        <v>0</v>
      </c>
      <c r="S26" s="2">
        <f>R26 * G26</f>
        <v>0</v>
      </c>
      <c r="T26" s="2">
        <f>(H26 + J26) - (L26 + N26) - R26</f>
        <v>0</v>
      </c>
      <c r="U26" s="2">
        <f>T26 * G26</f>
        <v>0</v>
      </c>
      <c r="V26" s="2">
        <f>I26 + K26 - S26</f>
        <v>0</v>
      </c>
      <c r="W26" s="2">
        <f>M26 - V26</f>
        <v>0</v>
      </c>
      <c r="X26" s="2">
        <f>IFERROR(W26 / M26 * 100, 0)</f>
        <v>0</v>
      </c>
    </row>
    <row r="27" spans="1:24">
      <c r="A27" t="s">
        <v>1894</v>
      </c>
      <c r="B27" t="s">
        <v>512</v>
      </c>
      <c r="C27" t="s">
        <v>2004</v>
      </c>
      <c r="D27" t="s">
        <v>1007</v>
      </c>
      <c r="E27" t="s">
        <v>2089</v>
      </c>
      <c r="F27" t="s">
        <v>2115</v>
      </c>
      <c r="G27">
        <v>11</v>
      </c>
      <c r="H27">
        <v>0</v>
      </c>
      <c r="I27">
        <v>0</v>
      </c>
      <c r="J27">
        <v>0</v>
      </c>
      <c r="K27">
        <v>0</v>
      </c>
      <c r="L27">
        <v>36.9</v>
      </c>
      <c r="M27">
        <v>774.87</v>
      </c>
      <c r="N27">
        <v>0</v>
      </c>
      <c r="O27">
        <v>0</v>
      </c>
      <c r="P27" s="2">
        <f>(H27 + J27) - (L27 + N27)</f>
        <v>0</v>
      </c>
      <c r="Q27" s="2">
        <f>P27 * G27</f>
        <v>0</v>
      </c>
      <c r="R27">
        <v>0</v>
      </c>
      <c r="S27" s="2">
        <f>R27 * G27</f>
        <v>0</v>
      </c>
      <c r="T27" s="2">
        <f>(H27 + J27) - (L27 + N27) - R27</f>
        <v>0</v>
      </c>
      <c r="U27" s="2">
        <f>T27 * G27</f>
        <v>0</v>
      </c>
      <c r="V27" s="2">
        <f>I27 + K27 - S27</f>
        <v>0</v>
      </c>
      <c r="W27" s="2">
        <f>M27 - V27</f>
        <v>0</v>
      </c>
      <c r="X27" s="2">
        <f>IFERROR(W27 / M27 * 100, 0)</f>
        <v>0</v>
      </c>
    </row>
    <row r="28" spans="1:24">
      <c r="A28" t="s">
        <v>1895</v>
      </c>
      <c r="B28" t="s">
        <v>512</v>
      </c>
      <c r="C28" t="s">
        <v>2005</v>
      </c>
      <c r="D28" t="s">
        <v>1008</v>
      </c>
      <c r="E28" t="s">
        <v>2089</v>
      </c>
      <c r="F28" t="s">
        <v>2116</v>
      </c>
      <c r="G28">
        <v>5</v>
      </c>
      <c r="H28">
        <v>0</v>
      </c>
      <c r="I28">
        <v>0</v>
      </c>
      <c r="J28">
        <v>95</v>
      </c>
      <c r="K28">
        <v>475</v>
      </c>
      <c r="L28">
        <v>94</v>
      </c>
      <c r="M28">
        <v>493.5</v>
      </c>
      <c r="N28">
        <v>0</v>
      </c>
      <c r="O28">
        <v>0</v>
      </c>
      <c r="P28" s="2">
        <f>(H28 + J28) - (L28 + N28)</f>
        <v>0</v>
      </c>
      <c r="Q28" s="2">
        <f>P28 * G28</f>
        <v>0</v>
      </c>
      <c r="R28">
        <v>0</v>
      </c>
      <c r="S28" s="2">
        <f>R28 * G28</f>
        <v>0</v>
      </c>
      <c r="T28" s="2">
        <f>(H28 + J28) - (L28 + N28) - R28</f>
        <v>0</v>
      </c>
      <c r="U28" s="2">
        <f>T28 * G28</f>
        <v>0</v>
      </c>
      <c r="V28" s="2">
        <f>I28 + K28 - S28</f>
        <v>0</v>
      </c>
      <c r="W28" s="2">
        <f>M28 - V28</f>
        <v>0</v>
      </c>
      <c r="X28" s="2">
        <f>IFERROR(W28 / M28 * 100, 0)</f>
        <v>0</v>
      </c>
    </row>
    <row r="29" spans="1:24">
      <c r="A29" t="s">
        <v>1896</v>
      </c>
      <c r="B29" t="s">
        <v>512</v>
      </c>
      <c r="C29" t="s">
        <v>2006</v>
      </c>
      <c r="D29" t="s">
        <v>1008</v>
      </c>
      <c r="E29" t="s">
        <v>2089</v>
      </c>
      <c r="F29" t="s">
        <v>2117</v>
      </c>
      <c r="G29">
        <v>0</v>
      </c>
      <c r="H29">
        <v>0</v>
      </c>
      <c r="I29">
        <v>0</v>
      </c>
      <c r="J29">
        <v>6</v>
      </c>
      <c r="K29">
        <v>120</v>
      </c>
      <c r="L29">
        <v>0</v>
      </c>
      <c r="M29">
        <v>0</v>
      </c>
      <c r="N29">
        <v>0</v>
      </c>
      <c r="O29">
        <v>0</v>
      </c>
      <c r="P29" s="2">
        <f>(H29 + J29) - (L29 + N29)</f>
        <v>0</v>
      </c>
      <c r="Q29" s="2">
        <f>P29 * G29</f>
        <v>0</v>
      </c>
      <c r="R29">
        <v>6</v>
      </c>
      <c r="S29" s="2">
        <f>R29 * G29</f>
        <v>0</v>
      </c>
      <c r="T29" s="2">
        <f>(H29 + J29) - (L29 + N29) - R29</f>
        <v>0</v>
      </c>
      <c r="U29" s="2">
        <f>T29 * G29</f>
        <v>0</v>
      </c>
      <c r="V29" s="2">
        <f>I29 + K29 - S29</f>
        <v>0</v>
      </c>
      <c r="W29" s="2">
        <f>M29 - V29</f>
        <v>0</v>
      </c>
      <c r="X29" s="2">
        <f>IFERROR(W29 / M29 * 100, 0)</f>
        <v>0</v>
      </c>
    </row>
    <row r="30" spans="1:24">
      <c r="A30" t="s">
        <v>1897</v>
      </c>
      <c r="B30" t="s">
        <v>512</v>
      </c>
      <c r="C30" t="s">
        <v>2007</v>
      </c>
      <c r="D30" t="s">
        <v>1007</v>
      </c>
      <c r="E30" t="s">
        <v>2089</v>
      </c>
      <c r="F30" t="s">
        <v>2118</v>
      </c>
      <c r="G30">
        <v>13</v>
      </c>
      <c r="H30">
        <v>0</v>
      </c>
      <c r="I30">
        <v>0</v>
      </c>
      <c r="J30">
        <v>232.94</v>
      </c>
      <c r="K30">
        <v>3028.22</v>
      </c>
      <c r="L30">
        <v>0</v>
      </c>
      <c r="M30">
        <v>0</v>
      </c>
      <c r="N30">
        <v>0</v>
      </c>
      <c r="O30">
        <v>0</v>
      </c>
      <c r="P30" s="2">
        <f>(H30 + J30) - (L30 + N30)</f>
        <v>0</v>
      </c>
      <c r="Q30" s="2">
        <f>P30 * G30</f>
        <v>0</v>
      </c>
      <c r="R30">
        <v>232.94</v>
      </c>
      <c r="S30" s="2">
        <f>R30 * G30</f>
        <v>0</v>
      </c>
      <c r="T30" s="2">
        <f>(H30 + J30) - (L30 + N30) - R30</f>
        <v>0</v>
      </c>
      <c r="U30" s="2">
        <f>T30 * G30</f>
        <v>0</v>
      </c>
      <c r="V30" s="2">
        <f>I30 + K30 - S30</f>
        <v>0</v>
      </c>
      <c r="W30" s="2">
        <f>M30 - V30</f>
        <v>0</v>
      </c>
      <c r="X30" s="2">
        <f>IFERROR(W30 / M30 * 100, 0)</f>
        <v>0</v>
      </c>
    </row>
    <row r="31" spans="1:24">
      <c r="A31" t="s">
        <v>1898</v>
      </c>
      <c r="B31" t="s">
        <v>512</v>
      </c>
      <c r="C31" t="s">
        <v>2008</v>
      </c>
      <c r="D31" t="s">
        <v>1007</v>
      </c>
      <c r="E31" t="s">
        <v>2089</v>
      </c>
      <c r="F31" t="s">
        <v>2119</v>
      </c>
      <c r="G31">
        <v>17</v>
      </c>
      <c r="H31">
        <v>0</v>
      </c>
      <c r="I31">
        <v>0</v>
      </c>
      <c r="J31">
        <v>0</v>
      </c>
      <c r="K31">
        <v>0</v>
      </c>
      <c r="L31">
        <v>0.22</v>
      </c>
      <c r="M31">
        <v>4.99</v>
      </c>
      <c r="N31">
        <v>0</v>
      </c>
      <c r="O31">
        <v>0</v>
      </c>
      <c r="P31" s="2">
        <f>(H31 + J31) - (L31 + N31)</f>
        <v>0</v>
      </c>
      <c r="Q31" s="2">
        <f>P31 * G31</f>
        <v>0</v>
      </c>
      <c r="R31">
        <v>0</v>
      </c>
      <c r="S31" s="2">
        <f>R31 * G31</f>
        <v>0</v>
      </c>
      <c r="T31" s="2">
        <f>(H31 + J31) - (L31 + N31) - R31</f>
        <v>0</v>
      </c>
      <c r="U31" s="2">
        <f>T31 * G31</f>
        <v>0</v>
      </c>
      <c r="V31" s="2">
        <f>I31 + K31 - S31</f>
        <v>0</v>
      </c>
      <c r="W31" s="2">
        <f>M31 - V31</f>
        <v>0</v>
      </c>
      <c r="X31" s="2">
        <f>IFERROR(W31 / M31 * 100, 0)</f>
        <v>0</v>
      </c>
    </row>
    <row r="32" spans="1:24">
      <c r="A32" t="s">
        <v>1899</v>
      </c>
      <c r="B32" t="s">
        <v>512</v>
      </c>
      <c r="C32" t="s">
        <v>2009</v>
      </c>
      <c r="D32" t="s">
        <v>1007</v>
      </c>
      <c r="E32" t="s">
        <v>2089</v>
      </c>
      <c r="F32" t="s">
        <v>2120</v>
      </c>
      <c r="G32">
        <v>29</v>
      </c>
      <c r="H32">
        <v>0</v>
      </c>
      <c r="I32">
        <v>0</v>
      </c>
      <c r="J32">
        <v>0</v>
      </c>
      <c r="K32">
        <v>0</v>
      </c>
      <c r="L32">
        <v>1.09</v>
      </c>
      <c r="M32">
        <v>5.44</v>
      </c>
      <c r="N32">
        <v>0</v>
      </c>
      <c r="O32">
        <v>0</v>
      </c>
      <c r="P32" s="2">
        <f>(H32 + J32) - (L32 + N32)</f>
        <v>0</v>
      </c>
      <c r="Q32" s="2">
        <f>P32 * G32</f>
        <v>0</v>
      </c>
      <c r="R32">
        <v>0</v>
      </c>
      <c r="S32" s="2">
        <f>R32 * G32</f>
        <v>0</v>
      </c>
      <c r="T32" s="2">
        <f>(H32 + J32) - (L32 + N32) - R32</f>
        <v>0</v>
      </c>
      <c r="U32" s="2">
        <f>T32 * G32</f>
        <v>0</v>
      </c>
      <c r="V32" s="2">
        <f>I32 + K32 - S32</f>
        <v>0</v>
      </c>
      <c r="W32" s="2">
        <f>M32 - V32</f>
        <v>0</v>
      </c>
      <c r="X32" s="2">
        <f>IFERROR(W32 / M32 * 100, 0)</f>
        <v>0</v>
      </c>
    </row>
    <row r="33" spans="1:24">
      <c r="A33" t="s">
        <v>1900</v>
      </c>
      <c r="B33" t="s">
        <v>512</v>
      </c>
      <c r="C33" t="s">
        <v>2010</v>
      </c>
      <c r="D33" t="s">
        <v>1008</v>
      </c>
      <c r="E33" t="s">
        <v>2089</v>
      </c>
      <c r="F33" t="s">
        <v>2121</v>
      </c>
      <c r="G33">
        <v>8</v>
      </c>
      <c r="H33">
        <v>0</v>
      </c>
      <c r="I33">
        <v>0</v>
      </c>
      <c r="J33">
        <v>0</v>
      </c>
      <c r="K33">
        <v>0</v>
      </c>
      <c r="L33">
        <v>17</v>
      </c>
      <c r="M33">
        <v>289</v>
      </c>
      <c r="N33">
        <v>0</v>
      </c>
      <c r="O33">
        <v>0</v>
      </c>
      <c r="P33" s="2">
        <f>(H33 + J33) - (L33 + N33)</f>
        <v>0</v>
      </c>
      <c r="Q33" s="2">
        <f>P33 * G33</f>
        <v>0</v>
      </c>
      <c r="R33">
        <v>0</v>
      </c>
      <c r="S33" s="2">
        <f>R33 * G33</f>
        <v>0</v>
      </c>
      <c r="T33" s="2">
        <f>(H33 + J33) - (L33 + N33) - R33</f>
        <v>0</v>
      </c>
      <c r="U33" s="2">
        <f>T33 * G33</f>
        <v>0</v>
      </c>
      <c r="V33" s="2">
        <f>I33 + K33 - S33</f>
        <v>0</v>
      </c>
      <c r="W33" s="2">
        <f>M33 - V33</f>
        <v>0</v>
      </c>
      <c r="X33" s="2">
        <f>IFERROR(W33 / M33 * 100, 0)</f>
        <v>0</v>
      </c>
    </row>
    <row r="34" spans="1:24">
      <c r="A34" t="s">
        <v>1901</v>
      </c>
      <c r="B34" t="s">
        <v>512</v>
      </c>
      <c r="C34" t="s">
        <v>2011</v>
      </c>
      <c r="D34" t="s">
        <v>1007</v>
      </c>
      <c r="E34" t="s">
        <v>2089</v>
      </c>
      <c r="F34" t="s">
        <v>2122</v>
      </c>
      <c r="G34">
        <v>27.78</v>
      </c>
      <c r="H34">
        <v>0</v>
      </c>
      <c r="I34">
        <v>0</v>
      </c>
      <c r="J34">
        <v>0</v>
      </c>
      <c r="K34">
        <v>0</v>
      </c>
      <c r="L34">
        <v>81.06999999999999</v>
      </c>
      <c r="M34">
        <v>607.8200000000001</v>
      </c>
      <c r="N34">
        <v>0</v>
      </c>
      <c r="O34">
        <v>0</v>
      </c>
      <c r="P34" s="2">
        <f>(H34 + J34) - (L34 + N34)</f>
        <v>0</v>
      </c>
      <c r="Q34" s="2">
        <f>P34 * G34</f>
        <v>0</v>
      </c>
      <c r="R34">
        <v>0</v>
      </c>
      <c r="S34" s="2">
        <f>R34 * G34</f>
        <v>0</v>
      </c>
      <c r="T34" s="2">
        <f>(H34 + J34) - (L34 + N34) - R34</f>
        <v>0</v>
      </c>
      <c r="U34" s="2">
        <f>T34 * G34</f>
        <v>0</v>
      </c>
      <c r="V34" s="2">
        <f>I34 + K34 - S34</f>
        <v>0</v>
      </c>
      <c r="W34" s="2">
        <f>M34 - V34</f>
        <v>0</v>
      </c>
      <c r="X34" s="2">
        <f>IFERROR(W34 / M34 * 100, 0)</f>
        <v>0</v>
      </c>
    </row>
    <row r="35" spans="1:24">
      <c r="A35" t="s">
        <v>1902</v>
      </c>
      <c r="B35" t="s">
        <v>512</v>
      </c>
      <c r="C35" t="s">
        <v>2012</v>
      </c>
      <c r="D35" t="s">
        <v>1007</v>
      </c>
      <c r="E35" t="s">
        <v>2089</v>
      </c>
      <c r="F35" t="s">
        <v>2123</v>
      </c>
      <c r="G35">
        <v>41.64</v>
      </c>
      <c r="H35">
        <v>0</v>
      </c>
      <c r="I35">
        <v>0</v>
      </c>
      <c r="J35">
        <v>0</v>
      </c>
      <c r="K35">
        <v>0</v>
      </c>
      <c r="L35">
        <v>481.61</v>
      </c>
      <c r="M35">
        <v>22573.71</v>
      </c>
      <c r="N35">
        <v>0</v>
      </c>
      <c r="O35">
        <v>0</v>
      </c>
      <c r="P35" s="2">
        <f>(H35 + J35) - (L35 + N35)</f>
        <v>0</v>
      </c>
      <c r="Q35" s="2">
        <f>P35 * G35</f>
        <v>0</v>
      </c>
      <c r="R35">
        <v>0</v>
      </c>
      <c r="S35" s="2">
        <f>R35 * G35</f>
        <v>0</v>
      </c>
      <c r="T35" s="2">
        <f>(H35 + J35) - (L35 + N35) - R35</f>
        <v>0</v>
      </c>
      <c r="U35" s="2">
        <f>T35 * G35</f>
        <v>0</v>
      </c>
      <c r="V35" s="2">
        <f>I35 + K35 - S35</f>
        <v>0</v>
      </c>
      <c r="W35" s="2">
        <f>M35 - V35</f>
        <v>0</v>
      </c>
      <c r="X35" s="2">
        <f>IFERROR(W35 / M35 * 100, 0)</f>
        <v>0</v>
      </c>
    </row>
    <row r="36" spans="1:24">
      <c r="A36" t="s">
        <v>1903</v>
      </c>
      <c r="B36" t="s">
        <v>512</v>
      </c>
      <c r="C36" t="s">
        <v>2013</v>
      </c>
      <c r="D36" t="s">
        <v>1007</v>
      </c>
      <c r="E36" t="s">
        <v>2089</v>
      </c>
      <c r="F36" t="s">
        <v>2124</v>
      </c>
      <c r="G36">
        <v>26</v>
      </c>
      <c r="H36">
        <v>0</v>
      </c>
      <c r="I36">
        <v>0</v>
      </c>
      <c r="J36">
        <v>0</v>
      </c>
      <c r="K36">
        <v>0</v>
      </c>
      <c r="L36">
        <v>0.24</v>
      </c>
      <c r="M36">
        <v>6.96</v>
      </c>
      <c r="N36">
        <v>0</v>
      </c>
      <c r="O36">
        <v>0</v>
      </c>
      <c r="P36" s="2">
        <f>(H36 + J36) - (L36 + N36)</f>
        <v>0</v>
      </c>
      <c r="Q36" s="2">
        <f>P36 * G36</f>
        <v>0</v>
      </c>
      <c r="R36">
        <v>0</v>
      </c>
      <c r="S36" s="2">
        <f>R36 * G36</f>
        <v>0</v>
      </c>
      <c r="T36" s="2">
        <f>(H36 + J36) - (L36 + N36) - R36</f>
        <v>0</v>
      </c>
      <c r="U36" s="2">
        <f>T36 * G36</f>
        <v>0</v>
      </c>
      <c r="V36" s="2">
        <f>I36 + K36 - S36</f>
        <v>0</v>
      </c>
      <c r="W36" s="2">
        <f>M36 - V36</f>
        <v>0</v>
      </c>
      <c r="X36" s="2">
        <f>IFERROR(W36 / M36 * 100, 0)</f>
        <v>0</v>
      </c>
    </row>
    <row r="37" spans="1:24">
      <c r="A37" t="s">
        <v>1904</v>
      </c>
      <c r="B37" t="s">
        <v>512</v>
      </c>
      <c r="C37" t="s">
        <v>2014</v>
      </c>
      <c r="D37" t="s">
        <v>1007</v>
      </c>
      <c r="E37" t="s">
        <v>2089</v>
      </c>
      <c r="F37" t="s">
        <v>2125</v>
      </c>
      <c r="G37">
        <v>28</v>
      </c>
      <c r="H37">
        <v>0</v>
      </c>
      <c r="I37">
        <v>0</v>
      </c>
      <c r="J37">
        <v>150.62</v>
      </c>
      <c r="K37">
        <v>4217.36</v>
      </c>
      <c r="L37">
        <v>0</v>
      </c>
      <c r="M37">
        <v>0</v>
      </c>
      <c r="N37">
        <v>0</v>
      </c>
      <c r="O37">
        <v>0</v>
      </c>
      <c r="P37" s="2">
        <f>(H37 + J37) - (L37 + N37)</f>
        <v>0</v>
      </c>
      <c r="Q37" s="2">
        <f>P37 * G37</f>
        <v>0</v>
      </c>
      <c r="R37">
        <v>150.6</v>
      </c>
      <c r="S37" s="2">
        <f>R37 * G37</f>
        <v>0</v>
      </c>
      <c r="T37" s="2">
        <f>(H37 + J37) - (L37 + N37) - R37</f>
        <v>0</v>
      </c>
      <c r="U37" s="2">
        <f>T37 * G37</f>
        <v>0</v>
      </c>
      <c r="V37" s="2">
        <f>I37 + K37 - S37</f>
        <v>0</v>
      </c>
      <c r="W37" s="2">
        <f>M37 - V37</f>
        <v>0</v>
      </c>
      <c r="X37" s="2">
        <f>IFERROR(W37 / M37 * 100, 0)</f>
        <v>0</v>
      </c>
    </row>
    <row r="38" spans="1:24">
      <c r="A38" t="s">
        <v>1905</v>
      </c>
      <c r="B38" t="s">
        <v>512</v>
      </c>
      <c r="C38" t="s">
        <v>2015</v>
      </c>
      <c r="D38" t="s">
        <v>1007</v>
      </c>
      <c r="E38" t="s">
        <v>2089</v>
      </c>
      <c r="F38" t="s">
        <v>2126</v>
      </c>
      <c r="G38">
        <v>24</v>
      </c>
      <c r="H38">
        <v>0</v>
      </c>
      <c r="I38">
        <v>0</v>
      </c>
      <c r="J38">
        <v>0</v>
      </c>
      <c r="K38">
        <v>0</v>
      </c>
      <c r="L38">
        <v>0.61</v>
      </c>
      <c r="M38">
        <v>17.55</v>
      </c>
      <c r="N38">
        <v>0</v>
      </c>
      <c r="O38">
        <v>0</v>
      </c>
      <c r="P38" s="2">
        <f>(H38 + J38) - (L38 + N38)</f>
        <v>0</v>
      </c>
      <c r="Q38" s="2">
        <f>P38 * G38</f>
        <v>0</v>
      </c>
      <c r="R38">
        <v>0</v>
      </c>
      <c r="S38" s="2">
        <f>R38 * G38</f>
        <v>0</v>
      </c>
      <c r="T38" s="2">
        <f>(H38 + J38) - (L38 + N38) - R38</f>
        <v>0</v>
      </c>
      <c r="U38" s="2">
        <f>T38 * G38</f>
        <v>0</v>
      </c>
      <c r="V38" s="2">
        <f>I38 + K38 - S38</f>
        <v>0</v>
      </c>
      <c r="W38" s="2">
        <f>M38 - V38</f>
        <v>0</v>
      </c>
      <c r="X38" s="2">
        <f>IFERROR(W38 / M38 * 100, 0)</f>
        <v>0</v>
      </c>
    </row>
    <row r="39" spans="1:24">
      <c r="A39" t="s">
        <v>1906</v>
      </c>
      <c r="B39" t="s">
        <v>512</v>
      </c>
      <c r="C39" t="s">
        <v>2016</v>
      </c>
      <c r="D39" t="s">
        <v>1007</v>
      </c>
      <c r="E39" t="s">
        <v>2089</v>
      </c>
      <c r="F39" t="s">
        <v>2127</v>
      </c>
      <c r="G39">
        <v>25</v>
      </c>
      <c r="H39">
        <v>0</v>
      </c>
      <c r="I39">
        <v>0</v>
      </c>
      <c r="J39">
        <v>0</v>
      </c>
      <c r="K39">
        <v>0</v>
      </c>
      <c r="L39">
        <v>0.74</v>
      </c>
      <c r="M39">
        <v>22.94</v>
      </c>
      <c r="N39">
        <v>0</v>
      </c>
      <c r="O39">
        <v>0</v>
      </c>
      <c r="P39" s="2">
        <f>(H39 + J39) - (L39 + N39)</f>
        <v>0</v>
      </c>
      <c r="Q39" s="2">
        <f>P39 * G39</f>
        <v>0</v>
      </c>
      <c r="R39">
        <v>0</v>
      </c>
      <c r="S39" s="2">
        <f>R39 * G39</f>
        <v>0</v>
      </c>
      <c r="T39" s="2">
        <f>(H39 + J39) - (L39 + N39) - R39</f>
        <v>0</v>
      </c>
      <c r="U39" s="2">
        <f>T39 * G39</f>
        <v>0</v>
      </c>
      <c r="V39" s="2">
        <f>I39 + K39 - S39</f>
        <v>0</v>
      </c>
      <c r="W39" s="2">
        <f>M39 - V39</f>
        <v>0</v>
      </c>
      <c r="X39" s="2">
        <f>IFERROR(W39 / M39 * 100, 0)</f>
        <v>0</v>
      </c>
    </row>
    <row r="40" spans="1:24">
      <c r="A40" t="s">
        <v>1907</v>
      </c>
      <c r="B40" t="s">
        <v>512</v>
      </c>
      <c r="C40" t="s">
        <v>2017</v>
      </c>
      <c r="D40" t="s">
        <v>1007</v>
      </c>
      <c r="E40" t="s">
        <v>2089</v>
      </c>
      <c r="F40" t="s">
        <v>2128</v>
      </c>
      <c r="G40">
        <v>19.91</v>
      </c>
      <c r="H40">
        <v>173.75</v>
      </c>
      <c r="I40">
        <v>3471.59</v>
      </c>
      <c r="J40">
        <v>1997.75</v>
      </c>
      <c r="K40">
        <v>38615.94</v>
      </c>
      <c r="L40">
        <v>1783.09</v>
      </c>
      <c r="M40">
        <v>41667.44</v>
      </c>
      <c r="N40">
        <v>55</v>
      </c>
      <c r="O40">
        <v>1070.85</v>
      </c>
      <c r="P40" s="2">
        <f>(H40 + J40) - (L40 + N40)</f>
        <v>0</v>
      </c>
      <c r="Q40" s="2">
        <f>P40 * G40</f>
        <v>0</v>
      </c>
      <c r="R40">
        <v>27.3</v>
      </c>
      <c r="S40" s="2">
        <f>R40 * G40</f>
        <v>0</v>
      </c>
      <c r="T40" s="2">
        <f>(H40 + J40) - (L40 + N40) - R40</f>
        <v>0</v>
      </c>
      <c r="U40" s="2">
        <f>T40 * G40</f>
        <v>0</v>
      </c>
      <c r="V40" s="2">
        <f>I40 + K40 - S40</f>
        <v>0</v>
      </c>
      <c r="W40" s="2">
        <f>M40 - V40</f>
        <v>0</v>
      </c>
      <c r="X40" s="2">
        <f>IFERROR(W40 / M40 * 100, 0)</f>
        <v>0</v>
      </c>
    </row>
    <row r="41" spans="1:24">
      <c r="A41" t="s">
        <v>1908</v>
      </c>
      <c r="B41" t="s">
        <v>512</v>
      </c>
      <c r="C41" t="s">
        <v>2018</v>
      </c>
      <c r="D41" t="s">
        <v>1008</v>
      </c>
      <c r="E41" t="s">
        <v>2089</v>
      </c>
      <c r="F41" t="s">
        <v>2129</v>
      </c>
      <c r="G41">
        <v>10</v>
      </c>
      <c r="H41">
        <v>0</v>
      </c>
      <c r="I41">
        <v>0</v>
      </c>
      <c r="J41">
        <v>0</v>
      </c>
      <c r="K41">
        <v>0</v>
      </c>
      <c r="L41">
        <v>19</v>
      </c>
      <c r="M41">
        <v>475</v>
      </c>
      <c r="N41">
        <v>0</v>
      </c>
      <c r="O41">
        <v>0</v>
      </c>
      <c r="P41" s="2">
        <f>(H41 + J41) - (L41 + N41)</f>
        <v>0</v>
      </c>
      <c r="Q41" s="2">
        <f>P41 * G41</f>
        <v>0</v>
      </c>
      <c r="R41">
        <v>0</v>
      </c>
      <c r="S41" s="2">
        <f>R41 * G41</f>
        <v>0</v>
      </c>
      <c r="T41" s="2">
        <f>(H41 + J41) - (L41 + N41) - R41</f>
        <v>0</v>
      </c>
      <c r="U41" s="2">
        <f>T41 * G41</f>
        <v>0</v>
      </c>
      <c r="V41" s="2">
        <f>I41 + K41 - S41</f>
        <v>0</v>
      </c>
      <c r="W41" s="2">
        <f>M41 - V41</f>
        <v>0</v>
      </c>
      <c r="X41" s="2">
        <f>IFERROR(W41 / M41 * 100, 0)</f>
        <v>0</v>
      </c>
    </row>
    <row r="42" spans="1:24">
      <c r="A42" t="s">
        <v>1909</v>
      </c>
      <c r="B42" t="s">
        <v>512</v>
      </c>
      <c r="C42" t="s">
        <v>2019</v>
      </c>
      <c r="D42" t="s">
        <v>1008</v>
      </c>
      <c r="E42" t="s">
        <v>2089</v>
      </c>
      <c r="F42" t="s">
        <v>2130</v>
      </c>
      <c r="G42">
        <v>1.25</v>
      </c>
      <c r="H42">
        <v>0</v>
      </c>
      <c r="I42">
        <v>0</v>
      </c>
      <c r="J42">
        <v>0</v>
      </c>
      <c r="K42">
        <v>0</v>
      </c>
      <c r="L42">
        <v>1</v>
      </c>
      <c r="M42">
        <v>6</v>
      </c>
      <c r="N42">
        <v>0</v>
      </c>
      <c r="O42">
        <v>0</v>
      </c>
      <c r="P42" s="2">
        <f>(H42 + J42) - (L42 + N42)</f>
        <v>0</v>
      </c>
      <c r="Q42" s="2">
        <f>P42 * G42</f>
        <v>0</v>
      </c>
      <c r="R42">
        <v>0</v>
      </c>
      <c r="S42" s="2">
        <f>R42 * G42</f>
        <v>0</v>
      </c>
      <c r="T42" s="2">
        <f>(H42 + J42) - (L42 + N42) - R42</f>
        <v>0</v>
      </c>
      <c r="U42" s="2">
        <f>T42 * G42</f>
        <v>0</v>
      </c>
      <c r="V42" s="2">
        <f>I42 + K42 - S42</f>
        <v>0</v>
      </c>
      <c r="W42" s="2">
        <f>M42 - V42</f>
        <v>0</v>
      </c>
      <c r="X42" s="2">
        <f>IFERROR(W42 / M42 * 100, 0)</f>
        <v>0</v>
      </c>
    </row>
    <row r="43" spans="1:24">
      <c r="A43" t="s">
        <v>1910</v>
      </c>
      <c r="B43" t="s">
        <v>512</v>
      </c>
      <c r="C43" t="s">
        <v>2020</v>
      </c>
      <c r="D43" t="s">
        <v>1007</v>
      </c>
      <c r="E43" t="s">
        <v>2089</v>
      </c>
      <c r="F43" t="s">
        <v>2131</v>
      </c>
      <c r="G43">
        <v>19.91</v>
      </c>
      <c r="H43">
        <v>0</v>
      </c>
      <c r="I43">
        <v>0</v>
      </c>
      <c r="J43">
        <v>0</v>
      </c>
      <c r="K43">
        <v>0</v>
      </c>
      <c r="L43">
        <v>263.39</v>
      </c>
      <c r="M43">
        <v>8955.209999999999</v>
      </c>
      <c r="N43">
        <v>0</v>
      </c>
      <c r="O43">
        <v>0</v>
      </c>
      <c r="P43" s="2">
        <f>(H43 + J43) - (L43 + N43)</f>
        <v>0</v>
      </c>
      <c r="Q43" s="2">
        <f>P43 * G43</f>
        <v>0</v>
      </c>
      <c r="R43">
        <v>0</v>
      </c>
      <c r="S43" s="2">
        <f>R43 * G43</f>
        <v>0</v>
      </c>
      <c r="T43" s="2">
        <f>(H43 + J43) - (L43 + N43) - R43</f>
        <v>0</v>
      </c>
      <c r="U43" s="2">
        <f>T43 * G43</f>
        <v>0</v>
      </c>
      <c r="V43" s="2">
        <f>I43 + K43 - S43</f>
        <v>0</v>
      </c>
      <c r="W43" s="2">
        <f>M43 - V43</f>
        <v>0</v>
      </c>
      <c r="X43" s="2">
        <f>IFERROR(W43 / M43 * 100, 0)</f>
        <v>0</v>
      </c>
    </row>
    <row r="44" spans="1:24">
      <c r="A44" t="s">
        <v>1911</v>
      </c>
      <c r="B44" t="s">
        <v>512</v>
      </c>
      <c r="C44" t="s">
        <v>2021</v>
      </c>
      <c r="D44" t="s">
        <v>1007</v>
      </c>
      <c r="E44" t="s">
        <v>2089</v>
      </c>
      <c r="F44" t="s">
        <v>2132</v>
      </c>
      <c r="G44">
        <v>25.5</v>
      </c>
      <c r="H44">
        <v>10.9</v>
      </c>
      <c r="I44">
        <v>277.95</v>
      </c>
      <c r="J44">
        <v>145.57</v>
      </c>
      <c r="K44">
        <v>3711.91</v>
      </c>
      <c r="L44">
        <v>150.02</v>
      </c>
      <c r="M44">
        <v>4400.89</v>
      </c>
      <c r="N44">
        <v>0</v>
      </c>
      <c r="O44">
        <v>0</v>
      </c>
      <c r="P44" s="2">
        <f>(H44 + J44) - (L44 + N44)</f>
        <v>0</v>
      </c>
      <c r="Q44" s="2">
        <f>P44 * G44</f>
        <v>0</v>
      </c>
      <c r="R44">
        <v>0</v>
      </c>
      <c r="S44" s="2">
        <f>R44 * G44</f>
        <v>0</v>
      </c>
      <c r="T44" s="2">
        <f>(H44 + J44) - (L44 + N44) - R44</f>
        <v>0</v>
      </c>
      <c r="U44" s="2">
        <f>T44 * G44</f>
        <v>0</v>
      </c>
      <c r="V44" s="2">
        <f>I44 + K44 - S44</f>
        <v>0</v>
      </c>
      <c r="W44" s="2">
        <f>M44 - V44</f>
        <v>0</v>
      </c>
      <c r="X44" s="2">
        <f>IFERROR(W44 / M44 * 100, 0)</f>
        <v>0</v>
      </c>
    </row>
    <row r="45" spans="1:24">
      <c r="A45" t="s">
        <v>1912</v>
      </c>
      <c r="B45" t="s">
        <v>512</v>
      </c>
      <c r="C45" t="s">
        <v>2022</v>
      </c>
      <c r="D45" t="s">
        <v>1007</v>
      </c>
      <c r="E45" t="s">
        <v>2089</v>
      </c>
      <c r="F45" t="s">
        <v>2133</v>
      </c>
      <c r="G45">
        <v>10</v>
      </c>
      <c r="H45">
        <v>0</v>
      </c>
      <c r="I45">
        <v>0</v>
      </c>
      <c r="J45">
        <v>0</v>
      </c>
      <c r="K45">
        <v>0</v>
      </c>
      <c r="L45">
        <v>125.89</v>
      </c>
      <c r="M45">
        <v>3021.4</v>
      </c>
      <c r="N45">
        <v>0</v>
      </c>
      <c r="O45">
        <v>0</v>
      </c>
      <c r="P45" s="2">
        <f>(H45 + J45) - (L45 + N45)</f>
        <v>0</v>
      </c>
      <c r="Q45" s="2">
        <f>P45 * G45</f>
        <v>0</v>
      </c>
      <c r="R45">
        <v>0</v>
      </c>
      <c r="S45" s="2">
        <f>R45 * G45</f>
        <v>0</v>
      </c>
      <c r="T45" s="2">
        <f>(H45 + J45) - (L45 + N45) - R45</f>
        <v>0</v>
      </c>
      <c r="U45" s="2">
        <f>T45 * G45</f>
        <v>0</v>
      </c>
      <c r="V45" s="2">
        <f>I45 + K45 - S45</f>
        <v>0</v>
      </c>
      <c r="W45" s="2">
        <f>M45 - V45</f>
        <v>0</v>
      </c>
      <c r="X45" s="2">
        <f>IFERROR(W45 / M45 * 100, 0)</f>
        <v>0</v>
      </c>
    </row>
    <row r="46" spans="1:24">
      <c r="A46" t="s">
        <v>1913</v>
      </c>
      <c r="B46" t="s">
        <v>512</v>
      </c>
      <c r="C46" t="s">
        <v>2023</v>
      </c>
      <c r="D46" t="s">
        <v>1007</v>
      </c>
      <c r="E46" t="s">
        <v>2089</v>
      </c>
      <c r="F46" t="s">
        <v>2134</v>
      </c>
      <c r="G46">
        <v>15</v>
      </c>
      <c r="H46">
        <v>0</v>
      </c>
      <c r="I46">
        <v>0</v>
      </c>
      <c r="J46">
        <v>0</v>
      </c>
      <c r="K46">
        <v>0</v>
      </c>
      <c r="L46">
        <v>100.64</v>
      </c>
      <c r="M46">
        <v>3019.26</v>
      </c>
      <c r="N46">
        <v>0</v>
      </c>
      <c r="O46">
        <v>0</v>
      </c>
      <c r="P46" s="2">
        <f>(H46 + J46) - (L46 + N46)</f>
        <v>0</v>
      </c>
      <c r="Q46" s="2">
        <f>P46 * G46</f>
        <v>0</v>
      </c>
      <c r="R46">
        <v>0</v>
      </c>
      <c r="S46" s="2">
        <f>R46 * G46</f>
        <v>0</v>
      </c>
      <c r="T46" s="2">
        <f>(H46 + J46) - (L46 + N46) - R46</f>
        <v>0</v>
      </c>
      <c r="U46" s="2">
        <f>T46 * G46</f>
        <v>0</v>
      </c>
      <c r="V46" s="2">
        <f>I46 + K46 - S46</f>
        <v>0</v>
      </c>
      <c r="W46" s="2">
        <f>M46 - V46</f>
        <v>0</v>
      </c>
      <c r="X46" s="2">
        <f>IFERROR(W46 / M46 * 100, 0)</f>
        <v>0</v>
      </c>
    </row>
    <row r="47" spans="1:24">
      <c r="A47" t="s">
        <v>1914</v>
      </c>
      <c r="B47" t="s">
        <v>512</v>
      </c>
      <c r="C47" t="s">
        <v>2024</v>
      </c>
      <c r="D47" t="s">
        <v>1007</v>
      </c>
      <c r="E47" t="s">
        <v>2089</v>
      </c>
      <c r="F47" t="s">
        <v>2135</v>
      </c>
      <c r="G47">
        <v>20.17</v>
      </c>
      <c r="H47">
        <v>0</v>
      </c>
      <c r="I47">
        <v>0</v>
      </c>
      <c r="J47">
        <v>122.84</v>
      </c>
      <c r="K47">
        <v>2618.57</v>
      </c>
      <c r="L47">
        <v>125.14</v>
      </c>
      <c r="M47">
        <v>3691.87</v>
      </c>
      <c r="N47">
        <v>0</v>
      </c>
      <c r="O47">
        <v>0</v>
      </c>
      <c r="P47" s="2">
        <f>(H47 + J47) - (L47 + N47)</f>
        <v>0</v>
      </c>
      <c r="Q47" s="2">
        <f>P47 * G47</f>
        <v>0</v>
      </c>
      <c r="R47">
        <v>4.2</v>
      </c>
      <c r="S47" s="2">
        <f>R47 * G47</f>
        <v>0</v>
      </c>
      <c r="T47" s="2">
        <f>(H47 + J47) - (L47 + N47) - R47</f>
        <v>0</v>
      </c>
      <c r="U47" s="2">
        <f>T47 * G47</f>
        <v>0</v>
      </c>
      <c r="V47" s="2">
        <f>I47 + K47 - S47</f>
        <v>0</v>
      </c>
      <c r="W47" s="2">
        <f>M47 - V47</f>
        <v>0</v>
      </c>
      <c r="X47" s="2">
        <f>IFERROR(W47 / M47 * 100, 0)</f>
        <v>0</v>
      </c>
    </row>
    <row r="48" spans="1:24">
      <c r="A48" t="s">
        <v>1915</v>
      </c>
      <c r="B48" t="s">
        <v>512</v>
      </c>
      <c r="C48" t="s">
        <v>2025</v>
      </c>
      <c r="D48" t="s">
        <v>1007</v>
      </c>
      <c r="E48" t="s">
        <v>2089</v>
      </c>
      <c r="F48" t="s">
        <v>2136</v>
      </c>
      <c r="G48">
        <v>15</v>
      </c>
      <c r="H48">
        <v>0</v>
      </c>
      <c r="I48">
        <v>0</v>
      </c>
      <c r="J48">
        <v>0</v>
      </c>
      <c r="K48">
        <v>0</v>
      </c>
      <c r="L48">
        <v>57.78</v>
      </c>
      <c r="M48">
        <v>1444.59</v>
      </c>
      <c r="N48">
        <v>0</v>
      </c>
      <c r="O48">
        <v>0</v>
      </c>
      <c r="P48" s="2">
        <f>(H48 + J48) - (L48 + N48)</f>
        <v>0</v>
      </c>
      <c r="Q48" s="2">
        <f>P48 * G48</f>
        <v>0</v>
      </c>
      <c r="R48">
        <v>0</v>
      </c>
      <c r="S48" s="2">
        <f>R48 * G48</f>
        <v>0</v>
      </c>
      <c r="T48" s="2">
        <f>(H48 + J48) - (L48 + N48) - R48</f>
        <v>0</v>
      </c>
      <c r="U48" s="2">
        <f>T48 * G48</f>
        <v>0</v>
      </c>
      <c r="V48" s="2">
        <f>I48 + K48 - S48</f>
        <v>0</v>
      </c>
      <c r="W48" s="2">
        <f>M48 - V48</f>
        <v>0</v>
      </c>
      <c r="X48" s="2">
        <f>IFERROR(W48 / M48 * 100, 0)</f>
        <v>0</v>
      </c>
    </row>
    <row r="49" spans="1:24">
      <c r="A49" t="s">
        <v>1916</v>
      </c>
      <c r="B49" t="s">
        <v>512</v>
      </c>
      <c r="C49" t="s">
        <v>2026</v>
      </c>
      <c r="D49" t="s">
        <v>1007</v>
      </c>
      <c r="E49" t="s">
        <v>2089</v>
      </c>
      <c r="F49" t="s">
        <v>2137</v>
      </c>
      <c r="G49">
        <v>27.78</v>
      </c>
      <c r="H49">
        <v>79.59999999999999</v>
      </c>
      <c r="I49">
        <v>2269.16</v>
      </c>
      <c r="J49">
        <v>2761.12</v>
      </c>
      <c r="K49">
        <v>76524.81</v>
      </c>
      <c r="L49">
        <v>2147.55</v>
      </c>
      <c r="M49">
        <v>67917.82000000001</v>
      </c>
      <c r="N49">
        <v>0</v>
      </c>
      <c r="O49">
        <v>0</v>
      </c>
      <c r="P49" s="2">
        <f>(H49 + J49) - (L49 + N49)</f>
        <v>0</v>
      </c>
      <c r="Q49" s="2">
        <f>P49 * G49</f>
        <v>0</v>
      </c>
      <c r="R49">
        <v>109.88</v>
      </c>
      <c r="S49" s="2">
        <f>R49 * G49</f>
        <v>0</v>
      </c>
      <c r="T49" s="2">
        <f>(H49 + J49) - (L49 + N49) - R49</f>
        <v>0</v>
      </c>
      <c r="U49" s="2">
        <f>T49 * G49</f>
        <v>0</v>
      </c>
      <c r="V49" s="2">
        <f>I49 + K49 - S49</f>
        <v>0</v>
      </c>
      <c r="W49" s="2">
        <f>M49 - V49</f>
        <v>0</v>
      </c>
      <c r="X49" s="2">
        <f>IFERROR(W49 / M49 * 100, 0)</f>
        <v>0</v>
      </c>
    </row>
    <row r="50" spans="1:24">
      <c r="A50" t="s">
        <v>1917</v>
      </c>
      <c r="B50" t="s">
        <v>512</v>
      </c>
      <c r="C50" t="s">
        <v>2027</v>
      </c>
      <c r="D50" t="s">
        <v>1007</v>
      </c>
      <c r="E50" t="s">
        <v>2089</v>
      </c>
      <c r="F50" t="s">
        <v>2138</v>
      </c>
      <c r="G50">
        <v>22</v>
      </c>
      <c r="H50">
        <v>11.5</v>
      </c>
      <c r="I50">
        <v>253</v>
      </c>
      <c r="J50">
        <v>47.82</v>
      </c>
      <c r="K50">
        <v>1052</v>
      </c>
      <c r="L50">
        <v>51.91</v>
      </c>
      <c r="M50">
        <v>1505.48</v>
      </c>
      <c r="N50">
        <v>0</v>
      </c>
      <c r="O50">
        <v>0</v>
      </c>
      <c r="P50" s="2">
        <f>(H50 + J50) - (L50 + N50)</f>
        <v>0</v>
      </c>
      <c r="Q50" s="2">
        <f>P50 * G50</f>
        <v>0</v>
      </c>
      <c r="R50">
        <v>10</v>
      </c>
      <c r="S50" s="2">
        <f>R50 * G50</f>
        <v>0</v>
      </c>
      <c r="T50" s="2">
        <f>(H50 + J50) - (L50 + N50) - R50</f>
        <v>0</v>
      </c>
      <c r="U50" s="2">
        <f>T50 * G50</f>
        <v>0</v>
      </c>
      <c r="V50" s="2">
        <f>I50 + K50 - S50</f>
        <v>0</v>
      </c>
      <c r="W50" s="2">
        <f>M50 - V50</f>
        <v>0</v>
      </c>
      <c r="X50" s="2">
        <f>IFERROR(W50 / M50 * 100, 0)</f>
        <v>0</v>
      </c>
    </row>
    <row r="51" spans="1:24">
      <c r="A51" t="s">
        <v>1918</v>
      </c>
      <c r="B51" t="s">
        <v>512</v>
      </c>
      <c r="C51" t="s">
        <v>2028</v>
      </c>
      <c r="D51" t="s">
        <v>1007</v>
      </c>
      <c r="E51" t="s">
        <v>2089</v>
      </c>
      <c r="F51" t="s">
        <v>2139</v>
      </c>
      <c r="G51">
        <v>21</v>
      </c>
      <c r="H51">
        <v>30</v>
      </c>
      <c r="I51">
        <v>615.67</v>
      </c>
      <c r="J51">
        <v>1635.16</v>
      </c>
      <c r="K51">
        <v>34353.88</v>
      </c>
      <c r="L51">
        <v>1098.61</v>
      </c>
      <c r="M51">
        <v>27102.12</v>
      </c>
      <c r="N51">
        <v>0</v>
      </c>
      <c r="O51">
        <v>0</v>
      </c>
      <c r="P51" s="2">
        <f>(H51 + J51) - (L51 + N51)</f>
        <v>0</v>
      </c>
      <c r="Q51" s="2">
        <f>P51 * G51</f>
        <v>0</v>
      </c>
      <c r="R51">
        <v>156.95</v>
      </c>
      <c r="S51" s="2">
        <f>R51 * G51</f>
        <v>0</v>
      </c>
      <c r="T51" s="2">
        <f>(H51 + J51) - (L51 + N51) - R51</f>
        <v>0</v>
      </c>
      <c r="U51" s="2">
        <f>T51 * G51</f>
        <v>0</v>
      </c>
      <c r="V51" s="2">
        <f>I51 + K51 - S51</f>
        <v>0</v>
      </c>
      <c r="W51" s="2">
        <f>M51 - V51</f>
        <v>0</v>
      </c>
      <c r="X51" s="2">
        <f>IFERROR(W51 / M51 * 100, 0)</f>
        <v>0</v>
      </c>
    </row>
    <row r="52" spans="1:24">
      <c r="A52" t="s">
        <v>1919</v>
      </c>
      <c r="B52" t="s">
        <v>512</v>
      </c>
      <c r="C52" t="s">
        <v>2029</v>
      </c>
      <c r="D52" t="s">
        <v>1007</v>
      </c>
      <c r="E52" t="s">
        <v>2089</v>
      </c>
      <c r="F52" t="s">
        <v>2140</v>
      </c>
      <c r="G52">
        <v>21</v>
      </c>
      <c r="H52">
        <v>0</v>
      </c>
      <c r="I52">
        <v>0</v>
      </c>
      <c r="J52">
        <v>0</v>
      </c>
      <c r="K52">
        <v>0</v>
      </c>
      <c r="L52">
        <v>255.79</v>
      </c>
      <c r="M52">
        <v>8952.67</v>
      </c>
      <c r="N52">
        <v>0</v>
      </c>
      <c r="O52">
        <v>0</v>
      </c>
      <c r="P52" s="2">
        <f>(H52 + J52) - (L52 + N52)</f>
        <v>0</v>
      </c>
      <c r="Q52" s="2">
        <f>P52 * G52</f>
        <v>0</v>
      </c>
      <c r="R52">
        <v>0</v>
      </c>
      <c r="S52" s="2">
        <f>R52 * G52</f>
        <v>0</v>
      </c>
      <c r="T52" s="2">
        <f>(H52 + J52) - (L52 + N52) - R52</f>
        <v>0</v>
      </c>
      <c r="U52" s="2">
        <f>T52 * G52</f>
        <v>0</v>
      </c>
      <c r="V52" s="2">
        <f>I52 + K52 - S52</f>
        <v>0</v>
      </c>
      <c r="W52" s="2">
        <f>M52 - V52</f>
        <v>0</v>
      </c>
      <c r="X52" s="2">
        <f>IFERROR(W52 / M52 * 100, 0)</f>
        <v>0</v>
      </c>
    </row>
    <row r="53" spans="1:24">
      <c r="A53" t="s">
        <v>1920</v>
      </c>
      <c r="B53" t="s">
        <v>512</v>
      </c>
      <c r="C53" t="s">
        <v>2030</v>
      </c>
      <c r="D53" t="s">
        <v>1008</v>
      </c>
      <c r="E53" t="s">
        <v>2089</v>
      </c>
      <c r="F53" t="s">
        <v>2141</v>
      </c>
      <c r="G53">
        <v>14</v>
      </c>
      <c r="H53">
        <v>0</v>
      </c>
      <c r="I53">
        <v>0</v>
      </c>
      <c r="J53">
        <v>17</v>
      </c>
      <c r="K53">
        <v>238</v>
      </c>
      <c r="L53">
        <v>17</v>
      </c>
      <c r="M53">
        <v>246.5</v>
      </c>
      <c r="N53">
        <v>0</v>
      </c>
      <c r="O53">
        <v>0</v>
      </c>
      <c r="P53" s="2">
        <f>(H53 + J53) - (L53 + N53)</f>
        <v>0</v>
      </c>
      <c r="Q53" s="2">
        <f>P53 * G53</f>
        <v>0</v>
      </c>
      <c r="R53">
        <v>0</v>
      </c>
      <c r="S53" s="2">
        <f>R53 * G53</f>
        <v>0</v>
      </c>
      <c r="T53" s="2">
        <f>(H53 + J53) - (L53 + N53) - R53</f>
        <v>0</v>
      </c>
      <c r="U53" s="2">
        <f>T53 * G53</f>
        <v>0</v>
      </c>
      <c r="V53" s="2">
        <f>I53 + K53 - S53</f>
        <v>0</v>
      </c>
      <c r="W53" s="2">
        <f>M53 - V53</f>
        <v>0</v>
      </c>
      <c r="X53" s="2">
        <f>IFERROR(W53 / M53 * 100, 0)</f>
        <v>0</v>
      </c>
    </row>
    <row r="54" spans="1:24">
      <c r="A54" t="s">
        <v>1921</v>
      </c>
      <c r="B54" t="s">
        <v>512</v>
      </c>
      <c r="C54" t="s">
        <v>2031</v>
      </c>
      <c r="D54" t="s">
        <v>1008</v>
      </c>
      <c r="E54" t="s">
        <v>2089</v>
      </c>
      <c r="F54" t="s">
        <v>2142</v>
      </c>
      <c r="G54">
        <v>5.5</v>
      </c>
      <c r="H54">
        <v>0</v>
      </c>
      <c r="I54">
        <v>0</v>
      </c>
      <c r="J54">
        <v>7</v>
      </c>
      <c r="K54">
        <v>38.5</v>
      </c>
      <c r="L54">
        <v>7</v>
      </c>
      <c r="M54">
        <v>42</v>
      </c>
      <c r="N54">
        <v>0</v>
      </c>
      <c r="O54">
        <v>0</v>
      </c>
      <c r="P54" s="2">
        <f>(H54 + J54) - (L54 + N54)</f>
        <v>0</v>
      </c>
      <c r="Q54" s="2">
        <f>P54 * G54</f>
        <v>0</v>
      </c>
      <c r="R54">
        <v>0</v>
      </c>
      <c r="S54" s="2">
        <f>R54 * G54</f>
        <v>0</v>
      </c>
      <c r="T54" s="2">
        <f>(H54 + J54) - (L54 + N54) - R54</f>
        <v>0</v>
      </c>
      <c r="U54" s="2">
        <f>T54 * G54</f>
        <v>0</v>
      </c>
      <c r="V54" s="2">
        <f>I54 + K54 - S54</f>
        <v>0</v>
      </c>
      <c r="W54" s="2">
        <f>M54 - V54</f>
        <v>0</v>
      </c>
      <c r="X54" s="2">
        <f>IFERROR(W54 / M54 * 100, 0)</f>
        <v>0</v>
      </c>
    </row>
    <row r="55" spans="1:24">
      <c r="A55" t="s">
        <v>1922</v>
      </c>
      <c r="B55" t="s">
        <v>512</v>
      </c>
      <c r="C55" t="s">
        <v>2032</v>
      </c>
      <c r="D55" t="s">
        <v>1008</v>
      </c>
      <c r="E55" t="s">
        <v>2089</v>
      </c>
      <c r="F55" t="s">
        <v>2143</v>
      </c>
      <c r="G55">
        <v>8.5</v>
      </c>
      <c r="H55">
        <v>2</v>
      </c>
      <c r="I55">
        <v>17</v>
      </c>
      <c r="J55">
        <v>10</v>
      </c>
      <c r="K55">
        <v>85</v>
      </c>
      <c r="L55">
        <v>11</v>
      </c>
      <c r="M55">
        <v>99</v>
      </c>
      <c r="N55">
        <v>0</v>
      </c>
      <c r="O55">
        <v>0</v>
      </c>
      <c r="P55" s="2">
        <f>(H55 + J55) - (L55 + N55)</f>
        <v>0</v>
      </c>
      <c r="Q55" s="2">
        <f>P55 * G55</f>
        <v>0</v>
      </c>
      <c r="R55">
        <v>0</v>
      </c>
      <c r="S55" s="2">
        <f>R55 * G55</f>
        <v>0</v>
      </c>
      <c r="T55" s="2">
        <f>(H55 + J55) - (L55 + N55) - R55</f>
        <v>0</v>
      </c>
      <c r="U55" s="2">
        <f>T55 * G55</f>
        <v>0</v>
      </c>
      <c r="V55" s="2">
        <f>I55 + K55 - S55</f>
        <v>0</v>
      </c>
      <c r="W55" s="2">
        <f>M55 - V55</f>
        <v>0</v>
      </c>
      <c r="X55" s="2">
        <f>IFERROR(W55 / M55 * 100, 0)</f>
        <v>0</v>
      </c>
    </row>
    <row r="56" spans="1:24">
      <c r="A56" t="s">
        <v>1923</v>
      </c>
      <c r="B56" t="s">
        <v>512</v>
      </c>
      <c r="C56" t="s">
        <v>2033</v>
      </c>
      <c r="D56" t="s">
        <v>1008</v>
      </c>
      <c r="E56" t="s">
        <v>2089</v>
      </c>
      <c r="F56" t="s">
        <v>2144</v>
      </c>
      <c r="G56">
        <v>11.5</v>
      </c>
      <c r="H56">
        <v>0</v>
      </c>
      <c r="I56">
        <v>0</v>
      </c>
      <c r="J56">
        <v>8</v>
      </c>
      <c r="K56">
        <v>92</v>
      </c>
      <c r="L56">
        <v>9</v>
      </c>
      <c r="M56">
        <v>108</v>
      </c>
      <c r="N56">
        <v>0</v>
      </c>
      <c r="O56">
        <v>0</v>
      </c>
      <c r="P56" s="2">
        <f>(H56 + J56) - (L56 + N56)</f>
        <v>0</v>
      </c>
      <c r="Q56" s="2">
        <f>P56 * G56</f>
        <v>0</v>
      </c>
      <c r="R56">
        <v>0</v>
      </c>
      <c r="S56" s="2">
        <f>R56 * G56</f>
        <v>0</v>
      </c>
      <c r="T56" s="2">
        <f>(H56 + J56) - (L56 + N56) - R56</f>
        <v>0</v>
      </c>
      <c r="U56" s="2">
        <f>T56 * G56</f>
        <v>0</v>
      </c>
      <c r="V56" s="2">
        <f>I56 + K56 - S56</f>
        <v>0</v>
      </c>
      <c r="W56" s="2">
        <f>M56 - V56</f>
        <v>0</v>
      </c>
      <c r="X56" s="2">
        <f>IFERROR(W56 / M56 * 100, 0)</f>
        <v>0</v>
      </c>
    </row>
    <row r="57" spans="1:24">
      <c r="A57" t="s">
        <v>1924</v>
      </c>
      <c r="B57" t="s">
        <v>512</v>
      </c>
      <c r="C57" t="s">
        <v>2034</v>
      </c>
      <c r="D57" t="s">
        <v>1008</v>
      </c>
      <c r="E57" t="s">
        <v>2089</v>
      </c>
      <c r="F57" t="s">
        <v>2145</v>
      </c>
      <c r="G57">
        <v>8.5</v>
      </c>
      <c r="H57">
        <v>0</v>
      </c>
      <c r="I57">
        <v>0</v>
      </c>
      <c r="J57">
        <v>26</v>
      </c>
      <c r="K57">
        <v>221</v>
      </c>
      <c r="L57">
        <v>26</v>
      </c>
      <c r="M57">
        <v>234</v>
      </c>
      <c r="N57">
        <v>0</v>
      </c>
      <c r="O57">
        <v>0</v>
      </c>
      <c r="P57" s="2">
        <f>(H57 + J57) - (L57 + N57)</f>
        <v>0</v>
      </c>
      <c r="Q57" s="2">
        <f>P57 * G57</f>
        <v>0</v>
      </c>
      <c r="R57">
        <v>0</v>
      </c>
      <c r="S57" s="2">
        <f>R57 * G57</f>
        <v>0</v>
      </c>
      <c r="T57" s="2">
        <f>(H57 + J57) - (L57 + N57) - R57</f>
        <v>0</v>
      </c>
      <c r="U57" s="2">
        <f>T57 * G57</f>
        <v>0</v>
      </c>
      <c r="V57" s="2">
        <f>I57 + K57 - S57</f>
        <v>0</v>
      </c>
      <c r="W57" s="2">
        <f>M57 - V57</f>
        <v>0</v>
      </c>
      <c r="X57" s="2">
        <f>IFERROR(W57 / M57 * 100, 0)</f>
        <v>0</v>
      </c>
    </row>
    <row r="58" spans="1:24">
      <c r="A58" t="s">
        <v>1925</v>
      </c>
      <c r="B58" t="s">
        <v>512</v>
      </c>
      <c r="C58" t="s">
        <v>2035</v>
      </c>
      <c r="D58" t="s">
        <v>1008</v>
      </c>
      <c r="E58" t="s">
        <v>2089</v>
      </c>
      <c r="F58" t="s">
        <v>2146</v>
      </c>
      <c r="G58">
        <v>10</v>
      </c>
      <c r="H58">
        <v>0</v>
      </c>
      <c r="I58">
        <v>0</v>
      </c>
      <c r="J58">
        <v>58</v>
      </c>
      <c r="K58">
        <v>580</v>
      </c>
      <c r="L58">
        <v>58</v>
      </c>
      <c r="M58">
        <v>609</v>
      </c>
      <c r="N58">
        <v>0</v>
      </c>
      <c r="O58">
        <v>0</v>
      </c>
      <c r="P58" s="2">
        <f>(H58 + J58) - (L58 + N58)</f>
        <v>0</v>
      </c>
      <c r="Q58" s="2">
        <f>P58 * G58</f>
        <v>0</v>
      </c>
      <c r="R58">
        <v>0</v>
      </c>
      <c r="S58" s="2">
        <f>R58 * G58</f>
        <v>0</v>
      </c>
      <c r="T58" s="2">
        <f>(H58 + J58) - (L58 + N58) - R58</f>
        <v>0</v>
      </c>
      <c r="U58" s="2">
        <f>T58 * G58</f>
        <v>0</v>
      </c>
      <c r="V58" s="2">
        <f>I58 + K58 - S58</f>
        <v>0</v>
      </c>
      <c r="W58" s="2">
        <f>M58 - V58</f>
        <v>0</v>
      </c>
      <c r="X58" s="2">
        <f>IFERROR(W58 / M58 * 100, 0)</f>
        <v>0</v>
      </c>
    </row>
    <row r="59" spans="1:24">
      <c r="A59" t="s">
        <v>1926</v>
      </c>
      <c r="B59" t="s">
        <v>512</v>
      </c>
      <c r="C59" t="s">
        <v>2036</v>
      </c>
      <c r="D59" t="s">
        <v>1008</v>
      </c>
      <c r="E59" t="s">
        <v>2089</v>
      </c>
      <c r="F59" t="s">
        <v>2147</v>
      </c>
      <c r="G59">
        <v>12.5</v>
      </c>
      <c r="H59">
        <v>2</v>
      </c>
      <c r="I59">
        <v>25</v>
      </c>
      <c r="J59">
        <v>55</v>
      </c>
      <c r="K59">
        <v>687.5</v>
      </c>
      <c r="L59">
        <v>57</v>
      </c>
      <c r="M59">
        <v>726.75</v>
      </c>
      <c r="N59">
        <v>0</v>
      </c>
      <c r="O59">
        <v>0</v>
      </c>
      <c r="P59" s="2">
        <f>(H59 + J59) - (L59 + N59)</f>
        <v>0</v>
      </c>
      <c r="Q59" s="2">
        <f>P59 * G59</f>
        <v>0</v>
      </c>
      <c r="R59">
        <v>0</v>
      </c>
      <c r="S59" s="2">
        <f>R59 * G59</f>
        <v>0</v>
      </c>
      <c r="T59" s="2">
        <f>(H59 + J59) - (L59 + N59) - R59</f>
        <v>0</v>
      </c>
      <c r="U59" s="2">
        <f>T59 * G59</f>
        <v>0</v>
      </c>
      <c r="V59" s="2">
        <f>I59 + K59 - S59</f>
        <v>0</v>
      </c>
      <c r="W59" s="2">
        <f>M59 - V59</f>
        <v>0</v>
      </c>
      <c r="X59" s="2">
        <f>IFERROR(W59 / M59 * 100, 0)</f>
        <v>0</v>
      </c>
    </row>
    <row r="60" spans="1:24">
      <c r="A60" t="s">
        <v>1927</v>
      </c>
      <c r="B60" t="s">
        <v>512</v>
      </c>
      <c r="C60" t="s">
        <v>2037</v>
      </c>
      <c r="D60" t="s">
        <v>1008</v>
      </c>
      <c r="E60" t="s">
        <v>2089</v>
      </c>
      <c r="F60" t="s">
        <v>2148</v>
      </c>
      <c r="G60">
        <v>14</v>
      </c>
      <c r="H60">
        <v>0</v>
      </c>
      <c r="I60">
        <v>0</v>
      </c>
      <c r="J60">
        <v>12</v>
      </c>
      <c r="K60">
        <v>168</v>
      </c>
      <c r="L60">
        <v>12</v>
      </c>
      <c r="M60">
        <v>168</v>
      </c>
      <c r="N60">
        <v>0</v>
      </c>
      <c r="O60">
        <v>0</v>
      </c>
      <c r="P60" s="2">
        <f>(H60 + J60) - (L60 + N60)</f>
        <v>0</v>
      </c>
      <c r="Q60" s="2">
        <f>P60 * G60</f>
        <v>0</v>
      </c>
      <c r="R60">
        <v>0</v>
      </c>
      <c r="S60" s="2">
        <f>R60 * G60</f>
        <v>0</v>
      </c>
      <c r="T60" s="2">
        <f>(H60 + J60) - (L60 + N60) - R60</f>
        <v>0</v>
      </c>
      <c r="U60" s="2">
        <f>T60 * G60</f>
        <v>0</v>
      </c>
      <c r="V60" s="2">
        <f>I60 + K60 - S60</f>
        <v>0</v>
      </c>
      <c r="W60" s="2">
        <f>M60 - V60</f>
        <v>0</v>
      </c>
      <c r="X60" s="2">
        <f>IFERROR(W60 / M60 * 100, 0)</f>
        <v>0</v>
      </c>
    </row>
    <row r="61" spans="1:24">
      <c r="A61" t="s">
        <v>1928</v>
      </c>
      <c r="B61" t="s">
        <v>512</v>
      </c>
      <c r="C61" t="s">
        <v>2038</v>
      </c>
      <c r="D61" t="s">
        <v>1008</v>
      </c>
      <c r="E61" t="s">
        <v>2089</v>
      </c>
      <c r="F61" t="s">
        <v>2149</v>
      </c>
      <c r="G61">
        <v>20</v>
      </c>
      <c r="H61">
        <v>0</v>
      </c>
      <c r="I61">
        <v>0</v>
      </c>
      <c r="J61">
        <v>7</v>
      </c>
      <c r="K61">
        <v>140</v>
      </c>
      <c r="L61">
        <v>7</v>
      </c>
      <c r="M61">
        <v>145.5</v>
      </c>
      <c r="N61">
        <v>0</v>
      </c>
      <c r="O61">
        <v>0</v>
      </c>
      <c r="P61" s="2">
        <f>(H61 + J61) - (L61 + N61)</f>
        <v>0</v>
      </c>
      <c r="Q61" s="2">
        <f>P61 * G61</f>
        <v>0</v>
      </c>
      <c r="R61">
        <v>0</v>
      </c>
      <c r="S61" s="2">
        <f>R61 * G61</f>
        <v>0</v>
      </c>
      <c r="T61" s="2">
        <f>(H61 + J61) - (L61 + N61) - R61</f>
        <v>0</v>
      </c>
      <c r="U61" s="2">
        <f>T61 * G61</f>
        <v>0</v>
      </c>
      <c r="V61" s="2">
        <f>I61 + K61 - S61</f>
        <v>0</v>
      </c>
      <c r="W61" s="2">
        <f>M61 - V61</f>
        <v>0</v>
      </c>
      <c r="X61" s="2">
        <f>IFERROR(W61 / M61 * 100, 0)</f>
        <v>0</v>
      </c>
    </row>
    <row r="62" spans="1:24">
      <c r="A62" t="s">
        <v>1929</v>
      </c>
      <c r="B62" t="s">
        <v>512</v>
      </c>
      <c r="C62" t="s">
        <v>2039</v>
      </c>
      <c r="D62" t="s">
        <v>1008</v>
      </c>
      <c r="E62" t="s">
        <v>2089</v>
      </c>
      <c r="F62" t="s">
        <v>2150</v>
      </c>
      <c r="G62">
        <v>16.25</v>
      </c>
      <c r="H62">
        <v>6</v>
      </c>
      <c r="I62">
        <v>97.5</v>
      </c>
      <c r="J62">
        <v>36</v>
      </c>
      <c r="K62">
        <v>585</v>
      </c>
      <c r="L62">
        <v>42</v>
      </c>
      <c r="M62">
        <v>703.5</v>
      </c>
      <c r="N62">
        <v>0</v>
      </c>
      <c r="O62">
        <v>0</v>
      </c>
      <c r="P62" s="2">
        <f>(H62 + J62) - (L62 + N62)</f>
        <v>0</v>
      </c>
      <c r="Q62" s="2">
        <f>P62 * G62</f>
        <v>0</v>
      </c>
      <c r="R62">
        <v>0</v>
      </c>
      <c r="S62" s="2">
        <f>R62 * G62</f>
        <v>0</v>
      </c>
      <c r="T62" s="2">
        <f>(H62 + J62) - (L62 + N62) - R62</f>
        <v>0</v>
      </c>
      <c r="U62" s="2">
        <f>T62 * G62</f>
        <v>0</v>
      </c>
      <c r="V62" s="2">
        <f>I62 + K62 - S62</f>
        <v>0</v>
      </c>
      <c r="W62" s="2">
        <f>M62 - V62</f>
        <v>0</v>
      </c>
      <c r="X62" s="2">
        <f>IFERROR(W62 / M62 * 100, 0)</f>
        <v>0</v>
      </c>
    </row>
    <row r="63" spans="1:24">
      <c r="A63" t="s">
        <v>1930</v>
      </c>
      <c r="B63" t="s">
        <v>512</v>
      </c>
      <c r="C63" t="s">
        <v>2040</v>
      </c>
      <c r="D63" t="s">
        <v>1008</v>
      </c>
      <c r="E63" t="s">
        <v>2089</v>
      </c>
      <c r="F63" t="s">
        <v>2151</v>
      </c>
      <c r="G63">
        <v>17.75</v>
      </c>
      <c r="H63">
        <v>1</v>
      </c>
      <c r="I63">
        <v>17.75</v>
      </c>
      <c r="J63">
        <v>18</v>
      </c>
      <c r="K63">
        <v>319.5</v>
      </c>
      <c r="L63">
        <v>19</v>
      </c>
      <c r="M63">
        <v>346.75</v>
      </c>
      <c r="N63">
        <v>0</v>
      </c>
      <c r="O63">
        <v>0</v>
      </c>
      <c r="P63" s="2">
        <f>(H63 + J63) - (L63 + N63)</f>
        <v>0</v>
      </c>
      <c r="Q63" s="2">
        <f>P63 * G63</f>
        <v>0</v>
      </c>
      <c r="R63">
        <v>0</v>
      </c>
      <c r="S63" s="2">
        <f>R63 * G63</f>
        <v>0</v>
      </c>
      <c r="T63" s="2">
        <f>(H63 + J63) - (L63 + N63) - R63</f>
        <v>0</v>
      </c>
      <c r="U63" s="2">
        <f>T63 * G63</f>
        <v>0</v>
      </c>
      <c r="V63" s="2">
        <f>I63 + K63 - S63</f>
        <v>0</v>
      </c>
      <c r="W63" s="2">
        <f>M63 - V63</f>
        <v>0</v>
      </c>
      <c r="X63" s="2">
        <f>IFERROR(W63 / M63 * 100, 0)</f>
        <v>0</v>
      </c>
    </row>
    <row r="64" spans="1:24">
      <c r="A64" t="s">
        <v>1931</v>
      </c>
      <c r="B64" t="s">
        <v>512</v>
      </c>
      <c r="C64" t="s">
        <v>2041</v>
      </c>
      <c r="D64" t="s">
        <v>1008</v>
      </c>
      <c r="E64" t="s">
        <v>2089</v>
      </c>
      <c r="F64" t="s">
        <v>2152</v>
      </c>
      <c r="G64">
        <v>10</v>
      </c>
      <c r="H64">
        <v>24</v>
      </c>
      <c r="I64">
        <v>239.66</v>
      </c>
      <c r="J64">
        <v>409</v>
      </c>
      <c r="K64">
        <v>4090</v>
      </c>
      <c r="L64">
        <v>424</v>
      </c>
      <c r="M64">
        <v>4452</v>
      </c>
      <c r="N64">
        <v>0</v>
      </c>
      <c r="O64">
        <v>0</v>
      </c>
      <c r="P64" s="2">
        <f>(H64 + J64) - (L64 + N64)</f>
        <v>0</v>
      </c>
      <c r="Q64" s="2">
        <f>P64 * G64</f>
        <v>0</v>
      </c>
      <c r="R64">
        <v>9</v>
      </c>
      <c r="S64" s="2">
        <f>R64 * G64</f>
        <v>0</v>
      </c>
      <c r="T64" s="2">
        <f>(H64 + J64) - (L64 + N64) - R64</f>
        <v>0</v>
      </c>
      <c r="U64" s="2">
        <f>T64 * G64</f>
        <v>0</v>
      </c>
      <c r="V64" s="2">
        <f>I64 + K64 - S64</f>
        <v>0</v>
      </c>
      <c r="W64" s="2">
        <f>M64 - V64</f>
        <v>0</v>
      </c>
      <c r="X64" s="2">
        <f>IFERROR(W64 / M64 * 100, 0)</f>
        <v>0</v>
      </c>
    </row>
    <row r="65" spans="1:24">
      <c r="A65" t="s">
        <v>1932</v>
      </c>
      <c r="B65" t="s">
        <v>512</v>
      </c>
      <c r="C65" t="s">
        <v>2042</v>
      </c>
      <c r="D65" t="s">
        <v>1008</v>
      </c>
      <c r="E65" t="s">
        <v>2089</v>
      </c>
      <c r="F65" t="s">
        <v>2153</v>
      </c>
      <c r="G65">
        <v>12.5</v>
      </c>
      <c r="H65">
        <v>0</v>
      </c>
      <c r="I65">
        <v>0</v>
      </c>
      <c r="J65">
        <v>50</v>
      </c>
      <c r="K65">
        <v>625</v>
      </c>
      <c r="L65">
        <v>50</v>
      </c>
      <c r="M65">
        <v>650</v>
      </c>
      <c r="N65">
        <v>0</v>
      </c>
      <c r="O65">
        <v>0</v>
      </c>
      <c r="P65" s="2">
        <f>(H65 + J65) - (L65 + N65)</f>
        <v>0</v>
      </c>
      <c r="Q65" s="2">
        <f>P65 * G65</f>
        <v>0</v>
      </c>
      <c r="R65">
        <v>0</v>
      </c>
      <c r="S65" s="2">
        <f>R65 * G65</f>
        <v>0</v>
      </c>
      <c r="T65" s="2">
        <f>(H65 + J65) - (L65 + N65) - R65</f>
        <v>0</v>
      </c>
      <c r="U65" s="2">
        <f>T65 * G65</f>
        <v>0</v>
      </c>
      <c r="V65" s="2">
        <f>I65 + K65 - S65</f>
        <v>0</v>
      </c>
      <c r="W65" s="2">
        <f>M65 - V65</f>
        <v>0</v>
      </c>
      <c r="X65" s="2">
        <f>IFERROR(W65 / M65 * 100, 0)</f>
        <v>0</v>
      </c>
    </row>
    <row r="66" spans="1:24">
      <c r="A66" t="s">
        <v>1933</v>
      </c>
      <c r="B66" t="s">
        <v>512</v>
      </c>
      <c r="C66" t="s">
        <v>2043</v>
      </c>
      <c r="D66" t="s">
        <v>1008</v>
      </c>
      <c r="E66" t="s">
        <v>2089</v>
      </c>
      <c r="F66" t="s">
        <v>2154</v>
      </c>
      <c r="G66">
        <v>5.5</v>
      </c>
      <c r="H66">
        <v>0</v>
      </c>
      <c r="I66">
        <v>0</v>
      </c>
      <c r="J66">
        <v>17</v>
      </c>
      <c r="K66">
        <v>93.5</v>
      </c>
      <c r="L66">
        <v>17</v>
      </c>
      <c r="M66">
        <v>97.75</v>
      </c>
      <c r="N66">
        <v>0</v>
      </c>
      <c r="O66">
        <v>0</v>
      </c>
      <c r="P66" s="2">
        <f>(H66 + J66) - (L66 + N66)</f>
        <v>0</v>
      </c>
      <c r="Q66" s="2">
        <f>P66 * G66</f>
        <v>0</v>
      </c>
      <c r="R66">
        <v>0</v>
      </c>
      <c r="S66" s="2">
        <f>R66 * G66</f>
        <v>0</v>
      </c>
      <c r="T66" s="2">
        <f>(H66 + J66) - (L66 + N66) - R66</f>
        <v>0</v>
      </c>
      <c r="U66" s="2">
        <f>T66 * G66</f>
        <v>0</v>
      </c>
      <c r="V66" s="2">
        <f>I66 + K66 - S66</f>
        <v>0</v>
      </c>
      <c r="W66" s="2">
        <f>M66 - V66</f>
        <v>0</v>
      </c>
      <c r="X66" s="2">
        <f>IFERROR(W66 / M66 * 100, 0)</f>
        <v>0</v>
      </c>
    </row>
    <row r="67" spans="1:24">
      <c r="A67" t="s">
        <v>1934</v>
      </c>
      <c r="B67" t="s">
        <v>512</v>
      </c>
      <c r="C67" t="s">
        <v>2044</v>
      </c>
      <c r="D67" t="s">
        <v>1008</v>
      </c>
      <c r="E67" t="s">
        <v>2089</v>
      </c>
      <c r="F67" t="s">
        <v>2155</v>
      </c>
      <c r="G67">
        <v>11</v>
      </c>
      <c r="H67">
        <v>0</v>
      </c>
      <c r="I67">
        <v>0</v>
      </c>
      <c r="J67">
        <v>29</v>
      </c>
      <c r="K67">
        <v>319</v>
      </c>
      <c r="L67">
        <v>29</v>
      </c>
      <c r="M67">
        <v>333.5</v>
      </c>
      <c r="N67">
        <v>0</v>
      </c>
      <c r="O67">
        <v>0</v>
      </c>
      <c r="P67" s="2">
        <f>(H67 + J67) - (L67 + N67)</f>
        <v>0</v>
      </c>
      <c r="Q67" s="2">
        <f>P67 * G67</f>
        <v>0</v>
      </c>
      <c r="R67">
        <v>0</v>
      </c>
      <c r="S67" s="2">
        <f>R67 * G67</f>
        <v>0</v>
      </c>
      <c r="T67" s="2">
        <f>(H67 + J67) - (L67 + N67) - R67</f>
        <v>0</v>
      </c>
      <c r="U67" s="2">
        <f>T67 * G67</f>
        <v>0</v>
      </c>
      <c r="V67" s="2">
        <f>I67 + K67 - S67</f>
        <v>0</v>
      </c>
      <c r="W67" s="2">
        <f>M67 - V67</f>
        <v>0</v>
      </c>
      <c r="X67" s="2">
        <f>IFERROR(W67 / M67 * 100, 0)</f>
        <v>0</v>
      </c>
    </row>
    <row r="68" spans="1:24">
      <c r="A68" t="s">
        <v>1935</v>
      </c>
      <c r="B68" t="s">
        <v>512</v>
      </c>
      <c r="C68" t="s">
        <v>2045</v>
      </c>
      <c r="D68" t="s">
        <v>1008</v>
      </c>
      <c r="E68" t="s">
        <v>2089</v>
      </c>
      <c r="F68" t="s">
        <v>2156</v>
      </c>
      <c r="G68">
        <v>14</v>
      </c>
      <c r="H68">
        <v>0</v>
      </c>
      <c r="I68">
        <v>0</v>
      </c>
      <c r="J68">
        <v>24</v>
      </c>
      <c r="K68">
        <v>336</v>
      </c>
      <c r="L68">
        <v>24</v>
      </c>
      <c r="M68">
        <v>348</v>
      </c>
      <c r="N68">
        <v>0</v>
      </c>
      <c r="O68">
        <v>0</v>
      </c>
      <c r="P68" s="2">
        <f>(H68 + J68) - (L68 + N68)</f>
        <v>0</v>
      </c>
      <c r="Q68" s="2">
        <f>P68 * G68</f>
        <v>0</v>
      </c>
      <c r="R68">
        <v>0</v>
      </c>
      <c r="S68" s="2">
        <f>R68 * G68</f>
        <v>0</v>
      </c>
      <c r="T68" s="2">
        <f>(H68 + J68) - (L68 + N68) - R68</f>
        <v>0</v>
      </c>
      <c r="U68" s="2">
        <f>T68 * G68</f>
        <v>0</v>
      </c>
      <c r="V68" s="2">
        <f>I68 + K68 - S68</f>
        <v>0</v>
      </c>
      <c r="W68" s="2">
        <f>M68 - V68</f>
        <v>0</v>
      </c>
      <c r="X68" s="2">
        <f>IFERROR(W68 / M68 * 100, 0)</f>
        <v>0</v>
      </c>
    </row>
    <row r="69" spans="1:24">
      <c r="A69" t="s">
        <v>1936</v>
      </c>
      <c r="B69" t="s">
        <v>512</v>
      </c>
      <c r="C69" t="s">
        <v>2046</v>
      </c>
      <c r="D69" t="s">
        <v>1008</v>
      </c>
      <c r="E69" t="s">
        <v>2089</v>
      </c>
      <c r="F69" t="s">
        <v>2157</v>
      </c>
      <c r="G69">
        <v>14</v>
      </c>
      <c r="H69">
        <v>16</v>
      </c>
      <c r="I69">
        <v>224</v>
      </c>
      <c r="J69">
        <v>231</v>
      </c>
      <c r="K69">
        <v>3234</v>
      </c>
      <c r="L69">
        <v>226</v>
      </c>
      <c r="M69">
        <v>3390</v>
      </c>
      <c r="N69">
        <v>0</v>
      </c>
      <c r="O69">
        <v>0</v>
      </c>
      <c r="P69" s="2">
        <f>(H69 + J69) - (L69 + N69)</f>
        <v>0</v>
      </c>
      <c r="Q69" s="2">
        <f>P69 * G69</f>
        <v>0</v>
      </c>
      <c r="R69">
        <v>20</v>
      </c>
      <c r="S69" s="2">
        <f>R69 * G69</f>
        <v>0</v>
      </c>
      <c r="T69" s="2">
        <f>(H69 + J69) - (L69 + N69) - R69</f>
        <v>0</v>
      </c>
      <c r="U69" s="2">
        <f>T69 * G69</f>
        <v>0</v>
      </c>
      <c r="V69" s="2">
        <f>I69 + K69 - S69</f>
        <v>0</v>
      </c>
      <c r="W69" s="2">
        <f>M69 - V69</f>
        <v>0</v>
      </c>
      <c r="X69" s="2">
        <f>IFERROR(W69 / M69 * 100, 0)</f>
        <v>0</v>
      </c>
    </row>
    <row r="70" spans="1:24">
      <c r="A70" t="s">
        <v>1937</v>
      </c>
      <c r="B70" t="s">
        <v>512</v>
      </c>
      <c r="C70" t="s">
        <v>2047</v>
      </c>
      <c r="D70" t="s">
        <v>1008</v>
      </c>
      <c r="E70" t="s">
        <v>2089</v>
      </c>
      <c r="F70" t="s">
        <v>2158</v>
      </c>
      <c r="G70">
        <v>14.5</v>
      </c>
      <c r="H70">
        <v>20</v>
      </c>
      <c r="I70">
        <v>290</v>
      </c>
      <c r="J70">
        <v>218</v>
      </c>
      <c r="K70">
        <v>3161</v>
      </c>
      <c r="L70">
        <v>217</v>
      </c>
      <c r="M70">
        <v>3363.5</v>
      </c>
      <c r="N70">
        <v>0</v>
      </c>
      <c r="O70">
        <v>0</v>
      </c>
      <c r="P70" s="2">
        <f>(H70 + J70) - (L70 + N70)</f>
        <v>0</v>
      </c>
      <c r="Q70" s="2">
        <f>P70 * G70</f>
        <v>0</v>
      </c>
      <c r="R70">
        <v>22</v>
      </c>
      <c r="S70" s="2">
        <f>R70 * G70</f>
        <v>0</v>
      </c>
      <c r="T70" s="2">
        <f>(H70 + J70) - (L70 + N70) - R70</f>
        <v>0</v>
      </c>
      <c r="U70" s="2">
        <f>T70 * G70</f>
        <v>0</v>
      </c>
      <c r="V70" s="2">
        <f>I70 + K70 - S70</f>
        <v>0</v>
      </c>
      <c r="W70" s="2">
        <f>M70 - V70</f>
        <v>0</v>
      </c>
      <c r="X70" s="2">
        <f>IFERROR(W70 / M70 * 100, 0)</f>
        <v>0</v>
      </c>
    </row>
    <row r="71" spans="1:24">
      <c r="A71" t="s">
        <v>1938</v>
      </c>
      <c r="B71" t="s">
        <v>512</v>
      </c>
      <c r="C71" t="s">
        <v>2048</v>
      </c>
      <c r="D71" t="s">
        <v>1007</v>
      </c>
      <c r="E71" t="s">
        <v>2089</v>
      </c>
      <c r="F71" t="s">
        <v>2159</v>
      </c>
      <c r="G71">
        <v>36</v>
      </c>
      <c r="H71">
        <v>0</v>
      </c>
      <c r="I71">
        <v>0</v>
      </c>
      <c r="J71">
        <v>17.03</v>
      </c>
      <c r="K71">
        <v>613.08</v>
      </c>
      <c r="L71">
        <v>0</v>
      </c>
      <c r="M71">
        <v>0</v>
      </c>
      <c r="N71">
        <v>0</v>
      </c>
      <c r="O71">
        <v>0</v>
      </c>
      <c r="P71" s="2">
        <f>(H71 + J71) - (L71 + N71)</f>
        <v>0</v>
      </c>
      <c r="Q71" s="2">
        <f>P71 * G71</f>
        <v>0</v>
      </c>
      <c r="R71">
        <v>15.37</v>
      </c>
      <c r="S71" s="2">
        <f>R71 * G71</f>
        <v>0</v>
      </c>
      <c r="T71" s="2">
        <f>(H71 + J71) - (L71 + N71) - R71</f>
        <v>0</v>
      </c>
      <c r="U71" s="2">
        <f>T71 * G71</f>
        <v>0</v>
      </c>
      <c r="V71" s="2">
        <f>I71 + K71 - S71</f>
        <v>0</v>
      </c>
      <c r="W71" s="2">
        <f>M71 - V71</f>
        <v>0</v>
      </c>
      <c r="X71" s="2">
        <f>IFERROR(W71 / M71 * 100, 0)</f>
        <v>0</v>
      </c>
    </row>
    <row r="72" spans="1:24">
      <c r="A72" t="s">
        <v>1939</v>
      </c>
      <c r="B72" t="s">
        <v>512</v>
      </c>
      <c r="C72" t="s">
        <v>2049</v>
      </c>
      <c r="D72" t="s">
        <v>1007</v>
      </c>
      <c r="E72" t="s">
        <v>2089</v>
      </c>
      <c r="F72" t="s">
        <v>2160</v>
      </c>
      <c r="G72">
        <v>36</v>
      </c>
      <c r="H72">
        <v>1.4</v>
      </c>
      <c r="I72">
        <v>47.77</v>
      </c>
      <c r="J72">
        <v>288.23</v>
      </c>
      <c r="K72">
        <v>10083.82</v>
      </c>
      <c r="L72">
        <v>287.89</v>
      </c>
      <c r="M72">
        <v>11544.04</v>
      </c>
      <c r="N72">
        <v>3.5</v>
      </c>
      <c r="O72">
        <v>123.74</v>
      </c>
      <c r="P72" s="2">
        <f>(H72 + J72) - (L72 + N72)</f>
        <v>0</v>
      </c>
      <c r="Q72" s="2">
        <f>P72 * G72</f>
        <v>0</v>
      </c>
      <c r="R72">
        <v>0</v>
      </c>
      <c r="S72" s="2">
        <f>R72 * G72</f>
        <v>0</v>
      </c>
      <c r="T72" s="2">
        <f>(H72 + J72) - (L72 + N72) - R72</f>
        <v>0</v>
      </c>
      <c r="U72" s="2">
        <f>T72 * G72</f>
        <v>0</v>
      </c>
      <c r="V72" s="2">
        <f>I72 + K72 - S72</f>
        <v>0</v>
      </c>
      <c r="W72" s="2">
        <f>M72 - V72</f>
        <v>0</v>
      </c>
      <c r="X72" s="2">
        <f>IFERROR(W72 / M72 * 100, 0)</f>
        <v>0</v>
      </c>
    </row>
    <row r="73" spans="1:24">
      <c r="A73" t="s">
        <v>1940</v>
      </c>
      <c r="B73" t="s">
        <v>512</v>
      </c>
      <c r="C73" t="s">
        <v>2050</v>
      </c>
      <c r="D73" t="s">
        <v>1007</v>
      </c>
      <c r="E73" t="s">
        <v>2089</v>
      </c>
      <c r="F73" t="s">
        <v>2161</v>
      </c>
      <c r="G73">
        <v>41.44</v>
      </c>
      <c r="H73">
        <v>0</v>
      </c>
      <c r="I73">
        <v>0</v>
      </c>
      <c r="J73">
        <v>4</v>
      </c>
      <c r="K73">
        <v>90.65000000000001</v>
      </c>
      <c r="L73">
        <v>3.74</v>
      </c>
      <c r="M73">
        <v>157.08</v>
      </c>
      <c r="N73">
        <v>0</v>
      </c>
      <c r="O73">
        <v>0</v>
      </c>
      <c r="P73" s="2">
        <f>(H73 + J73) - (L73 + N73)</f>
        <v>0</v>
      </c>
      <c r="Q73" s="2">
        <f>P73 * G73</f>
        <v>0</v>
      </c>
      <c r="R73">
        <v>0</v>
      </c>
      <c r="S73" s="2">
        <f>R73 * G73</f>
        <v>0</v>
      </c>
      <c r="T73" s="2">
        <f>(H73 + J73) - (L73 + N73) - R73</f>
        <v>0</v>
      </c>
      <c r="U73" s="2">
        <f>T73 * G73</f>
        <v>0</v>
      </c>
      <c r="V73" s="2">
        <f>I73 + K73 - S73</f>
        <v>0</v>
      </c>
      <c r="W73" s="2">
        <f>M73 - V73</f>
        <v>0</v>
      </c>
      <c r="X73" s="2">
        <f>IFERROR(W73 / M73 * 100, 0)</f>
        <v>0</v>
      </c>
    </row>
    <row r="74" spans="1:24">
      <c r="A74" t="s">
        <v>1941</v>
      </c>
      <c r="B74" t="s">
        <v>512</v>
      </c>
      <c r="C74" t="s">
        <v>2051</v>
      </c>
      <c r="D74" t="s">
        <v>1007</v>
      </c>
      <c r="E74" t="s">
        <v>2089</v>
      </c>
      <c r="F74" t="s">
        <v>2162</v>
      </c>
      <c r="G74">
        <v>41.64</v>
      </c>
      <c r="H74">
        <v>37.16</v>
      </c>
      <c r="I74">
        <v>1476.4</v>
      </c>
      <c r="J74">
        <v>1622.9</v>
      </c>
      <c r="K74">
        <v>66137.19</v>
      </c>
      <c r="L74">
        <v>507.71</v>
      </c>
      <c r="M74">
        <v>22028.36</v>
      </c>
      <c r="N74">
        <v>17</v>
      </c>
      <c r="O74">
        <v>686.7</v>
      </c>
      <c r="P74" s="2">
        <f>(H74 + J74) - (L74 + N74)</f>
        <v>0</v>
      </c>
      <c r="Q74" s="2">
        <f>P74 * G74</f>
        <v>0</v>
      </c>
      <c r="R74">
        <v>88.59</v>
      </c>
      <c r="S74" s="2">
        <f>R74 * G74</f>
        <v>0</v>
      </c>
      <c r="T74" s="2">
        <f>(H74 + J74) - (L74 + N74) - R74</f>
        <v>0</v>
      </c>
      <c r="U74" s="2">
        <f>T74 * G74</f>
        <v>0</v>
      </c>
      <c r="V74" s="2">
        <f>I74 + K74 - S74</f>
        <v>0</v>
      </c>
      <c r="W74" s="2">
        <f>M74 - V74</f>
        <v>0</v>
      </c>
      <c r="X74" s="2">
        <f>IFERROR(W74 / M74 * 100, 0)</f>
        <v>0</v>
      </c>
    </row>
    <row r="75" spans="1:24">
      <c r="A75" t="s">
        <v>1942</v>
      </c>
      <c r="B75" t="s">
        <v>512</v>
      </c>
      <c r="C75" t="s">
        <v>2052</v>
      </c>
      <c r="D75" t="s">
        <v>1007</v>
      </c>
      <c r="E75" t="s">
        <v>2089</v>
      </c>
      <c r="F75" t="s">
        <v>2163</v>
      </c>
      <c r="G75">
        <v>41.64</v>
      </c>
      <c r="H75">
        <v>0</v>
      </c>
      <c r="I75">
        <v>0</v>
      </c>
      <c r="J75">
        <v>0</v>
      </c>
      <c r="K75">
        <v>0</v>
      </c>
      <c r="L75">
        <v>557.58</v>
      </c>
      <c r="M75">
        <v>25356.58</v>
      </c>
      <c r="N75">
        <v>0</v>
      </c>
      <c r="O75">
        <v>0</v>
      </c>
      <c r="P75" s="2">
        <f>(H75 + J75) - (L75 + N75)</f>
        <v>0</v>
      </c>
      <c r="Q75" s="2">
        <f>P75 * G75</f>
        <v>0</v>
      </c>
      <c r="R75">
        <v>0</v>
      </c>
      <c r="S75" s="2">
        <f>R75 * G75</f>
        <v>0</v>
      </c>
      <c r="T75" s="2">
        <f>(H75 + J75) - (L75 + N75) - R75</f>
        <v>0</v>
      </c>
      <c r="U75" s="2">
        <f>T75 * G75</f>
        <v>0</v>
      </c>
      <c r="V75" s="2">
        <f>I75 + K75 - S75</f>
        <v>0</v>
      </c>
      <c r="W75" s="2">
        <f>M75 - V75</f>
        <v>0</v>
      </c>
      <c r="X75" s="2">
        <f>IFERROR(W75 / M75 * 100, 0)</f>
        <v>0</v>
      </c>
    </row>
    <row r="76" spans="1:24">
      <c r="A76" t="s">
        <v>1943</v>
      </c>
      <c r="B76" t="s">
        <v>512</v>
      </c>
      <c r="C76" t="s">
        <v>2053</v>
      </c>
      <c r="D76" t="s">
        <v>1007</v>
      </c>
      <c r="E76" t="s">
        <v>2089</v>
      </c>
      <c r="F76" t="s">
        <v>2164</v>
      </c>
      <c r="G76">
        <v>18</v>
      </c>
      <c r="H76">
        <v>0</v>
      </c>
      <c r="I76">
        <v>0</v>
      </c>
      <c r="J76">
        <v>0</v>
      </c>
      <c r="K76">
        <v>0</v>
      </c>
      <c r="L76">
        <v>0.31</v>
      </c>
      <c r="M76">
        <v>10.07</v>
      </c>
      <c r="N76">
        <v>0</v>
      </c>
      <c r="O76">
        <v>0</v>
      </c>
      <c r="P76" s="2">
        <f>(H76 + J76) - (L76 + N76)</f>
        <v>0</v>
      </c>
      <c r="Q76" s="2">
        <f>P76 * G76</f>
        <v>0</v>
      </c>
      <c r="R76">
        <v>0</v>
      </c>
      <c r="S76" s="2">
        <f>R76 * G76</f>
        <v>0</v>
      </c>
      <c r="T76" s="2">
        <f>(H76 + J76) - (L76 + N76) - R76</f>
        <v>0</v>
      </c>
      <c r="U76" s="2">
        <f>T76 * G76</f>
        <v>0</v>
      </c>
      <c r="V76" s="2">
        <f>I76 + K76 - S76</f>
        <v>0</v>
      </c>
      <c r="W76" s="2">
        <f>M76 - V76</f>
        <v>0</v>
      </c>
      <c r="X76" s="2">
        <f>IFERROR(W76 / M76 * 100, 0)</f>
        <v>0</v>
      </c>
    </row>
    <row r="77" spans="1:24">
      <c r="A77" t="s">
        <v>1944</v>
      </c>
      <c r="B77" t="s">
        <v>512</v>
      </c>
      <c r="C77" t="s">
        <v>2054</v>
      </c>
      <c r="D77" t="s">
        <v>1008</v>
      </c>
      <c r="E77" t="s">
        <v>2089</v>
      </c>
      <c r="F77" t="s">
        <v>2165</v>
      </c>
      <c r="G77">
        <v>22.75</v>
      </c>
      <c r="H77">
        <v>2</v>
      </c>
      <c r="I77">
        <v>45.5</v>
      </c>
      <c r="J77">
        <v>7</v>
      </c>
      <c r="K77">
        <v>159.25</v>
      </c>
      <c r="L77">
        <v>9</v>
      </c>
      <c r="M77">
        <v>207</v>
      </c>
      <c r="N77">
        <v>0</v>
      </c>
      <c r="O77">
        <v>0</v>
      </c>
      <c r="P77" s="2">
        <f>(H77 + J77) - (L77 + N77)</f>
        <v>0</v>
      </c>
      <c r="Q77" s="2">
        <f>P77 * G77</f>
        <v>0</v>
      </c>
      <c r="R77">
        <v>0</v>
      </c>
      <c r="S77" s="2">
        <f>R77 * G77</f>
        <v>0</v>
      </c>
      <c r="T77" s="2">
        <f>(H77 + J77) - (L77 + N77) - R77</f>
        <v>0</v>
      </c>
      <c r="U77" s="2">
        <f>T77 * G77</f>
        <v>0</v>
      </c>
      <c r="V77" s="2">
        <f>I77 + K77 - S77</f>
        <v>0</v>
      </c>
      <c r="W77" s="2">
        <f>M77 - V77</f>
        <v>0</v>
      </c>
      <c r="X77" s="2">
        <f>IFERROR(W77 / M77 * 100, 0)</f>
        <v>0</v>
      </c>
    </row>
    <row r="78" spans="1:24">
      <c r="A78" t="s">
        <v>1945</v>
      </c>
      <c r="B78" t="s">
        <v>512</v>
      </c>
      <c r="C78" t="s">
        <v>2055</v>
      </c>
      <c r="D78" t="s">
        <v>1007</v>
      </c>
      <c r="E78" t="s">
        <v>2089</v>
      </c>
      <c r="F78" t="s">
        <v>2166</v>
      </c>
      <c r="G78">
        <v>46.09</v>
      </c>
      <c r="H78">
        <v>0</v>
      </c>
      <c r="I78">
        <v>0</v>
      </c>
      <c r="J78">
        <v>-0.2</v>
      </c>
      <c r="K78">
        <v>-6.2</v>
      </c>
      <c r="L78">
        <v>0</v>
      </c>
      <c r="M78">
        <v>0</v>
      </c>
      <c r="N78">
        <v>0</v>
      </c>
      <c r="O78">
        <v>0</v>
      </c>
      <c r="P78" s="2">
        <f>(H78 + J78) - (L78 + N78)</f>
        <v>0</v>
      </c>
      <c r="Q78" s="2">
        <f>P78 * G78</f>
        <v>0</v>
      </c>
      <c r="R78">
        <v>0</v>
      </c>
      <c r="S78" s="2">
        <f>R78 * G78</f>
        <v>0</v>
      </c>
      <c r="T78" s="2">
        <f>(H78 + J78) - (L78 + N78) - R78</f>
        <v>0</v>
      </c>
      <c r="U78" s="2">
        <f>T78 * G78</f>
        <v>0</v>
      </c>
      <c r="V78" s="2">
        <f>I78 + K78 - S78</f>
        <v>0</v>
      </c>
      <c r="W78" s="2">
        <f>M78 - V78</f>
        <v>0</v>
      </c>
      <c r="X78" s="2">
        <f>IFERROR(W78 / M78 * 100, 0)</f>
        <v>0</v>
      </c>
    </row>
    <row r="79" spans="1:24">
      <c r="A79" t="s">
        <v>1946</v>
      </c>
      <c r="B79" t="s">
        <v>512</v>
      </c>
      <c r="C79" t="s">
        <v>2056</v>
      </c>
      <c r="D79" t="s">
        <v>1008</v>
      </c>
      <c r="E79" t="s">
        <v>2089</v>
      </c>
      <c r="F79" t="s">
        <v>2167</v>
      </c>
      <c r="G79">
        <v>17.75</v>
      </c>
      <c r="H79">
        <v>0</v>
      </c>
      <c r="I79">
        <v>0</v>
      </c>
      <c r="J79">
        <v>8</v>
      </c>
      <c r="K79">
        <v>142</v>
      </c>
      <c r="L79">
        <v>5</v>
      </c>
      <c r="M79">
        <v>92.5</v>
      </c>
      <c r="N79">
        <v>0</v>
      </c>
      <c r="O79">
        <v>0</v>
      </c>
      <c r="P79" s="2">
        <f>(H79 + J79) - (L79 + N79)</f>
        <v>0</v>
      </c>
      <c r="Q79" s="2">
        <f>P79 * G79</f>
        <v>0</v>
      </c>
      <c r="R79">
        <v>3</v>
      </c>
      <c r="S79" s="2">
        <f>R79 * G79</f>
        <v>0</v>
      </c>
      <c r="T79" s="2">
        <f>(H79 + J79) - (L79 + N79) - R79</f>
        <v>0</v>
      </c>
      <c r="U79" s="2">
        <f>T79 * G79</f>
        <v>0</v>
      </c>
      <c r="V79" s="2">
        <f>I79 + K79 - S79</f>
        <v>0</v>
      </c>
      <c r="W79" s="2">
        <f>M79 - V79</f>
        <v>0</v>
      </c>
      <c r="X79" s="2">
        <f>IFERROR(W79 / M79 * 100, 0)</f>
        <v>0</v>
      </c>
    </row>
    <row r="80" spans="1:24">
      <c r="A80" t="s">
        <v>1947</v>
      </c>
      <c r="B80" t="s">
        <v>512</v>
      </c>
      <c r="C80" t="s">
        <v>2057</v>
      </c>
      <c r="D80" t="s">
        <v>1008</v>
      </c>
      <c r="E80" t="s">
        <v>2089</v>
      </c>
      <c r="F80" t="s">
        <v>2168</v>
      </c>
      <c r="G80">
        <v>20</v>
      </c>
      <c r="H80">
        <v>0</v>
      </c>
      <c r="I80">
        <v>0</v>
      </c>
      <c r="J80">
        <v>11</v>
      </c>
      <c r="K80">
        <v>220</v>
      </c>
      <c r="L80">
        <v>10</v>
      </c>
      <c r="M80">
        <v>210</v>
      </c>
      <c r="N80">
        <v>0</v>
      </c>
      <c r="O80">
        <v>0</v>
      </c>
      <c r="P80" s="2">
        <f>(H80 + J80) - (L80 + N80)</f>
        <v>0</v>
      </c>
      <c r="Q80" s="2">
        <f>P80 * G80</f>
        <v>0</v>
      </c>
      <c r="R80">
        <v>1</v>
      </c>
      <c r="S80" s="2">
        <f>R80 * G80</f>
        <v>0</v>
      </c>
      <c r="T80" s="2">
        <f>(H80 + J80) - (L80 + N80) - R80</f>
        <v>0</v>
      </c>
      <c r="U80" s="2">
        <f>T80 * G80</f>
        <v>0</v>
      </c>
      <c r="V80" s="2">
        <f>I80 + K80 - S80</f>
        <v>0</v>
      </c>
      <c r="W80" s="2">
        <f>M80 - V80</f>
        <v>0</v>
      </c>
      <c r="X80" s="2">
        <f>IFERROR(W80 / M80 * 100, 0)</f>
        <v>0</v>
      </c>
    </row>
    <row r="81" spans="1:24">
      <c r="A81" t="s">
        <v>1948</v>
      </c>
      <c r="B81" t="s">
        <v>512</v>
      </c>
      <c r="C81" t="s">
        <v>2058</v>
      </c>
      <c r="D81" t="s">
        <v>1008</v>
      </c>
      <c r="E81" t="s">
        <v>2089</v>
      </c>
      <c r="F81" t="s">
        <v>2169</v>
      </c>
      <c r="G81">
        <v>22</v>
      </c>
      <c r="H81">
        <v>0</v>
      </c>
      <c r="I81">
        <v>0</v>
      </c>
      <c r="J81">
        <v>13</v>
      </c>
      <c r="K81">
        <v>286</v>
      </c>
      <c r="L81">
        <v>13</v>
      </c>
      <c r="M81">
        <v>289.25</v>
      </c>
      <c r="N81">
        <v>0</v>
      </c>
      <c r="O81">
        <v>0</v>
      </c>
      <c r="P81" s="2">
        <f>(H81 + J81) - (L81 + N81)</f>
        <v>0</v>
      </c>
      <c r="Q81" s="2">
        <f>P81 * G81</f>
        <v>0</v>
      </c>
      <c r="R81">
        <v>0</v>
      </c>
      <c r="S81" s="2">
        <f>R81 * G81</f>
        <v>0</v>
      </c>
      <c r="T81" s="2">
        <f>(H81 + J81) - (L81 + N81) - R81</f>
        <v>0</v>
      </c>
      <c r="U81" s="2">
        <f>T81 * G81</f>
        <v>0</v>
      </c>
      <c r="V81" s="2">
        <f>I81 + K81 - S81</f>
        <v>0</v>
      </c>
      <c r="W81" s="2">
        <f>M81 - V81</f>
        <v>0</v>
      </c>
      <c r="X81" s="2">
        <f>IFERROR(W81 / M81 * 100, 0)</f>
        <v>0</v>
      </c>
    </row>
    <row r="82" spans="1:24">
      <c r="A82" t="s">
        <v>1949</v>
      </c>
      <c r="B82" t="s">
        <v>512</v>
      </c>
      <c r="C82" t="s">
        <v>2059</v>
      </c>
      <c r="D82" t="s">
        <v>1008</v>
      </c>
      <c r="E82" t="s">
        <v>2089</v>
      </c>
      <c r="F82" t="s">
        <v>2170</v>
      </c>
      <c r="G82">
        <v>10</v>
      </c>
      <c r="H82">
        <v>0</v>
      </c>
      <c r="I82">
        <v>0</v>
      </c>
      <c r="J82">
        <v>59</v>
      </c>
      <c r="K82">
        <v>590</v>
      </c>
      <c r="L82">
        <v>57</v>
      </c>
      <c r="M82">
        <v>598.5</v>
      </c>
      <c r="N82">
        <v>0</v>
      </c>
      <c r="O82">
        <v>0</v>
      </c>
      <c r="P82" s="2">
        <f>(H82 + J82) - (L82 + N82)</f>
        <v>0</v>
      </c>
      <c r="Q82" s="2">
        <f>P82 * G82</f>
        <v>0</v>
      </c>
      <c r="R82">
        <v>2</v>
      </c>
      <c r="S82" s="2">
        <f>R82 * G82</f>
        <v>0</v>
      </c>
      <c r="T82" s="2">
        <f>(H82 + J82) - (L82 + N82) - R82</f>
        <v>0</v>
      </c>
      <c r="U82" s="2">
        <f>T82 * G82</f>
        <v>0</v>
      </c>
      <c r="V82" s="2">
        <f>I82 + K82 - S82</f>
        <v>0</v>
      </c>
      <c r="W82" s="2">
        <f>M82 - V82</f>
        <v>0</v>
      </c>
      <c r="X82" s="2">
        <f>IFERROR(W82 / M82 * 100, 0)</f>
        <v>0</v>
      </c>
    </row>
    <row r="83" spans="1:24">
      <c r="A83" t="s">
        <v>1950</v>
      </c>
      <c r="B83" t="s">
        <v>512</v>
      </c>
      <c r="C83" t="s">
        <v>2060</v>
      </c>
      <c r="D83" t="s">
        <v>1008</v>
      </c>
      <c r="E83" t="s">
        <v>2089</v>
      </c>
      <c r="F83" t="s">
        <v>2171</v>
      </c>
      <c r="G83">
        <v>16.25</v>
      </c>
      <c r="H83">
        <v>0</v>
      </c>
      <c r="I83">
        <v>0</v>
      </c>
      <c r="J83">
        <v>10</v>
      </c>
      <c r="K83">
        <v>162.5</v>
      </c>
      <c r="L83">
        <v>6</v>
      </c>
      <c r="M83">
        <v>102</v>
      </c>
      <c r="N83">
        <v>0</v>
      </c>
      <c r="O83">
        <v>0</v>
      </c>
      <c r="P83" s="2">
        <f>(H83 + J83) - (L83 + N83)</f>
        <v>0</v>
      </c>
      <c r="Q83" s="2">
        <f>P83 * G83</f>
        <v>0</v>
      </c>
      <c r="R83">
        <v>4</v>
      </c>
      <c r="S83" s="2">
        <f>R83 * G83</f>
        <v>0</v>
      </c>
      <c r="T83" s="2">
        <f>(H83 + J83) - (L83 + N83) - R83</f>
        <v>0</v>
      </c>
      <c r="U83" s="2">
        <f>T83 * G83</f>
        <v>0</v>
      </c>
      <c r="V83" s="2">
        <f>I83 + K83 - S83</f>
        <v>0</v>
      </c>
      <c r="W83" s="2">
        <f>M83 - V83</f>
        <v>0</v>
      </c>
      <c r="X83" s="2">
        <f>IFERROR(W83 / M83 * 100, 0)</f>
        <v>0</v>
      </c>
    </row>
    <row r="84" spans="1:24">
      <c r="A84" t="s">
        <v>1951</v>
      </c>
      <c r="B84" t="s">
        <v>512</v>
      </c>
      <c r="C84" t="s">
        <v>2061</v>
      </c>
      <c r="D84" t="s">
        <v>1008</v>
      </c>
      <c r="E84" t="s">
        <v>2089</v>
      </c>
      <c r="F84" t="s">
        <v>2172</v>
      </c>
      <c r="G84">
        <v>23</v>
      </c>
      <c r="H84">
        <v>0</v>
      </c>
      <c r="I84">
        <v>0</v>
      </c>
      <c r="J84">
        <v>3</v>
      </c>
      <c r="K84">
        <v>69</v>
      </c>
      <c r="L84">
        <v>3</v>
      </c>
      <c r="M84">
        <v>69.75</v>
      </c>
      <c r="N84">
        <v>0</v>
      </c>
      <c r="O84">
        <v>0</v>
      </c>
      <c r="P84" s="2">
        <f>(H84 + J84) - (L84 + N84)</f>
        <v>0</v>
      </c>
      <c r="Q84" s="2">
        <f>P84 * G84</f>
        <v>0</v>
      </c>
      <c r="R84">
        <v>0</v>
      </c>
      <c r="S84" s="2">
        <f>R84 * G84</f>
        <v>0</v>
      </c>
      <c r="T84" s="2">
        <f>(H84 + J84) - (L84 + N84) - R84</f>
        <v>0</v>
      </c>
      <c r="U84" s="2">
        <f>T84 * G84</f>
        <v>0</v>
      </c>
      <c r="V84" s="2">
        <f>I84 + K84 - S84</f>
        <v>0</v>
      </c>
      <c r="W84" s="2">
        <f>M84 - V84</f>
        <v>0</v>
      </c>
      <c r="X84" s="2">
        <f>IFERROR(W84 / M84 * 100, 0)</f>
        <v>0</v>
      </c>
    </row>
    <row r="85" spans="1:24">
      <c r="A85" t="s">
        <v>1952</v>
      </c>
      <c r="B85" t="s">
        <v>512</v>
      </c>
      <c r="C85" t="s">
        <v>2062</v>
      </c>
      <c r="D85" t="s">
        <v>1007</v>
      </c>
      <c r="E85" t="s">
        <v>2089</v>
      </c>
      <c r="F85" t="s">
        <v>2173</v>
      </c>
      <c r="G85">
        <v>9.5</v>
      </c>
      <c r="H85">
        <v>11.8</v>
      </c>
      <c r="I85">
        <v>112.1</v>
      </c>
      <c r="J85">
        <v>0</v>
      </c>
      <c r="K85">
        <v>0</v>
      </c>
      <c r="L85">
        <v>11.79</v>
      </c>
      <c r="M85">
        <v>200.39</v>
      </c>
      <c r="N85">
        <v>0</v>
      </c>
      <c r="O85">
        <v>0</v>
      </c>
      <c r="P85" s="2">
        <f>(H85 + J85) - (L85 + N85)</f>
        <v>0</v>
      </c>
      <c r="Q85" s="2">
        <f>P85 * G85</f>
        <v>0</v>
      </c>
      <c r="R85">
        <v>0</v>
      </c>
      <c r="S85" s="2">
        <f>R85 * G85</f>
        <v>0</v>
      </c>
      <c r="T85" s="2">
        <f>(H85 + J85) - (L85 + N85) - R85</f>
        <v>0</v>
      </c>
      <c r="U85" s="2">
        <f>T85 * G85</f>
        <v>0</v>
      </c>
      <c r="V85" s="2">
        <f>I85 + K85 - S85</f>
        <v>0</v>
      </c>
      <c r="W85" s="2">
        <f>M85 - V85</f>
        <v>0</v>
      </c>
      <c r="X85" s="2">
        <f>IFERROR(W85 / M85 * 100, 0)</f>
        <v>0</v>
      </c>
    </row>
    <row r="86" spans="1:24">
      <c r="A86" t="s">
        <v>1953</v>
      </c>
      <c r="B86" t="s">
        <v>512</v>
      </c>
      <c r="C86" t="s">
        <v>2063</v>
      </c>
      <c r="D86" t="s">
        <v>1008</v>
      </c>
      <c r="E86" t="s">
        <v>2089</v>
      </c>
      <c r="F86" t="s">
        <v>2174</v>
      </c>
      <c r="G86">
        <v>5</v>
      </c>
      <c r="H86">
        <v>0</v>
      </c>
      <c r="I86">
        <v>0</v>
      </c>
      <c r="J86">
        <v>0</v>
      </c>
      <c r="K86">
        <v>0</v>
      </c>
      <c r="L86">
        <v>32</v>
      </c>
      <c r="M86">
        <v>288</v>
      </c>
      <c r="N86">
        <v>0</v>
      </c>
      <c r="O86">
        <v>0</v>
      </c>
      <c r="P86" s="2">
        <f>(H86 + J86) - (L86 + N86)</f>
        <v>0</v>
      </c>
      <c r="Q86" s="2">
        <f>P86 * G86</f>
        <v>0</v>
      </c>
      <c r="R86">
        <v>0</v>
      </c>
      <c r="S86" s="2">
        <f>R86 * G86</f>
        <v>0</v>
      </c>
      <c r="T86" s="2">
        <f>(H86 + J86) - (L86 + N86) - R86</f>
        <v>0</v>
      </c>
      <c r="U86" s="2">
        <f>T86 * G86</f>
        <v>0</v>
      </c>
      <c r="V86" s="2">
        <f>I86 + K86 - S86</f>
        <v>0</v>
      </c>
      <c r="W86" s="2">
        <f>M86 - V86</f>
        <v>0</v>
      </c>
      <c r="X86" s="2">
        <f>IFERROR(W86 / M86 * 100, 0)</f>
        <v>0</v>
      </c>
    </row>
    <row r="87" spans="1:24">
      <c r="A87" t="s">
        <v>1954</v>
      </c>
      <c r="B87" t="s">
        <v>512</v>
      </c>
      <c r="C87" t="s">
        <v>2064</v>
      </c>
      <c r="D87" t="s">
        <v>1007</v>
      </c>
      <c r="E87" t="s">
        <v>2089</v>
      </c>
      <c r="F87" t="s">
        <v>2175</v>
      </c>
      <c r="G87">
        <v>5</v>
      </c>
      <c r="H87">
        <v>0</v>
      </c>
      <c r="I87">
        <v>0</v>
      </c>
      <c r="J87">
        <v>0</v>
      </c>
      <c r="K87">
        <v>0</v>
      </c>
      <c r="L87">
        <v>16.73</v>
      </c>
      <c r="M87">
        <v>247.04</v>
      </c>
      <c r="N87">
        <v>0</v>
      </c>
      <c r="O87">
        <v>0</v>
      </c>
      <c r="P87" s="2">
        <f>(H87 + J87) - (L87 + N87)</f>
        <v>0</v>
      </c>
      <c r="Q87" s="2">
        <f>P87 * G87</f>
        <v>0</v>
      </c>
      <c r="R87">
        <v>0</v>
      </c>
      <c r="S87" s="2">
        <f>R87 * G87</f>
        <v>0</v>
      </c>
      <c r="T87" s="2">
        <f>(H87 + J87) - (L87 + N87) - R87</f>
        <v>0</v>
      </c>
      <c r="U87" s="2">
        <f>T87 * G87</f>
        <v>0</v>
      </c>
      <c r="V87" s="2">
        <f>I87 + K87 - S87</f>
        <v>0</v>
      </c>
      <c r="W87" s="2">
        <f>M87 - V87</f>
        <v>0</v>
      </c>
      <c r="X87" s="2">
        <f>IFERROR(W87 / M87 * 100, 0)</f>
        <v>0</v>
      </c>
    </row>
    <row r="88" spans="1:24">
      <c r="A88" t="s">
        <v>1955</v>
      </c>
      <c r="B88" t="s">
        <v>512</v>
      </c>
      <c r="C88" t="s">
        <v>2065</v>
      </c>
      <c r="D88" t="s">
        <v>1008</v>
      </c>
      <c r="E88" t="s">
        <v>2089</v>
      </c>
      <c r="F88" t="s">
        <v>2176</v>
      </c>
      <c r="G88">
        <v>5</v>
      </c>
      <c r="H88">
        <v>0</v>
      </c>
      <c r="I88">
        <v>0</v>
      </c>
      <c r="J88">
        <v>0</v>
      </c>
      <c r="K88">
        <v>0</v>
      </c>
      <c r="L88">
        <v>137</v>
      </c>
      <c r="M88">
        <v>342.5</v>
      </c>
      <c r="N88">
        <v>0</v>
      </c>
      <c r="O88">
        <v>0</v>
      </c>
      <c r="P88" s="2">
        <f>(H88 + J88) - (L88 + N88)</f>
        <v>0</v>
      </c>
      <c r="Q88" s="2">
        <f>P88 * G88</f>
        <v>0</v>
      </c>
      <c r="R88">
        <v>0</v>
      </c>
      <c r="S88" s="2">
        <f>R88 * G88</f>
        <v>0</v>
      </c>
      <c r="T88" s="2">
        <f>(H88 + J88) - (L88 + N88) - R88</f>
        <v>0</v>
      </c>
      <c r="U88" s="2">
        <f>T88 * G88</f>
        <v>0</v>
      </c>
      <c r="V88" s="2">
        <f>I88 + K88 - S88</f>
        <v>0</v>
      </c>
      <c r="W88" s="2">
        <f>M88 - V88</f>
        <v>0</v>
      </c>
      <c r="X88" s="2">
        <f>IFERROR(W88 / M88 * 100, 0)</f>
        <v>0</v>
      </c>
    </row>
    <row r="89" spans="1:24">
      <c r="A89" t="s">
        <v>1956</v>
      </c>
      <c r="B89" t="s">
        <v>512</v>
      </c>
      <c r="C89" t="s">
        <v>2066</v>
      </c>
      <c r="D89" t="s">
        <v>1007</v>
      </c>
      <c r="E89" t="s">
        <v>2089</v>
      </c>
      <c r="F89" t="s">
        <v>2177</v>
      </c>
      <c r="G89">
        <v>21</v>
      </c>
      <c r="H89">
        <v>0</v>
      </c>
      <c r="I89">
        <v>0</v>
      </c>
      <c r="J89">
        <v>0</v>
      </c>
      <c r="K89">
        <v>0</v>
      </c>
      <c r="L89">
        <v>90.02</v>
      </c>
      <c r="M89">
        <v>675.1</v>
      </c>
      <c r="N89">
        <v>0</v>
      </c>
      <c r="O89">
        <v>0</v>
      </c>
      <c r="P89" s="2">
        <f>(H89 + J89) - (L89 + N89)</f>
        <v>0</v>
      </c>
      <c r="Q89" s="2">
        <f>P89 * G89</f>
        <v>0</v>
      </c>
      <c r="R89">
        <v>0</v>
      </c>
      <c r="S89" s="2">
        <f>R89 * G89</f>
        <v>0</v>
      </c>
      <c r="T89" s="2">
        <f>(H89 + J89) - (L89 + N89) - R89</f>
        <v>0</v>
      </c>
      <c r="U89" s="2">
        <f>T89 * G89</f>
        <v>0</v>
      </c>
      <c r="V89" s="2">
        <f>I89 + K89 - S89</f>
        <v>0</v>
      </c>
      <c r="W89" s="2">
        <f>M89 - V89</f>
        <v>0</v>
      </c>
      <c r="X89" s="2">
        <f>IFERROR(W89 / M89 * 100, 0)</f>
        <v>0</v>
      </c>
    </row>
    <row r="90" spans="1:24">
      <c r="A90" t="s">
        <v>1957</v>
      </c>
      <c r="B90" t="s">
        <v>512</v>
      </c>
      <c r="C90" t="s">
        <v>2067</v>
      </c>
      <c r="D90" t="s">
        <v>1007</v>
      </c>
      <c r="E90" t="s">
        <v>2089</v>
      </c>
      <c r="F90" t="s">
        <v>2178</v>
      </c>
      <c r="G90">
        <v>10</v>
      </c>
      <c r="H90">
        <v>0</v>
      </c>
      <c r="I90">
        <v>0</v>
      </c>
      <c r="J90">
        <v>0</v>
      </c>
      <c r="K90">
        <v>0</v>
      </c>
      <c r="L90">
        <v>97.84</v>
      </c>
      <c r="M90">
        <v>1956.88</v>
      </c>
      <c r="N90">
        <v>0</v>
      </c>
      <c r="O90">
        <v>0</v>
      </c>
      <c r="P90" s="2">
        <f>(H90 + J90) - (L90 + N90)</f>
        <v>0</v>
      </c>
      <c r="Q90" s="2">
        <f>P90 * G90</f>
        <v>0</v>
      </c>
      <c r="R90">
        <v>0</v>
      </c>
      <c r="S90" s="2">
        <f>R90 * G90</f>
        <v>0</v>
      </c>
      <c r="T90" s="2">
        <f>(H90 + J90) - (L90 + N90) - R90</f>
        <v>0</v>
      </c>
      <c r="U90" s="2">
        <f>T90 * G90</f>
        <v>0</v>
      </c>
      <c r="V90" s="2">
        <f>I90 + K90 - S90</f>
        <v>0</v>
      </c>
      <c r="W90" s="2">
        <f>M90 - V90</f>
        <v>0</v>
      </c>
      <c r="X90" s="2">
        <f>IFERROR(W90 / M90 * 100, 0)</f>
        <v>0</v>
      </c>
    </row>
    <row r="91" spans="1:24">
      <c r="A91" t="s">
        <v>1958</v>
      </c>
      <c r="B91" t="s">
        <v>512</v>
      </c>
      <c r="C91" t="s">
        <v>2068</v>
      </c>
      <c r="D91" t="s">
        <v>1007</v>
      </c>
      <c r="E91" t="s">
        <v>2089</v>
      </c>
      <c r="F91" t="s">
        <v>2179</v>
      </c>
      <c r="G91">
        <v>22</v>
      </c>
      <c r="H91">
        <v>2.3</v>
      </c>
      <c r="I91">
        <v>50.6</v>
      </c>
      <c r="J91">
        <v>36.9</v>
      </c>
      <c r="K91">
        <v>811.8</v>
      </c>
      <c r="L91">
        <v>42.27</v>
      </c>
      <c r="M91">
        <v>1225.93</v>
      </c>
      <c r="N91">
        <v>0</v>
      </c>
      <c r="O91">
        <v>0</v>
      </c>
      <c r="P91" s="2">
        <f>(H91 + J91) - (L91 + N91)</f>
        <v>0</v>
      </c>
      <c r="Q91" s="2">
        <f>P91 * G91</f>
        <v>0</v>
      </c>
      <c r="R91">
        <v>0</v>
      </c>
      <c r="S91" s="2">
        <f>R91 * G91</f>
        <v>0</v>
      </c>
      <c r="T91" s="2">
        <f>(H91 + J91) - (L91 + N91) - R91</f>
        <v>0</v>
      </c>
      <c r="U91" s="2">
        <f>T91 * G91</f>
        <v>0</v>
      </c>
      <c r="V91" s="2">
        <f>I91 + K91 - S91</f>
        <v>0</v>
      </c>
      <c r="W91" s="2">
        <f>M91 - V91</f>
        <v>0</v>
      </c>
      <c r="X91" s="2">
        <f>IFERROR(W91 / M91 * 100, 0)</f>
        <v>0</v>
      </c>
    </row>
    <row r="92" spans="1:24">
      <c r="A92" t="s">
        <v>1959</v>
      </c>
      <c r="B92" t="s">
        <v>512</v>
      </c>
      <c r="C92" t="s">
        <v>2069</v>
      </c>
      <c r="D92" t="s">
        <v>1008</v>
      </c>
      <c r="E92" t="s">
        <v>2089</v>
      </c>
      <c r="F92" t="s">
        <v>2180</v>
      </c>
      <c r="G92">
        <v>32</v>
      </c>
      <c r="H92">
        <v>0</v>
      </c>
      <c r="I92">
        <v>0</v>
      </c>
      <c r="J92">
        <v>10</v>
      </c>
      <c r="K92">
        <v>320</v>
      </c>
      <c r="L92">
        <v>0</v>
      </c>
      <c r="M92">
        <v>0</v>
      </c>
      <c r="N92">
        <v>0</v>
      </c>
      <c r="O92">
        <v>0</v>
      </c>
      <c r="P92" s="2">
        <f>(H92 + J92) - (L92 + N92)</f>
        <v>0</v>
      </c>
      <c r="Q92" s="2">
        <f>P92 * G92</f>
        <v>0</v>
      </c>
      <c r="R92">
        <v>0</v>
      </c>
      <c r="S92" s="2">
        <f>R92 * G92</f>
        <v>0</v>
      </c>
      <c r="T92" s="2">
        <f>(H92 + J92) - (L92 + N92) - R92</f>
        <v>0</v>
      </c>
      <c r="U92" s="2">
        <f>T92 * G92</f>
        <v>0</v>
      </c>
      <c r="V92" s="2">
        <f>I92 + K92 - S92</f>
        <v>0</v>
      </c>
      <c r="W92" s="2">
        <f>M92 - V92</f>
        <v>0</v>
      </c>
      <c r="X92" s="2">
        <f>IFERROR(W92 / M92 * 100, 0)</f>
        <v>0</v>
      </c>
    </row>
    <row r="93" spans="1:24">
      <c r="A93" t="s">
        <v>1960</v>
      </c>
      <c r="B93" t="s">
        <v>512</v>
      </c>
      <c r="C93" t="s">
        <v>2070</v>
      </c>
      <c r="D93" t="s">
        <v>1008</v>
      </c>
      <c r="E93" t="s">
        <v>2089</v>
      </c>
      <c r="F93" t="s">
        <v>2181</v>
      </c>
      <c r="G93">
        <v>12.5</v>
      </c>
      <c r="H93">
        <v>0</v>
      </c>
      <c r="I93">
        <v>0</v>
      </c>
      <c r="J93">
        <v>0</v>
      </c>
      <c r="K93">
        <v>0</v>
      </c>
      <c r="L93">
        <v>68</v>
      </c>
      <c r="M93">
        <v>1580</v>
      </c>
      <c r="N93">
        <v>0</v>
      </c>
      <c r="O93">
        <v>0</v>
      </c>
      <c r="P93" s="2">
        <f>(H93 + J93) - (L93 + N93)</f>
        <v>0</v>
      </c>
      <c r="Q93" s="2">
        <f>P93 * G93</f>
        <v>0</v>
      </c>
      <c r="R93">
        <v>0</v>
      </c>
      <c r="S93" s="2">
        <f>R93 * G93</f>
        <v>0</v>
      </c>
      <c r="T93" s="2">
        <f>(H93 + J93) - (L93 + N93) - R93</f>
        <v>0</v>
      </c>
      <c r="U93" s="2">
        <f>T93 * G93</f>
        <v>0</v>
      </c>
      <c r="V93" s="2">
        <f>I93 + K93 - S93</f>
        <v>0</v>
      </c>
      <c r="W93" s="2">
        <f>M93 - V93</f>
        <v>0</v>
      </c>
      <c r="X93" s="2">
        <f>IFERROR(W93 / M93 * 100, 0)</f>
        <v>0</v>
      </c>
    </row>
    <row r="94" spans="1:24">
      <c r="A94" t="s">
        <v>1961</v>
      </c>
      <c r="B94" t="s">
        <v>512</v>
      </c>
      <c r="C94" t="s">
        <v>2071</v>
      </c>
      <c r="D94" t="s">
        <v>1007</v>
      </c>
      <c r="E94" t="s">
        <v>2089</v>
      </c>
      <c r="F94" t="s">
        <v>2182</v>
      </c>
      <c r="G94">
        <v>19.06</v>
      </c>
      <c r="H94">
        <v>197.4</v>
      </c>
      <c r="I94">
        <v>3607.76</v>
      </c>
      <c r="J94">
        <v>101.98</v>
      </c>
      <c r="K94">
        <v>1988.61</v>
      </c>
      <c r="L94">
        <v>213.54</v>
      </c>
      <c r="M94">
        <v>4911.32</v>
      </c>
      <c r="N94">
        <v>0</v>
      </c>
      <c r="O94">
        <v>0</v>
      </c>
      <c r="P94" s="2">
        <f>(H94 + J94) - (L94 + N94)</f>
        <v>0</v>
      </c>
      <c r="Q94" s="2">
        <f>P94 * G94</f>
        <v>0</v>
      </c>
      <c r="R94">
        <v>99.68000000000001</v>
      </c>
      <c r="S94" s="2">
        <f>R94 * G94</f>
        <v>0</v>
      </c>
      <c r="T94" s="2">
        <f>(H94 + J94) - (L94 + N94) - R94</f>
        <v>0</v>
      </c>
      <c r="U94" s="2">
        <f>T94 * G94</f>
        <v>0</v>
      </c>
      <c r="V94" s="2">
        <f>I94 + K94 - S94</f>
        <v>0</v>
      </c>
      <c r="W94" s="2">
        <f>M94 - V94</f>
        <v>0</v>
      </c>
      <c r="X94" s="2">
        <f>IFERROR(W94 / M94 * 100, 0)</f>
        <v>0</v>
      </c>
    </row>
    <row r="95" spans="1:24">
      <c r="A95" t="s">
        <v>1962</v>
      </c>
      <c r="B95" t="s">
        <v>512</v>
      </c>
      <c r="C95" t="s">
        <v>2072</v>
      </c>
      <c r="D95" t="s">
        <v>1007</v>
      </c>
      <c r="E95" t="s">
        <v>2089</v>
      </c>
      <c r="F95" t="s">
        <v>2183</v>
      </c>
      <c r="G95">
        <v>15</v>
      </c>
      <c r="H95">
        <v>0</v>
      </c>
      <c r="I95">
        <v>0</v>
      </c>
      <c r="J95">
        <v>67.63</v>
      </c>
      <c r="K95">
        <v>1014.45</v>
      </c>
      <c r="L95">
        <v>70.62</v>
      </c>
      <c r="M95">
        <v>1412.44</v>
      </c>
      <c r="N95">
        <v>0</v>
      </c>
      <c r="O95">
        <v>0</v>
      </c>
      <c r="P95" s="2">
        <f>(H95 + J95) - (L95 + N95)</f>
        <v>0</v>
      </c>
      <c r="Q95" s="2">
        <f>P95 * G95</f>
        <v>0</v>
      </c>
      <c r="R95">
        <v>0</v>
      </c>
      <c r="S95" s="2">
        <f>R95 * G95</f>
        <v>0</v>
      </c>
      <c r="T95" s="2">
        <f>(H95 + J95) - (L95 + N95) - R95</f>
        <v>0</v>
      </c>
      <c r="U95" s="2">
        <f>T95 * G95</f>
        <v>0</v>
      </c>
      <c r="V95" s="2">
        <f>I95 + K95 - S95</f>
        <v>0</v>
      </c>
      <c r="W95" s="2">
        <f>M95 - V95</f>
        <v>0</v>
      </c>
      <c r="X95" s="2">
        <f>IFERROR(W95 / M95 * 100, 0)</f>
        <v>0</v>
      </c>
    </row>
    <row r="96" spans="1:24">
      <c r="A96" t="s">
        <v>1963</v>
      </c>
      <c r="B96" t="s">
        <v>512</v>
      </c>
      <c r="C96" t="s">
        <v>2073</v>
      </c>
      <c r="D96" t="s">
        <v>1007</v>
      </c>
      <c r="E96" t="s">
        <v>2089</v>
      </c>
      <c r="F96" t="s">
        <v>2184</v>
      </c>
      <c r="G96">
        <v>25</v>
      </c>
      <c r="H96">
        <v>0</v>
      </c>
      <c r="I96">
        <v>0</v>
      </c>
      <c r="J96">
        <v>52.86</v>
      </c>
      <c r="K96">
        <v>1321.38</v>
      </c>
      <c r="L96">
        <v>38.95</v>
      </c>
      <c r="M96">
        <v>1246.36</v>
      </c>
      <c r="N96">
        <v>0</v>
      </c>
      <c r="O96">
        <v>0</v>
      </c>
      <c r="P96" s="2">
        <f>(H96 + J96) - (L96 + N96)</f>
        <v>0</v>
      </c>
      <c r="Q96" s="2">
        <f>P96 * G96</f>
        <v>0</v>
      </c>
      <c r="R96">
        <v>13.55</v>
      </c>
      <c r="S96" s="2">
        <f>R96 * G96</f>
        <v>0</v>
      </c>
      <c r="T96" s="2">
        <f>(H96 + J96) - (L96 + N96) - R96</f>
        <v>0</v>
      </c>
      <c r="U96" s="2">
        <f>T96 * G96</f>
        <v>0</v>
      </c>
      <c r="V96" s="2">
        <f>I96 + K96 - S96</f>
        <v>0</v>
      </c>
      <c r="W96" s="2">
        <f>M96 - V96</f>
        <v>0</v>
      </c>
      <c r="X96" s="2">
        <f>IFERROR(W96 / M96 * 100, 0)</f>
        <v>0</v>
      </c>
    </row>
    <row r="97" spans="1:24">
      <c r="A97" t="s">
        <v>1964</v>
      </c>
      <c r="B97" t="s">
        <v>512</v>
      </c>
      <c r="C97" t="s">
        <v>2074</v>
      </c>
      <c r="D97" t="s">
        <v>1007</v>
      </c>
      <c r="E97" t="s">
        <v>2089</v>
      </c>
      <c r="F97" t="s">
        <v>2185</v>
      </c>
      <c r="G97">
        <v>25.87</v>
      </c>
      <c r="H97">
        <v>82</v>
      </c>
      <c r="I97">
        <v>2121.26</v>
      </c>
      <c r="J97">
        <v>0</v>
      </c>
      <c r="K97">
        <v>0</v>
      </c>
      <c r="L97">
        <v>56.55</v>
      </c>
      <c r="M97">
        <v>1837.88</v>
      </c>
      <c r="N97">
        <v>0</v>
      </c>
      <c r="O97">
        <v>0</v>
      </c>
      <c r="P97" s="2">
        <f>(H97 + J97) - (L97 + N97)</f>
        <v>0</v>
      </c>
      <c r="Q97" s="2">
        <f>P97 * G97</f>
        <v>0</v>
      </c>
      <c r="R97">
        <v>34.28</v>
      </c>
      <c r="S97" s="2">
        <f>R97 * G97</f>
        <v>0</v>
      </c>
      <c r="T97" s="2">
        <f>(H97 + J97) - (L97 + N97) - R97</f>
        <v>0</v>
      </c>
      <c r="U97" s="2">
        <f>T97 * G97</f>
        <v>0</v>
      </c>
      <c r="V97" s="2">
        <f>I97 + K97 - S97</f>
        <v>0</v>
      </c>
      <c r="W97" s="2">
        <f>M97 - V97</f>
        <v>0</v>
      </c>
      <c r="X97" s="2">
        <f>IFERROR(W97 / M97 * 100, 0)</f>
        <v>0</v>
      </c>
    </row>
    <row r="98" spans="1:24">
      <c r="A98" t="s">
        <v>1965</v>
      </c>
      <c r="B98" t="s">
        <v>512</v>
      </c>
      <c r="C98" t="s">
        <v>2075</v>
      </c>
      <c r="D98" t="s">
        <v>1007</v>
      </c>
      <c r="E98" t="s">
        <v>2089</v>
      </c>
      <c r="F98" t="s">
        <v>2186</v>
      </c>
      <c r="G98">
        <v>26</v>
      </c>
      <c r="H98">
        <v>8.6</v>
      </c>
      <c r="I98">
        <v>223.6</v>
      </c>
      <c r="J98">
        <v>12.9</v>
      </c>
      <c r="K98">
        <v>335.4</v>
      </c>
      <c r="L98">
        <v>21.48</v>
      </c>
      <c r="M98">
        <v>687.23</v>
      </c>
      <c r="N98">
        <v>0</v>
      </c>
      <c r="O98">
        <v>0</v>
      </c>
      <c r="P98" s="2">
        <f>(H98 + J98) - (L98 + N98)</f>
        <v>0</v>
      </c>
      <c r="Q98" s="2">
        <f>P98 * G98</f>
        <v>0</v>
      </c>
      <c r="R98">
        <v>0</v>
      </c>
      <c r="S98" s="2">
        <f>R98 * G98</f>
        <v>0</v>
      </c>
      <c r="T98" s="2">
        <f>(H98 + J98) - (L98 + N98) - R98</f>
        <v>0</v>
      </c>
      <c r="U98" s="2">
        <f>T98 * G98</f>
        <v>0</v>
      </c>
      <c r="V98" s="2">
        <f>I98 + K98 - S98</f>
        <v>0</v>
      </c>
      <c r="W98" s="2">
        <f>M98 - V98</f>
        <v>0</v>
      </c>
      <c r="X98" s="2">
        <f>IFERROR(W98 / M98 * 100, 0)</f>
        <v>0</v>
      </c>
    </row>
    <row r="99" spans="1:24">
      <c r="A99" t="s">
        <v>1966</v>
      </c>
      <c r="B99" t="s">
        <v>512</v>
      </c>
      <c r="C99" t="s">
        <v>2076</v>
      </c>
      <c r="D99" t="s">
        <v>1008</v>
      </c>
      <c r="E99" t="s">
        <v>2089</v>
      </c>
      <c r="F99" t="s">
        <v>2187</v>
      </c>
      <c r="G99">
        <v>15</v>
      </c>
      <c r="H99">
        <v>0</v>
      </c>
      <c r="I99">
        <v>0</v>
      </c>
      <c r="J99">
        <v>32</v>
      </c>
      <c r="K99">
        <v>480</v>
      </c>
      <c r="L99">
        <v>22</v>
      </c>
      <c r="M99">
        <v>385</v>
      </c>
      <c r="N99">
        <v>0</v>
      </c>
      <c r="O99">
        <v>0</v>
      </c>
      <c r="P99" s="2">
        <f>(H99 + J99) - (L99 + N99)</f>
        <v>0</v>
      </c>
      <c r="Q99" s="2">
        <f>P99 * G99</f>
        <v>0</v>
      </c>
      <c r="R99">
        <v>10</v>
      </c>
      <c r="S99" s="2">
        <f>R99 * G99</f>
        <v>0</v>
      </c>
      <c r="T99" s="2">
        <f>(H99 + J99) - (L99 + N99) - R99</f>
        <v>0</v>
      </c>
      <c r="U99" s="2">
        <f>T99 * G99</f>
        <v>0</v>
      </c>
      <c r="V99" s="2">
        <f>I99 + K99 - S99</f>
        <v>0</v>
      </c>
      <c r="W99" s="2">
        <f>M99 - V99</f>
        <v>0</v>
      </c>
      <c r="X99" s="2">
        <f>IFERROR(W99 / M99 * 100, 0)</f>
        <v>0</v>
      </c>
    </row>
    <row r="100" spans="1:24">
      <c r="A100" t="s">
        <v>1967</v>
      </c>
      <c r="B100" t="s">
        <v>512</v>
      </c>
      <c r="C100" t="s">
        <v>2077</v>
      </c>
      <c r="D100" t="s">
        <v>1008</v>
      </c>
      <c r="E100" t="s">
        <v>2089</v>
      </c>
      <c r="F100" t="s">
        <v>2188</v>
      </c>
      <c r="G100">
        <v>14</v>
      </c>
      <c r="H100">
        <v>0</v>
      </c>
      <c r="I100">
        <v>0</v>
      </c>
      <c r="J100">
        <v>21</v>
      </c>
      <c r="K100">
        <v>294</v>
      </c>
      <c r="L100">
        <v>21</v>
      </c>
      <c r="M100">
        <v>346.5</v>
      </c>
      <c r="N100">
        <v>0</v>
      </c>
      <c r="O100">
        <v>0</v>
      </c>
      <c r="P100" s="2">
        <f>(H100 + J100) - (L100 + N100)</f>
        <v>0</v>
      </c>
      <c r="Q100" s="2">
        <f>P100 * G100</f>
        <v>0</v>
      </c>
      <c r="R100">
        <v>0</v>
      </c>
      <c r="S100" s="2">
        <f>R100 * G100</f>
        <v>0</v>
      </c>
      <c r="T100" s="2">
        <f>(H100 + J100) - (L100 + N100) - R100</f>
        <v>0</v>
      </c>
      <c r="U100" s="2">
        <f>T100 * G100</f>
        <v>0</v>
      </c>
      <c r="V100" s="2">
        <f>I100 + K100 - S100</f>
        <v>0</v>
      </c>
      <c r="W100" s="2">
        <f>M100 - V100</f>
        <v>0</v>
      </c>
      <c r="X100" s="2">
        <f>IFERROR(W100 / M100 * 100, 0)</f>
        <v>0</v>
      </c>
    </row>
    <row r="101" spans="1:24">
      <c r="A101" t="s">
        <v>1968</v>
      </c>
      <c r="B101" t="s">
        <v>512</v>
      </c>
      <c r="C101" t="s">
        <v>2078</v>
      </c>
      <c r="D101" t="s">
        <v>1008</v>
      </c>
      <c r="E101" t="s">
        <v>2089</v>
      </c>
      <c r="F101" t="s">
        <v>2189</v>
      </c>
      <c r="G101">
        <v>9.75</v>
      </c>
      <c r="H101">
        <v>7</v>
      </c>
      <c r="I101">
        <v>68.25</v>
      </c>
      <c r="J101">
        <v>108</v>
      </c>
      <c r="K101">
        <v>1053.75</v>
      </c>
      <c r="L101">
        <v>111</v>
      </c>
      <c r="M101">
        <v>1110</v>
      </c>
      <c r="N101">
        <v>0</v>
      </c>
      <c r="O101">
        <v>0</v>
      </c>
      <c r="P101" s="2">
        <f>(H101 + J101) - (L101 + N101)</f>
        <v>0</v>
      </c>
      <c r="Q101" s="2">
        <f>P101 * G101</f>
        <v>0</v>
      </c>
      <c r="R101">
        <v>4</v>
      </c>
      <c r="S101" s="2">
        <f>R101 * G101</f>
        <v>0</v>
      </c>
      <c r="T101" s="2">
        <f>(H101 + J101) - (L101 + N101) - R101</f>
        <v>0</v>
      </c>
      <c r="U101" s="2">
        <f>T101 * G101</f>
        <v>0</v>
      </c>
      <c r="V101" s="2">
        <f>I101 + K101 - S101</f>
        <v>0</v>
      </c>
      <c r="W101" s="2">
        <f>M101 - V101</f>
        <v>0</v>
      </c>
      <c r="X101" s="2">
        <f>IFERROR(W101 / M101 * 100, 0)</f>
        <v>0</v>
      </c>
    </row>
    <row r="102" spans="1:24">
      <c r="A102" t="s">
        <v>1969</v>
      </c>
      <c r="B102" t="s">
        <v>512</v>
      </c>
      <c r="C102" t="s">
        <v>2079</v>
      </c>
      <c r="D102" t="s">
        <v>1008</v>
      </c>
      <c r="E102" t="s">
        <v>2089</v>
      </c>
      <c r="F102" t="s">
        <v>2190</v>
      </c>
      <c r="G102">
        <v>22.5</v>
      </c>
      <c r="H102">
        <v>0</v>
      </c>
      <c r="I102">
        <v>0</v>
      </c>
      <c r="J102">
        <v>2</v>
      </c>
      <c r="K102">
        <v>45</v>
      </c>
      <c r="L102">
        <v>2</v>
      </c>
      <c r="M102">
        <v>45</v>
      </c>
      <c r="N102">
        <v>0</v>
      </c>
      <c r="O102">
        <v>0</v>
      </c>
      <c r="P102" s="2">
        <f>(H102 + J102) - (L102 + N102)</f>
        <v>0</v>
      </c>
      <c r="Q102" s="2">
        <f>P102 * G102</f>
        <v>0</v>
      </c>
      <c r="R102">
        <v>0</v>
      </c>
      <c r="S102" s="2">
        <f>R102 * G102</f>
        <v>0</v>
      </c>
      <c r="T102" s="2">
        <f>(H102 + J102) - (L102 + N102) - R102</f>
        <v>0</v>
      </c>
      <c r="U102" s="2">
        <f>T102 * G102</f>
        <v>0</v>
      </c>
      <c r="V102" s="2">
        <f>I102 + K102 - S102</f>
        <v>0</v>
      </c>
      <c r="W102" s="2">
        <f>M102 - V102</f>
        <v>0</v>
      </c>
      <c r="X102" s="2">
        <f>IFERROR(W102 / M102 * 100, 0)</f>
        <v>0</v>
      </c>
    </row>
    <row r="103" spans="1:24">
      <c r="A103" t="s">
        <v>1970</v>
      </c>
      <c r="B103" t="s">
        <v>512</v>
      </c>
      <c r="C103" t="s">
        <v>2080</v>
      </c>
      <c r="D103" t="s">
        <v>1008</v>
      </c>
      <c r="E103" t="s">
        <v>2089</v>
      </c>
      <c r="F103" t="s">
        <v>2191</v>
      </c>
      <c r="G103">
        <v>24.5</v>
      </c>
      <c r="H103">
        <v>0</v>
      </c>
      <c r="I103">
        <v>0</v>
      </c>
      <c r="J103">
        <v>4</v>
      </c>
      <c r="K103">
        <v>98.5</v>
      </c>
      <c r="L103">
        <v>4</v>
      </c>
      <c r="M103">
        <v>99</v>
      </c>
      <c r="N103">
        <v>0</v>
      </c>
      <c r="O103">
        <v>0</v>
      </c>
      <c r="P103" s="2">
        <f>(H103 + J103) - (L103 + N103)</f>
        <v>0</v>
      </c>
      <c r="Q103" s="2">
        <f>P103 * G103</f>
        <v>0</v>
      </c>
      <c r="R103">
        <v>0</v>
      </c>
      <c r="S103" s="2">
        <f>R103 * G103</f>
        <v>0</v>
      </c>
      <c r="T103" s="2">
        <f>(H103 + J103) - (L103 + N103) - R103</f>
        <v>0</v>
      </c>
      <c r="U103" s="2">
        <f>T103 * G103</f>
        <v>0</v>
      </c>
      <c r="V103" s="2">
        <f>I103 + K103 - S103</f>
        <v>0</v>
      </c>
      <c r="W103" s="2">
        <f>M103 - V103</f>
        <v>0</v>
      </c>
      <c r="X103" s="2">
        <f>IFERROR(W103 / M103 * 100, 0)</f>
        <v>0</v>
      </c>
    </row>
    <row r="104" spans="1:24">
      <c r="A104" t="s">
        <v>1971</v>
      </c>
      <c r="B104" t="s">
        <v>512</v>
      </c>
      <c r="C104" t="s">
        <v>2081</v>
      </c>
      <c r="D104" t="s">
        <v>1008</v>
      </c>
      <c r="E104" t="s">
        <v>2089</v>
      </c>
      <c r="F104" t="s">
        <v>2192</v>
      </c>
      <c r="G104">
        <v>14</v>
      </c>
      <c r="H104">
        <v>0</v>
      </c>
      <c r="I104">
        <v>0</v>
      </c>
      <c r="J104">
        <v>10</v>
      </c>
      <c r="K104">
        <v>140</v>
      </c>
      <c r="L104">
        <v>10</v>
      </c>
      <c r="M104">
        <v>142.5</v>
      </c>
      <c r="N104">
        <v>0</v>
      </c>
      <c r="O104">
        <v>0</v>
      </c>
      <c r="P104" s="2">
        <f>(H104 + J104) - (L104 + N104)</f>
        <v>0</v>
      </c>
      <c r="Q104" s="2">
        <f>P104 * G104</f>
        <v>0</v>
      </c>
      <c r="R104">
        <v>0</v>
      </c>
      <c r="S104" s="2">
        <f>R104 * G104</f>
        <v>0</v>
      </c>
      <c r="T104" s="2">
        <f>(H104 + J104) - (L104 + N104) - R104</f>
        <v>0</v>
      </c>
      <c r="U104" s="2">
        <f>T104 * G104</f>
        <v>0</v>
      </c>
      <c r="V104" s="2">
        <f>I104 + K104 - S104</f>
        <v>0</v>
      </c>
      <c r="W104" s="2">
        <f>M104 - V104</f>
        <v>0</v>
      </c>
      <c r="X104" s="2">
        <f>IFERROR(W104 / M104 * 100, 0)</f>
        <v>0</v>
      </c>
    </row>
    <row r="105" spans="1:24">
      <c r="A105" t="s">
        <v>1972</v>
      </c>
      <c r="B105" t="s">
        <v>512</v>
      </c>
      <c r="C105" t="s">
        <v>2082</v>
      </c>
      <c r="D105" t="s">
        <v>1008</v>
      </c>
      <c r="E105" t="s">
        <v>2089</v>
      </c>
      <c r="F105" t="s">
        <v>2193</v>
      </c>
      <c r="G105">
        <v>8.75</v>
      </c>
      <c r="H105">
        <v>0</v>
      </c>
      <c r="I105">
        <v>0</v>
      </c>
      <c r="J105">
        <v>2</v>
      </c>
      <c r="K105">
        <v>17.5</v>
      </c>
      <c r="L105">
        <v>2</v>
      </c>
      <c r="M105">
        <v>18</v>
      </c>
      <c r="N105">
        <v>0</v>
      </c>
      <c r="O105">
        <v>0</v>
      </c>
      <c r="P105" s="2">
        <f>(H105 + J105) - (L105 + N105)</f>
        <v>0</v>
      </c>
      <c r="Q105" s="2">
        <f>P105 * G105</f>
        <v>0</v>
      </c>
      <c r="R105">
        <v>0</v>
      </c>
      <c r="S105" s="2">
        <f>R105 * G105</f>
        <v>0</v>
      </c>
      <c r="T105" s="2">
        <f>(H105 + J105) - (L105 + N105) - R105</f>
        <v>0</v>
      </c>
      <c r="U105" s="2">
        <f>T105 * G105</f>
        <v>0</v>
      </c>
      <c r="V105" s="2">
        <f>I105 + K105 - S105</f>
        <v>0</v>
      </c>
      <c r="W105" s="2">
        <f>M105 - V105</f>
        <v>0</v>
      </c>
      <c r="X105" s="2">
        <f>IFERROR(W105 / M105 * 100, 0)</f>
        <v>0</v>
      </c>
    </row>
    <row r="106" spans="1:24">
      <c r="A106" t="s">
        <v>1973</v>
      </c>
      <c r="B106" t="s">
        <v>512</v>
      </c>
      <c r="C106" t="s">
        <v>2083</v>
      </c>
      <c r="D106" t="s">
        <v>1008</v>
      </c>
      <c r="E106" t="s">
        <v>2089</v>
      </c>
      <c r="F106" t="s">
        <v>2194</v>
      </c>
      <c r="G106">
        <v>10.75</v>
      </c>
      <c r="H106">
        <v>0</v>
      </c>
      <c r="I106">
        <v>0</v>
      </c>
      <c r="J106">
        <v>9</v>
      </c>
      <c r="K106">
        <v>96.75</v>
      </c>
      <c r="L106">
        <v>9</v>
      </c>
      <c r="M106">
        <v>99</v>
      </c>
      <c r="N106">
        <v>0</v>
      </c>
      <c r="O106">
        <v>0</v>
      </c>
      <c r="P106" s="2">
        <f>(H106 + J106) - (L106 + N106)</f>
        <v>0</v>
      </c>
      <c r="Q106" s="2">
        <f>P106 * G106</f>
        <v>0</v>
      </c>
      <c r="R106">
        <v>0</v>
      </c>
      <c r="S106" s="2">
        <f>R106 * G106</f>
        <v>0</v>
      </c>
      <c r="T106" s="2">
        <f>(H106 + J106) - (L106 + N106) - R106</f>
        <v>0</v>
      </c>
      <c r="U106" s="2">
        <f>T106 * G106</f>
        <v>0</v>
      </c>
      <c r="V106" s="2">
        <f>I106 + K106 - S106</f>
        <v>0</v>
      </c>
      <c r="W106" s="2">
        <f>M106 - V106</f>
        <v>0</v>
      </c>
      <c r="X106" s="2">
        <f>IFERROR(W106 / M106 * 100, 0)</f>
        <v>0</v>
      </c>
    </row>
    <row r="107" spans="1:24">
      <c r="A107" t="s">
        <v>1974</v>
      </c>
      <c r="B107" t="s">
        <v>512</v>
      </c>
      <c r="C107" t="s">
        <v>2084</v>
      </c>
      <c r="D107" t="s">
        <v>1008</v>
      </c>
      <c r="E107" t="s">
        <v>2089</v>
      </c>
      <c r="F107" t="s">
        <v>2195</v>
      </c>
      <c r="G107">
        <v>20.13</v>
      </c>
      <c r="H107">
        <v>0</v>
      </c>
      <c r="I107">
        <v>0</v>
      </c>
      <c r="J107">
        <v>4</v>
      </c>
      <c r="K107">
        <v>80.5</v>
      </c>
      <c r="L107">
        <v>4</v>
      </c>
      <c r="M107">
        <v>81</v>
      </c>
      <c r="N107">
        <v>0</v>
      </c>
      <c r="O107">
        <v>0</v>
      </c>
      <c r="P107" s="2">
        <f>(H107 + J107) - (L107 + N107)</f>
        <v>0</v>
      </c>
      <c r="Q107" s="2">
        <f>P107 * G107</f>
        <v>0</v>
      </c>
      <c r="R107">
        <v>0</v>
      </c>
      <c r="S107" s="2">
        <f>R107 * G107</f>
        <v>0</v>
      </c>
      <c r="T107" s="2">
        <f>(H107 + J107) - (L107 + N107) - R107</f>
        <v>0</v>
      </c>
      <c r="U107" s="2">
        <f>T107 * G107</f>
        <v>0</v>
      </c>
      <c r="V107" s="2">
        <f>I107 + K107 - S107</f>
        <v>0</v>
      </c>
      <c r="W107" s="2">
        <f>M107 - V107</f>
        <v>0</v>
      </c>
      <c r="X107" s="2">
        <f>IFERROR(W107 / M107 * 100, 0)</f>
        <v>0</v>
      </c>
    </row>
    <row r="108" spans="1:24">
      <c r="A108" t="s">
        <v>1975</v>
      </c>
      <c r="B108" t="s">
        <v>512</v>
      </c>
      <c r="C108" t="s">
        <v>2085</v>
      </c>
      <c r="D108" t="s">
        <v>1008</v>
      </c>
      <c r="E108" t="s">
        <v>2089</v>
      </c>
      <c r="F108" t="s">
        <v>2196</v>
      </c>
      <c r="G108">
        <v>10.29</v>
      </c>
      <c r="H108">
        <v>14</v>
      </c>
      <c r="I108">
        <v>144.06</v>
      </c>
      <c r="J108">
        <v>345</v>
      </c>
      <c r="K108">
        <v>3549.79</v>
      </c>
      <c r="L108">
        <v>358</v>
      </c>
      <c r="M108">
        <v>3848.5</v>
      </c>
      <c r="N108">
        <v>0</v>
      </c>
      <c r="O108">
        <v>0</v>
      </c>
      <c r="P108" s="2">
        <f>(H108 + J108) - (L108 + N108)</f>
        <v>0</v>
      </c>
      <c r="Q108" s="2">
        <f>P108 * G108</f>
        <v>0</v>
      </c>
      <c r="R108">
        <v>1</v>
      </c>
      <c r="S108" s="2">
        <f>R108 * G108</f>
        <v>0</v>
      </c>
      <c r="T108" s="2">
        <f>(H108 + J108) - (L108 + N108) - R108</f>
        <v>0</v>
      </c>
      <c r="U108" s="2">
        <f>T108 * G108</f>
        <v>0</v>
      </c>
      <c r="V108" s="2">
        <f>I108 + K108 - S108</f>
        <v>0</v>
      </c>
      <c r="W108" s="2">
        <f>M108 - V108</f>
        <v>0</v>
      </c>
      <c r="X108" s="2">
        <f>IFERROR(W108 / M108 * 100, 0)</f>
        <v>0</v>
      </c>
    </row>
    <row r="109" spans="1:24">
      <c r="A109" t="s">
        <v>1976</v>
      </c>
      <c r="B109" t="s">
        <v>512</v>
      </c>
      <c r="C109" t="s">
        <v>2086</v>
      </c>
      <c r="D109" t="s">
        <v>1008</v>
      </c>
      <c r="E109" t="s">
        <v>2089</v>
      </c>
      <c r="F109" t="s">
        <v>2197</v>
      </c>
      <c r="G109">
        <v>9.56</v>
      </c>
      <c r="H109">
        <v>0</v>
      </c>
      <c r="I109">
        <v>0</v>
      </c>
      <c r="J109">
        <v>117</v>
      </c>
      <c r="K109">
        <v>1117.84</v>
      </c>
      <c r="L109">
        <v>117</v>
      </c>
      <c r="M109">
        <v>1170</v>
      </c>
      <c r="N109">
        <v>0</v>
      </c>
      <c r="O109">
        <v>0</v>
      </c>
      <c r="P109" s="2">
        <f>(H109 + J109) - (L109 + N109)</f>
        <v>0</v>
      </c>
      <c r="Q109" s="2">
        <f>P109 * G109</f>
        <v>0</v>
      </c>
      <c r="R109">
        <v>0</v>
      </c>
      <c r="S109" s="2">
        <f>R109 * G109</f>
        <v>0</v>
      </c>
      <c r="T109" s="2">
        <f>(H109 + J109) - (L109 + N109) - R109</f>
        <v>0</v>
      </c>
      <c r="U109" s="2">
        <f>T109 * G109</f>
        <v>0</v>
      </c>
      <c r="V109" s="2">
        <f>I109 + K109 - S109</f>
        <v>0</v>
      </c>
      <c r="W109" s="2">
        <f>M109 - V109</f>
        <v>0</v>
      </c>
      <c r="X109" s="2">
        <f>IFERROR(W109 / M109 * 100, 0)</f>
        <v>0</v>
      </c>
    </row>
    <row r="110" spans="1:24">
      <c r="A110" t="s">
        <v>1977</v>
      </c>
      <c r="B110" t="s">
        <v>512</v>
      </c>
      <c r="C110" t="s">
        <v>2087</v>
      </c>
      <c r="D110" t="s">
        <v>1008</v>
      </c>
      <c r="E110" t="s">
        <v>2089</v>
      </c>
      <c r="F110" t="s">
        <v>2198</v>
      </c>
      <c r="G110">
        <v>17.64</v>
      </c>
      <c r="H110">
        <v>3</v>
      </c>
      <c r="I110">
        <v>52.92</v>
      </c>
      <c r="J110">
        <v>44</v>
      </c>
      <c r="K110">
        <v>776.08</v>
      </c>
      <c r="L110">
        <v>44</v>
      </c>
      <c r="M110">
        <v>803</v>
      </c>
      <c r="N110">
        <v>0</v>
      </c>
      <c r="O110">
        <v>0</v>
      </c>
      <c r="P110" s="2">
        <f>(H110 + J110) - (L110 + N110)</f>
        <v>0</v>
      </c>
      <c r="Q110" s="2">
        <f>P110 * G110</f>
        <v>0</v>
      </c>
      <c r="R110">
        <v>3</v>
      </c>
      <c r="S110" s="2">
        <f>R110 * G110</f>
        <v>0</v>
      </c>
      <c r="T110" s="2">
        <f>(H110 + J110) - (L110 + N110) - R110</f>
        <v>0</v>
      </c>
      <c r="U110" s="2">
        <f>T110 * G110</f>
        <v>0</v>
      </c>
      <c r="V110" s="2">
        <f>I110 + K110 - S110</f>
        <v>0</v>
      </c>
      <c r="W110" s="2">
        <f>M110 - V110</f>
        <v>0</v>
      </c>
      <c r="X110" s="2">
        <f>IFERROR(W110 / M110 * 100, 0)</f>
        <v>0</v>
      </c>
    </row>
    <row r="111" spans="1:24">
      <c r="A111" t="s">
        <v>1978</v>
      </c>
      <c r="B111" t="s">
        <v>512</v>
      </c>
      <c r="C111" t="s">
        <v>2088</v>
      </c>
      <c r="D111" t="s">
        <v>1008</v>
      </c>
      <c r="E111" t="s">
        <v>2089</v>
      </c>
      <c r="F111" t="s">
        <v>2199</v>
      </c>
      <c r="G111">
        <v>17.75</v>
      </c>
      <c r="H111">
        <v>0</v>
      </c>
      <c r="I111">
        <v>0</v>
      </c>
      <c r="J111">
        <v>2</v>
      </c>
      <c r="K111">
        <v>35.5</v>
      </c>
      <c r="L111">
        <v>2</v>
      </c>
      <c r="M111">
        <v>36</v>
      </c>
      <c r="N111">
        <v>0</v>
      </c>
      <c r="O111">
        <v>0</v>
      </c>
      <c r="P111" s="2">
        <f>(H111 + J111) - (L111 + N111)</f>
        <v>0</v>
      </c>
      <c r="Q111" s="2">
        <f>P111 * G111</f>
        <v>0</v>
      </c>
      <c r="R111">
        <v>0</v>
      </c>
      <c r="S111" s="2">
        <f>R111 * G111</f>
        <v>0</v>
      </c>
      <c r="T111" s="2">
        <f>(H111 + J111) - (L111 + N111) - R111</f>
        <v>0</v>
      </c>
      <c r="U111" s="2">
        <f>T111 * G111</f>
        <v>0</v>
      </c>
      <c r="V111" s="2">
        <f>I111 + K111 - S111</f>
        <v>0</v>
      </c>
      <c r="W111" s="2">
        <f>M111 - V111</f>
        <v>0</v>
      </c>
      <c r="X111" s="2">
        <f>IFERROR(W111 / M111 * 100, 0)</f>
        <v>0</v>
      </c>
    </row>
    <row r="116" spans="8:24">
      <c r="H116" s="2">
        <f>SUM(H2:H111)</f>
        <v>0</v>
      </c>
      <c r="I116" s="2">
        <f>SUM(I2:I111)</f>
        <v>0</v>
      </c>
      <c r="J116" s="2">
        <f>SUM(J2:J111)</f>
        <v>0</v>
      </c>
      <c r="K116" s="2">
        <f>SUM(K2:K111)</f>
        <v>0</v>
      </c>
      <c r="L116" s="2">
        <f>SUM(L2:L111)</f>
        <v>0</v>
      </c>
      <c r="M116" s="2">
        <f>SUM(M2:M111)</f>
        <v>0</v>
      </c>
      <c r="N116" s="2">
        <f>SUM(N2:N111)</f>
        <v>0</v>
      </c>
      <c r="O116" s="2">
        <f>SUM(O2:O111)</f>
        <v>0</v>
      </c>
      <c r="P116" s="2">
        <f>SUM(P2:P111)</f>
        <v>0</v>
      </c>
      <c r="Q116" s="2">
        <f>SUM(Q2:Q111)</f>
        <v>0</v>
      </c>
      <c r="R116" s="2">
        <f>SUM(R2:R111)</f>
        <v>0</v>
      </c>
      <c r="S116" s="2">
        <f>SUM(S2:S111)</f>
        <v>0</v>
      </c>
      <c r="T116" s="2">
        <f>SUM(T2:T111)</f>
        <v>0</v>
      </c>
      <c r="U116" s="2">
        <f>SUM(U2:U111)</f>
        <v>0</v>
      </c>
      <c r="V116" s="2">
        <f>SUM(V2:V111)</f>
        <v>0</v>
      </c>
      <c r="W116" s="2">
        <f>SUM(W2:W111)</f>
        <v>0</v>
      </c>
      <c r="X116" s="2">
        <f>IFERROR((W116 / M116) * 100, 0)</f>
        <v>0</v>
      </c>
    </row>
  </sheetData>
  <conditionalFormatting sqref="A2:X111">
    <cfRule type="notContainsBlanks" dxfId="0" priority="1">
      <formula>LEN(TRIM(A2))&gt;0</formula>
    </cfRule>
  </conditionalFormatting>
  <conditionalFormatting sqref="X2:X111">
    <cfRule type="expression" dxfId="1" priority="2">
      <formula>AND($X2&lt;=0, $X2&lt;&gt;"")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61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2200</v>
      </c>
      <c r="B2" t="s">
        <v>512</v>
      </c>
      <c r="C2" t="s">
        <v>2355</v>
      </c>
      <c r="D2" t="s">
        <v>1007</v>
      </c>
      <c r="E2" t="s">
        <v>2510</v>
      </c>
      <c r="F2" t="s">
        <v>2511</v>
      </c>
      <c r="G2">
        <v>12.4</v>
      </c>
      <c r="H2">
        <v>0</v>
      </c>
      <c r="I2">
        <v>0</v>
      </c>
      <c r="J2">
        <v>-1.63</v>
      </c>
      <c r="K2">
        <v>-20.18</v>
      </c>
      <c r="L2">
        <v>0</v>
      </c>
      <c r="M2">
        <v>0</v>
      </c>
      <c r="N2">
        <v>0</v>
      </c>
      <c r="O2">
        <v>0</v>
      </c>
      <c r="P2" s="2">
        <f>(H2 + J2) - (L2 + N2)</f>
        <v>0</v>
      </c>
      <c r="Q2" s="2">
        <f>P2 * G2</f>
        <v>0</v>
      </c>
      <c r="R2">
        <v>0</v>
      </c>
      <c r="S2" s="2">
        <f>R2 * G2</f>
        <v>0</v>
      </c>
      <c r="T2" s="2">
        <f>(H2 + J2) - (L2 + N2) - R2</f>
        <v>0</v>
      </c>
      <c r="U2" s="2">
        <f>T2 * G2</f>
        <v>0</v>
      </c>
      <c r="V2" s="2">
        <f>I2 + K2 - S2</f>
        <v>0</v>
      </c>
      <c r="W2" s="2">
        <f>M2 - V2</f>
        <v>0</v>
      </c>
      <c r="X2" s="2">
        <f>IFERROR(W2 / M2 * 100, 0)</f>
        <v>0</v>
      </c>
    </row>
    <row r="3" spans="1:24">
      <c r="A3" t="s">
        <v>2201</v>
      </c>
      <c r="B3" t="s">
        <v>512</v>
      </c>
      <c r="C3" t="s">
        <v>2356</v>
      </c>
      <c r="D3" t="s">
        <v>1007</v>
      </c>
      <c r="E3" t="s">
        <v>2510</v>
      </c>
      <c r="F3" t="s">
        <v>2512</v>
      </c>
      <c r="G3">
        <v>4.89</v>
      </c>
      <c r="H3">
        <v>0</v>
      </c>
      <c r="I3">
        <v>0</v>
      </c>
      <c r="J3">
        <v>-0.27</v>
      </c>
      <c r="K3">
        <v>-1.31</v>
      </c>
      <c r="L3">
        <v>0</v>
      </c>
      <c r="M3">
        <v>0</v>
      </c>
      <c r="N3">
        <v>0</v>
      </c>
      <c r="O3">
        <v>0</v>
      </c>
      <c r="P3" s="2">
        <f>(H3 + J3) - (L3 + N3)</f>
        <v>0</v>
      </c>
      <c r="Q3" s="2">
        <f>P3 * G3</f>
        <v>0</v>
      </c>
      <c r="R3">
        <v>0</v>
      </c>
      <c r="S3" s="2">
        <f>R3 * G3</f>
        <v>0</v>
      </c>
      <c r="T3" s="2">
        <f>(H3 + J3) - (L3 + N3) - R3</f>
        <v>0</v>
      </c>
      <c r="U3" s="2">
        <f>T3 * G3</f>
        <v>0</v>
      </c>
      <c r="V3" s="2">
        <f>I3 + K3 - S3</f>
        <v>0</v>
      </c>
      <c r="W3" s="2">
        <f>M3 - V3</f>
        <v>0</v>
      </c>
      <c r="X3" s="2">
        <f>IFERROR(W3 / M3 * 100, 0)</f>
        <v>0</v>
      </c>
    </row>
    <row r="4" spans="1:24">
      <c r="A4" t="s">
        <v>2202</v>
      </c>
      <c r="B4" t="s">
        <v>512</v>
      </c>
      <c r="C4" t="s">
        <v>2357</v>
      </c>
      <c r="D4" t="s">
        <v>1007</v>
      </c>
      <c r="E4" t="s">
        <v>2510</v>
      </c>
      <c r="F4" t="s">
        <v>2513</v>
      </c>
      <c r="G4">
        <v>5.6</v>
      </c>
      <c r="H4">
        <v>0</v>
      </c>
      <c r="I4">
        <v>0</v>
      </c>
      <c r="J4">
        <v>0.17</v>
      </c>
      <c r="K4">
        <v>0.95</v>
      </c>
      <c r="L4">
        <v>0</v>
      </c>
      <c r="M4">
        <v>0</v>
      </c>
      <c r="N4">
        <v>0</v>
      </c>
      <c r="O4">
        <v>0</v>
      </c>
      <c r="P4" s="2">
        <f>(H4 + J4) - (L4 + N4)</f>
        <v>0</v>
      </c>
      <c r="Q4" s="2">
        <f>P4 * G4</f>
        <v>0</v>
      </c>
      <c r="R4">
        <v>0</v>
      </c>
      <c r="S4" s="2">
        <f>R4 * G4</f>
        <v>0</v>
      </c>
      <c r="T4" s="2">
        <f>(H4 + J4) - (L4 + N4) - R4</f>
        <v>0</v>
      </c>
      <c r="U4" s="2">
        <f>T4 * G4</f>
        <v>0</v>
      </c>
      <c r="V4" s="2">
        <f>I4 + K4 - S4</f>
        <v>0</v>
      </c>
      <c r="W4" s="2">
        <f>M4 - V4</f>
        <v>0</v>
      </c>
      <c r="X4" s="2">
        <f>IFERROR(W4 / M4 * 100, 0)</f>
        <v>0</v>
      </c>
    </row>
    <row r="5" spans="1:24">
      <c r="A5" t="s">
        <v>2203</v>
      </c>
      <c r="B5" t="s">
        <v>512</v>
      </c>
      <c r="C5" t="s">
        <v>2358</v>
      </c>
      <c r="D5" t="s">
        <v>1007</v>
      </c>
      <c r="E5" t="s">
        <v>2510</v>
      </c>
      <c r="F5" t="s">
        <v>2514</v>
      </c>
      <c r="G5">
        <v>1.15</v>
      </c>
      <c r="H5">
        <v>0</v>
      </c>
      <c r="I5">
        <v>0</v>
      </c>
      <c r="J5">
        <v>-0.14</v>
      </c>
      <c r="K5">
        <v>-0.16</v>
      </c>
      <c r="L5">
        <v>0</v>
      </c>
      <c r="M5">
        <v>0</v>
      </c>
      <c r="N5">
        <v>0</v>
      </c>
      <c r="O5">
        <v>0</v>
      </c>
      <c r="P5" s="2">
        <f>(H5 + J5) - (L5 + N5)</f>
        <v>0</v>
      </c>
      <c r="Q5" s="2">
        <f>P5 * G5</f>
        <v>0</v>
      </c>
      <c r="R5">
        <v>0</v>
      </c>
      <c r="S5" s="2">
        <f>R5 * G5</f>
        <v>0</v>
      </c>
      <c r="T5" s="2">
        <f>(H5 + J5) - (L5 + N5) - R5</f>
        <v>0</v>
      </c>
      <c r="U5" s="2">
        <f>T5 * G5</f>
        <v>0</v>
      </c>
      <c r="V5" s="2">
        <f>I5 + K5 - S5</f>
        <v>0</v>
      </c>
      <c r="W5" s="2">
        <f>M5 - V5</f>
        <v>0</v>
      </c>
      <c r="X5" s="2">
        <f>IFERROR(W5 / M5 * 100, 0)</f>
        <v>0</v>
      </c>
    </row>
    <row r="6" spans="1:24">
      <c r="A6" t="s">
        <v>2204</v>
      </c>
      <c r="B6" t="s">
        <v>512</v>
      </c>
      <c r="C6" t="s">
        <v>2359</v>
      </c>
      <c r="D6" t="s">
        <v>1007</v>
      </c>
      <c r="E6" t="s">
        <v>2510</v>
      </c>
      <c r="F6" t="s">
        <v>2515</v>
      </c>
      <c r="G6">
        <v>1.1</v>
      </c>
      <c r="H6">
        <v>0</v>
      </c>
      <c r="I6">
        <v>0</v>
      </c>
      <c r="J6">
        <v>-0.07000000000000001</v>
      </c>
      <c r="K6">
        <v>-0.07000000000000001</v>
      </c>
      <c r="L6">
        <v>0</v>
      </c>
      <c r="M6">
        <v>0</v>
      </c>
      <c r="N6">
        <v>0</v>
      </c>
      <c r="O6">
        <v>0</v>
      </c>
      <c r="P6" s="2">
        <f>(H6 + J6) - (L6 + N6)</f>
        <v>0</v>
      </c>
      <c r="Q6" s="2">
        <f>P6 * G6</f>
        <v>0</v>
      </c>
      <c r="R6">
        <v>0</v>
      </c>
      <c r="S6" s="2">
        <f>R6 * G6</f>
        <v>0</v>
      </c>
      <c r="T6" s="2">
        <f>(H6 + J6) - (L6 + N6) - R6</f>
        <v>0</v>
      </c>
      <c r="U6" s="2">
        <f>T6 * G6</f>
        <v>0</v>
      </c>
      <c r="V6" s="2">
        <f>I6 + K6 - S6</f>
        <v>0</v>
      </c>
      <c r="W6" s="2">
        <f>M6 - V6</f>
        <v>0</v>
      </c>
      <c r="X6" s="2">
        <f>IFERROR(W6 / M6 * 100, 0)</f>
        <v>0</v>
      </c>
    </row>
    <row r="7" spans="1:24">
      <c r="A7" t="s">
        <v>2205</v>
      </c>
      <c r="B7" t="s">
        <v>512</v>
      </c>
      <c r="C7" t="s">
        <v>2360</v>
      </c>
      <c r="D7" t="s">
        <v>1007</v>
      </c>
      <c r="E7" t="s">
        <v>2510</v>
      </c>
      <c r="F7" t="s">
        <v>2516</v>
      </c>
      <c r="G7">
        <v>13.99</v>
      </c>
      <c r="H7">
        <v>0</v>
      </c>
      <c r="I7">
        <v>0</v>
      </c>
      <c r="J7">
        <v>0.6899999999999999</v>
      </c>
      <c r="K7">
        <v>9.619999999999999</v>
      </c>
      <c r="L7">
        <v>0</v>
      </c>
      <c r="M7">
        <v>0</v>
      </c>
      <c r="N7">
        <v>0</v>
      </c>
      <c r="O7">
        <v>0</v>
      </c>
      <c r="P7" s="2">
        <f>(H7 + J7) - (L7 + N7)</f>
        <v>0</v>
      </c>
      <c r="Q7" s="2">
        <f>P7 * G7</f>
        <v>0</v>
      </c>
      <c r="R7">
        <v>0</v>
      </c>
      <c r="S7" s="2">
        <f>R7 * G7</f>
        <v>0</v>
      </c>
      <c r="T7" s="2">
        <f>(H7 + J7) - (L7 + N7) - R7</f>
        <v>0</v>
      </c>
      <c r="U7" s="2">
        <f>T7 * G7</f>
        <v>0</v>
      </c>
      <c r="V7" s="2">
        <f>I7 + K7 - S7</f>
        <v>0</v>
      </c>
      <c r="W7" s="2">
        <f>M7 - V7</f>
        <v>0</v>
      </c>
      <c r="X7" s="2">
        <f>IFERROR(W7 / M7 * 100, 0)</f>
        <v>0</v>
      </c>
    </row>
    <row r="8" spans="1:24">
      <c r="A8" t="s">
        <v>2206</v>
      </c>
      <c r="B8" t="s">
        <v>512</v>
      </c>
      <c r="C8" t="s">
        <v>2361</v>
      </c>
      <c r="D8" t="s">
        <v>1007</v>
      </c>
      <c r="E8" t="s">
        <v>2510</v>
      </c>
      <c r="F8" t="s">
        <v>2517</v>
      </c>
      <c r="G8">
        <v>31.07</v>
      </c>
      <c r="H8">
        <v>0</v>
      </c>
      <c r="I8">
        <v>0</v>
      </c>
      <c r="J8">
        <v>-0.34</v>
      </c>
      <c r="K8">
        <v>-10.58</v>
      </c>
      <c r="L8">
        <v>0</v>
      </c>
      <c r="M8">
        <v>0</v>
      </c>
      <c r="N8">
        <v>0</v>
      </c>
      <c r="O8">
        <v>0</v>
      </c>
      <c r="P8" s="2">
        <f>(H8 + J8) - (L8 + N8)</f>
        <v>0</v>
      </c>
      <c r="Q8" s="2">
        <f>P8 * G8</f>
        <v>0</v>
      </c>
      <c r="R8">
        <v>0</v>
      </c>
      <c r="S8" s="2">
        <f>R8 * G8</f>
        <v>0</v>
      </c>
      <c r="T8" s="2">
        <f>(H8 + J8) - (L8 + N8) - R8</f>
        <v>0</v>
      </c>
      <c r="U8" s="2">
        <f>T8 * G8</f>
        <v>0</v>
      </c>
      <c r="V8" s="2">
        <f>I8 + K8 - S8</f>
        <v>0</v>
      </c>
      <c r="W8" s="2">
        <f>M8 - V8</f>
        <v>0</v>
      </c>
      <c r="X8" s="2">
        <f>IFERROR(W8 / M8 * 100, 0)</f>
        <v>0</v>
      </c>
    </row>
    <row r="9" spans="1:24">
      <c r="A9" t="s">
        <v>2207</v>
      </c>
      <c r="B9" t="s">
        <v>512</v>
      </c>
      <c r="C9" t="s">
        <v>2362</v>
      </c>
      <c r="D9" t="s">
        <v>1007</v>
      </c>
      <c r="E9" t="s">
        <v>2510</v>
      </c>
      <c r="F9" t="s">
        <v>2518</v>
      </c>
      <c r="G9">
        <v>18.5</v>
      </c>
      <c r="H9">
        <v>0</v>
      </c>
      <c r="I9">
        <v>0</v>
      </c>
      <c r="J9">
        <v>2</v>
      </c>
      <c r="K9">
        <v>37</v>
      </c>
      <c r="L9">
        <v>0</v>
      </c>
      <c r="M9">
        <v>0</v>
      </c>
      <c r="N9">
        <v>0</v>
      </c>
      <c r="O9">
        <v>0</v>
      </c>
      <c r="P9" s="2">
        <f>(H9 + J9) - (L9 + N9)</f>
        <v>0</v>
      </c>
      <c r="Q9" s="2">
        <f>P9 * G9</f>
        <v>0</v>
      </c>
      <c r="R9">
        <v>0</v>
      </c>
      <c r="S9" s="2">
        <f>R9 * G9</f>
        <v>0</v>
      </c>
      <c r="T9" s="2">
        <f>(H9 + J9) - (L9 + N9) - R9</f>
        <v>0</v>
      </c>
      <c r="U9" s="2">
        <f>T9 * G9</f>
        <v>0</v>
      </c>
      <c r="V9" s="2">
        <f>I9 + K9 - S9</f>
        <v>0</v>
      </c>
      <c r="W9" s="2">
        <f>M9 - V9</f>
        <v>0</v>
      </c>
      <c r="X9" s="2">
        <f>IFERROR(W9 / M9 * 100, 0)</f>
        <v>0</v>
      </c>
    </row>
    <row r="10" spans="1:24">
      <c r="A10" t="s">
        <v>2208</v>
      </c>
      <c r="B10" t="s">
        <v>512</v>
      </c>
      <c r="C10" t="s">
        <v>2363</v>
      </c>
      <c r="D10" t="s">
        <v>1008</v>
      </c>
      <c r="E10" t="s">
        <v>2510</v>
      </c>
      <c r="F10" t="s">
        <v>2519</v>
      </c>
      <c r="G10">
        <v>300</v>
      </c>
      <c r="H10">
        <v>0</v>
      </c>
      <c r="I10">
        <v>0</v>
      </c>
      <c r="J10">
        <v>4</v>
      </c>
      <c r="K10">
        <v>1200</v>
      </c>
      <c r="L10">
        <v>0</v>
      </c>
      <c r="M10">
        <v>0</v>
      </c>
      <c r="N10">
        <v>0</v>
      </c>
      <c r="O10">
        <v>0</v>
      </c>
      <c r="P10" s="2">
        <f>(H10 + J10) - (L10 + N10)</f>
        <v>0</v>
      </c>
      <c r="Q10" s="2">
        <f>P10 * G10</f>
        <v>0</v>
      </c>
      <c r="R10">
        <v>2</v>
      </c>
      <c r="S10" s="2">
        <f>R10 * G10</f>
        <v>0</v>
      </c>
      <c r="T10" s="2">
        <f>(H10 + J10) - (L10 + N10) - R10</f>
        <v>0</v>
      </c>
      <c r="U10" s="2">
        <f>T10 * G10</f>
        <v>0</v>
      </c>
      <c r="V10" s="2">
        <f>I10 + K10 - S10</f>
        <v>0</v>
      </c>
      <c r="W10" s="2">
        <f>M10 - V10</f>
        <v>0</v>
      </c>
      <c r="X10" s="2">
        <f>IFERROR(W10 / M10 * 100, 0)</f>
        <v>0</v>
      </c>
    </row>
    <row r="11" spans="1:24">
      <c r="A11" t="s">
        <v>2209</v>
      </c>
      <c r="B11" t="s">
        <v>512</v>
      </c>
      <c r="C11" t="s">
        <v>2364</v>
      </c>
      <c r="D11" t="s">
        <v>1008</v>
      </c>
      <c r="E11" t="s">
        <v>2510</v>
      </c>
      <c r="F11" t="s">
        <v>2520</v>
      </c>
      <c r="G11">
        <v>135</v>
      </c>
      <c r="H11">
        <v>1</v>
      </c>
      <c r="I11">
        <v>135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s="2">
        <f>(H11 + J11) - (L11 + N11)</f>
        <v>0</v>
      </c>
      <c r="Q11" s="2">
        <f>P11 * G11</f>
        <v>0</v>
      </c>
      <c r="R11">
        <v>1</v>
      </c>
      <c r="S11" s="2">
        <f>R11 * G11</f>
        <v>0</v>
      </c>
      <c r="T11" s="2">
        <f>(H11 + J11) - (L11 + N11) - R11</f>
        <v>0</v>
      </c>
      <c r="U11" s="2">
        <f>T11 * G11</f>
        <v>0</v>
      </c>
      <c r="V11" s="2">
        <f>I11 + K11 - S11</f>
        <v>0</v>
      </c>
      <c r="W11" s="2">
        <f>M11 - V11</f>
        <v>0</v>
      </c>
      <c r="X11" s="2">
        <f>IFERROR(W11 / M11 * 100, 0)</f>
        <v>0</v>
      </c>
    </row>
    <row r="12" spans="1:24">
      <c r="A12" t="s">
        <v>2210</v>
      </c>
      <c r="B12" t="s">
        <v>512</v>
      </c>
      <c r="C12" t="s">
        <v>2365</v>
      </c>
      <c r="D12" t="s">
        <v>1007</v>
      </c>
      <c r="E12" t="s">
        <v>2510</v>
      </c>
      <c r="F12" t="s">
        <v>2521</v>
      </c>
      <c r="G12">
        <v>0</v>
      </c>
      <c r="H12">
        <v>0</v>
      </c>
      <c r="I12">
        <v>0</v>
      </c>
      <c r="J12">
        <v>-0.08</v>
      </c>
      <c r="K12">
        <v>0</v>
      </c>
      <c r="L12">
        <v>0</v>
      </c>
      <c r="M12">
        <v>0</v>
      </c>
      <c r="N12">
        <v>0</v>
      </c>
      <c r="O12">
        <v>0</v>
      </c>
      <c r="P12" s="2">
        <f>(H12 + J12) - (L12 + N12)</f>
        <v>0</v>
      </c>
      <c r="Q12" s="2">
        <f>P12 * G12</f>
        <v>0</v>
      </c>
      <c r="R12">
        <v>0</v>
      </c>
      <c r="S12" s="2">
        <f>R12 * G12</f>
        <v>0</v>
      </c>
      <c r="T12" s="2">
        <f>(H12 + J12) - (L12 + N12) - R12</f>
        <v>0</v>
      </c>
      <c r="U12" s="2">
        <f>T12 * G12</f>
        <v>0</v>
      </c>
      <c r="V12" s="2">
        <f>I12 + K12 - S12</f>
        <v>0</v>
      </c>
      <c r="W12" s="2">
        <f>M12 - V12</f>
        <v>0</v>
      </c>
      <c r="X12" s="2">
        <f>IFERROR(W12 / M12 * 100, 0)</f>
        <v>0</v>
      </c>
    </row>
    <row r="13" spans="1:24">
      <c r="A13" t="s">
        <v>2211</v>
      </c>
      <c r="B13" t="s">
        <v>512</v>
      </c>
      <c r="C13" t="s">
        <v>2366</v>
      </c>
      <c r="D13" t="s">
        <v>1007</v>
      </c>
      <c r="E13" t="s">
        <v>2510</v>
      </c>
      <c r="F13" t="s">
        <v>2522</v>
      </c>
      <c r="G13">
        <v>8.65</v>
      </c>
      <c r="H13">
        <v>0</v>
      </c>
      <c r="I13">
        <v>0</v>
      </c>
      <c r="J13">
        <v>-39.99</v>
      </c>
      <c r="K13">
        <v>-408.38</v>
      </c>
      <c r="L13">
        <v>0</v>
      </c>
      <c r="M13">
        <v>0</v>
      </c>
      <c r="N13">
        <v>0</v>
      </c>
      <c r="O13">
        <v>0</v>
      </c>
      <c r="P13" s="2">
        <f>(H13 + J13) - (L13 + N13)</f>
        <v>0</v>
      </c>
      <c r="Q13" s="2">
        <f>P13 * G13</f>
        <v>0</v>
      </c>
      <c r="R13">
        <v>0</v>
      </c>
      <c r="S13" s="2">
        <f>R13 * G13</f>
        <v>0</v>
      </c>
      <c r="T13" s="2">
        <f>(H13 + J13) - (L13 + N13) - R13</f>
        <v>0</v>
      </c>
      <c r="U13" s="2">
        <f>T13 * G13</f>
        <v>0</v>
      </c>
      <c r="V13" s="2">
        <f>I13 + K13 - S13</f>
        <v>0</v>
      </c>
      <c r="W13" s="2">
        <f>M13 - V13</f>
        <v>0</v>
      </c>
      <c r="X13" s="2">
        <f>IFERROR(W13 / M13 * 100, 0)</f>
        <v>0</v>
      </c>
    </row>
    <row r="14" spans="1:24">
      <c r="A14" t="s">
        <v>2212</v>
      </c>
      <c r="B14" t="s">
        <v>512</v>
      </c>
      <c r="C14" t="s">
        <v>2367</v>
      </c>
      <c r="D14" t="s">
        <v>1007</v>
      </c>
      <c r="E14" t="s">
        <v>2510</v>
      </c>
      <c r="F14" t="s">
        <v>2523</v>
      </c>
      <c r="G14">
        <v>6.44</v>
      </c>
      <c r="H14">
        <v>0</v>
      </c>
      <c r="I14">
        <v>0</v>
      </c>
      <c r="J14">
        <v>-56.21</v>
      </c>
      <c r="K14">
        <v>-362.01</v>
      </c>
      <c r="L14">
        <v>0</v>
      </c>
      <c r="M14">
        <v>0</v>
      </c>
      <c r="N14">
        <v>0</v>
      </c>
      <c r="O14">
        <v>0</v>
      </c>
      <c r="P14" s="2">
        <f>(H14 + J14) - (L14 + N14)</f>
        <v>0</v>
      </c>
      <c r="Q14" s="2">
        <f>P14 * G14</f>
        <v>0</v>
      </c>
      <c r="R14">
        <v>0</v>
      </c>
      <c r="S14" s="2">
        <f>R14 * G14</f>
        <v>0</v>
      </c>
      <c r="T14" s="2">
        <f>(H14 + J14) - (L14 + N14) - R14</f>
        <v>0</v>
      </c>
      <c r="U14" s="2">
        <f>T14 * G14</f>
        <v>0</v>
      </c>
      <c r="V14" s="2">
        <f>I14 + K14 - S14</f>
        <v>0</v>
      </c>
      <c r="W14" s="2">
        <f>M14 - V14</f>
        <v>0</v>
      </c>
      <c r="X14" s="2">
        <f>IFERROR(W14 / M14 * 100, 0)</f>
        <v>0</v>
      </c>
    </row>
    <row r="15" spans="1:24">
      <c r="A15" t="s">
        <v>2213</v>
      </c>
      <c r="B15" t="s">
        <v>512</v>
      </c>
      <c r="C15" t="s">
        <v>2368</v>
      </c>
      <c r="D15" t="s">
        <v>1008</v>
      </c>
      <c r="E15" t="s">
        <v>2510</v>
      </c>
      <c r="F15" t="s">
        <v>2524</v>
      </c>
      <c r="G15">
        <v>200</v>
      </c>
      <c r="H15">
        <v>0</v>
      </c>
      <c r="I15">
        <v>0</v>
      </c>
      <c r="J15">
        <v>4</v>
      </c>
      <c r="K15">
        <v>800</v>
      </c>
      <c r="L15">
        <v>0</v>
      </c>
      <c r="M15">
        <v>0</v>
      </c>
      <c r="N15">
        <v>0</v>
      </c>
      <c r="O15">
        <v>0</v>
      </c>
      <c r="P15" s="2">
        <f>(H15 + J15) - (L15 + N15)</f>
        <v>0</v>
      </c>
      <c r="Q15" s="2">
        <f>P15 * G15</f>
        <v>0</v>
      </c>
      <c r="R15">
        <v>4</v>
      </c>
      <c r="S15" s="2">
        <f>R15 * G15</f>
        <v>0</v>
      </c>
      <c r="T15" s="2">
        <f>(H15 + J15) - (L15 + N15) - R15</f>
        <v>0</v>
      </c>
      <c r="U15" s="2">
        <f>T15 * G15</f>
        <v>0</v>
      </c>
      <c r="V15" s="2">
        <f>I15 + K15 - S15</f>
        <v>0</v>
      </c>
      <c r="W15" s="2">
        <f>M15 - V15</f>
        <v>0</v>
      </c>
      <c r="X15" s="2">
        <f>IFERROR(W15 / M15 * 100, 0)</f>
        <v>0</v>
      </c>
    </row>
    <row r="16" spans="1:24">
      <c r="A16" t="s">
        <v>2214</v>
      </c>
      <c r="B16" t="s">
        <v>512</v>
      </c>
      <c r="C16" t="s">
        <v>2369</v>
      </c>
      <c r="D16" t="s">
        <v>1008</v>
      </c>
      <c r="E16" t="s">
        <v>2510</v>
      </c>
      <c r="F16" t="s">
        <v>2525</v>
      </c>
      <c r="G16">
        <v>135</v>
      </c>
      <c r="H16">
        <v>0</v>
      </c>
      <c r="I16">
        <v>0</v>
      </c>
      <c r="J16">
        <v>2</v>
      </c>
      <c r="K16">
        <v>270</v>
      </c>
      <c r="L16">
        <v>0</v>
      </c>
      <c r="M16">
        <v>0</v>
      </c>
      <c r="N16">
        <v>0</v>
      </c>
      <c r="O16">
        <v>0</v>
      </c>
      <c r="P16" s="2">
        <f>(H16 + J16) - (L16 + N16)</f>
        <v>0</v>
      </c>
      <c r="Q16" s="2">
        <f>P16 * G16</f>
        <v>0</v>
      </c>
      <c r="R16">
        <v>2</v>
      </c>
      <c r="S16" s="2">
        <f>R16 * G16</f>
        <v>0</v>
      </c>
      <c r="T16" s="2">
        <f>(H16 + J16) - (L16 + N16) - R16</f>
        <v>0</v>
      </c>
      <c r="U16" s="2">
        <f>T16 * G16</f>
        <v>0</v>
      </c>
      <c r="V16" s="2">
        <f>I16 + K16 - S16</f>
        <v>0</v>
      </c>
      <c r="W16" s="2">
        <f>M16 - V16</f>
        <v>0</v>
      </c>
      <c r="X16" s="2">
        <f>IFERROR(W16 / M16 * 100, 0)</f>
        <v>0</v>
      </c>
    </row>
    <row r="17" spans="1:24">
      <c r="A17" t="s">
        <v>2215</v>
      </c>
      <c r="B17" t="s">
        <v>512</v>
      </c>
      <c r="C17" t="s">
        <v>2370</v>
      </c>
      <c r="D17" t="s">
        <v>1007</v>
      </c>
      <c r="E17" t="s">
        <v>2510</v>
      </c>
      <c r="F17" t="s">
        <v>2526</v>
      </c>
      <c r="G17">
        <v>22</v>
      </c>
      <c r="H17">
        <v>0</v>
      </c>
      <c r="I17">
        <v>0</v>
      </c>
      <c r="J17">
        <v>0</v>
      </c>
      <c r="K17">
        <v>0</v>
      </c>
      <c r="L17">
        <v>0.21</v>
      </c>
      <c r="M17">
        <v>4.99</v>
      </c>
      <c r="N17">
        <v>0</v>
      </c>
      <c r="O17">
        <v>0</v>
      </c>
      <c r="P17" s="2">
        <f>(H17 + J17) - (L17 + N17)</f>
        <v>0</v>
      </c>
      <c r="Q17" s="2">
        <f>P17 * G17</f>
        <v>0</v>
      </c>
      <c r="R17">
        <v>0</v>
      </c>
      <c r="S17" s="2">
        <f>R17 * G17</f>
        <v>0</v>
      </c>
      <c r="T17" s="2">
        <f>(H17 + J17) - (L17 + N17) - R17</f>
        <v>0</v>
      </c>
      <c r="U17" s="2">
        <f>T17 * G17</f>
        <v>0</v>
      </c>
      <c r="V17" s="2">
        <f>I17 + K17 - S17</f>
        <v>0</v>
      </c>
      <c r="W17" s="2">
        <f>M17 - V17</f>
        <v>0</v>
      </c>
      <c r="X17" s="2">
        <f>IFERROR(W17 / M17 * 100, 0)</f>
        <v>0</v>
      </c>
    </row>
    <row r="18" spans="1:24">
      <c r="A18" t="s">
        <v>2216</v>
      </c>
      <c r="B18" t="s">
        <v>512</v>
      </c>
      <c r="C18" t="s">
        <v>2371</v>
      </c>
      <c r="D18" t="s">
        <v>1007</v>
      </c>
      <c r="E18" t="s">
        <v>2510</v>
      </c>
      <c r="F18" t="s">
        <v>2527</v>
      </c>
      <c r="G18">
        <v>22</v>
      </c>
      <c r="H18">
        <v>6.6</v>
      </c>
      <c r="I18">
        <v>145.2</v>
      </c>
      <c r="J18">
        <v>30</v>
      </c>
      <c r="K18">
        <v>660</v>
      </c>
      <c r="L18">
        <v>11.31</v>
      </c>
      <c r="M18">
        <v>299.69</v>
      </c>
      <c r="N18">
        <v>0</v>
      </c>
      <c r="O18">
        <v>0</v>
      </c>
      <c r="P18" s="2">
        <f>(H18 + J18) - (L18 + N18)</f>
        <v>0</v>
      </c>
      <c r="Q18" s="2">
        <f>P18 * G18</f>
        <v>0</v>
      </c>
      <c r="R18">
        <v>29.8</v>
      </c>
      <c r="S18" s="2">
        <f>R18 * G18</f>
        <v>0</v>
      </c>
      <c r="T18" s="2">
        <f>(H18 + J18) - (L18 + N18) - R18</f>
        <v>0</v>
      </c>
      <c r="U18" s="2">
        <f>T18 * G18</f>
        <v>0</v>
      </c>
      <c r="V18" s="2">
        <f>I18 + K18 - S18</f>
        <v>0</v>
      </c>
      <c r="W18" s="2">
        <f>M18 - V18</f>
        <v>0</v>
      </c>
      <c r="X18" s="2">
        <f>IFERROR(W18 / M18 * 100, 0)</f>
        <v>0</v>
      </c>
    </row>
    <row r="19" spans="1:24">
      <c r="A19" t="s">
        <v>2217</v>
      </c>
      <c r="B19" t="s">
        <v>512</v>
      </c>
      <c r="C19" t="s">
        <v>2372</v>
      </c>
      <c r="D19" t="s">
        <v>1007</v>
      </c>
      <c r="E19" t="s">
        <v>2510</v>
      </c>
      <c r="F19" t="s">
        <v>2528</v>
      </c>
      <c r="G19">
        <v>21.33</v>
      </c>
      <c r="H19">
        <v>10.2</v>
      </c>
      <c r="I19">
        <v>217.57</v>
      </c>
      <c r="J19">
        <v>6</v>
      </c>
      <c r="K19">
        <v>127.98</v>
      </c>
      <c r="L19">
        <v>13.41</v>
      </c>
      <c r="M19">
        <v>335.15</v>
      </c>
      <c r="N19">
        <v>0</v>
      </c>
      <c r="O19">
        <v>0</v>
      </c>
      <c r="P19" s="2">
        <f>(H19 + J19) - (L19 + N19)</f>
        <v>0</v>
      </c>
      <c r="Q19" s="2">
        <f>P19 * G19</f>
        <v>0</v>
      </c>
      <c r="R19">
        <v>2.7</v>
      </c>
      <c r="S19" s="2">
        <f>R19 * G19</f>
        <v>0</v>
      </c>
      <c r="T19" s="2">
        <f>(H19 + J19) - (L19 + N19) - R19</f>
        <v>0</v>
      </c>
      <c r="U19" s="2">
        <f>T19 * G19</f>
        <v>0</v>
      </c>
      <c r="V19" s="2">
        <f>I19 + K19 - S19</f>
        <v>0</v>
      </c>
      <c r="W19" s="2">
        <f>M19 - V19</f>
        <v>0</v>
      </c>
      <c r="X19" s="2">
        <f>IFERROR(W19 / M19 * 100, 0)</f>
        <v>0</v>
      </c>
    </row>
    <row r="20" spans="1:24">
      <c r="A20" t="s">
        <v>2218</v>
      </c>
      <c r="B20" t="s">
        <v>512</v>
      </c>
      <c r="C20" t="s">
        <v>2373</v>
      </c>
      <c r="D20" t="s">
        <v>1007</v>
      </c>
      <c r="E20" t="s">
        <v>2510</v>
      </c>
      <c r="F20" t="s">
        <v>2529</v>
      </c>
      <c r="G20">
        <v>16</v>
      </c>
      <c r="H20">
        <v>0</v>
      </c>
      <c r="I20">
        <v>0</v>
      </c>
      <c r="J20">
        <v>-0.03</v>
      </c>
      <c r="K20">
        <v>-0.51</v>
      </c>
      <c r="L20">
        <v>0</v>
      </c>
      <c r="M20">
        <v>0</v>
      </c>
      <c r="N20">
        <v>0</v>
      </c>
      <c r="O20">
        <v>0</v>
      </c>
      <c r="P20" s="2">
        <f>(H20 + J20) - (L20 + N20)</f>
        <v>0</v>
      </c>
      <c r="Q20" s="2">
        <f>P20 * G20</f>
        <v>0</v>
      </c>
      <c r="R20">
        <v>0</v>
      </c>
      <c r="S20" s="2">
        <f>R20 * G20</f>
        <v>0</v>
      </c>
      <c r="T20" s="2">
        <f>(H20 + J20) - (L20 + N20) - R20</f>
        <v>0</v>
      </c>
      <c r="U20" s="2">
        <f>T20 * G20</f>
        <v>0</v>
      </c>
      <c r="V20" s="2">
        <f>I20 + K20 - S20</f>
        <v>0</v>
      </c>
      <c r="W20" s="2">
        <f>M20 - V20</f>
        <v>0</v>
      </c>
      <c r="X20" s="2">
        <f>IFERROR(W20 / M20 * 100, 0)</f>
        <v>0</v>
      </c>
    </row>
    <row r="21" spans="1:24">
      <c r="A21" t="s">
        <v>2219</v>
      </c>
      <c r="B21" t="s">
        <v>513</v>
      </c>
      <c r="C21" t="s">
        <v>2374</v>
      </c>
      <c r="D21" t="s">
        <v>1007</v>
      </c>
      <c r="E21" t="s">
        <v>2510</v>
      </c>
      <c r="F21" t="s">
        <v>2530</v>
      </c>
      <c r="G21">
        <v>11.94</v>
      </c>
      <c r="H21">
        <v>2</v>
      </c>
      <c r="I21">
        <v>23.87</v>
      </c>
      <c r="J21">
        <v>0</v>
      </c>
      <c r="K21">
        <v>0</v>
      </c>
      <c r="L21">
        <v>1.01</v>
      </c>
      <c r="M21">
        <v>25.35</v>
      </c>
      <c r="N21">
        <v>0</v>
      </c>
      <c r="O21">
        <v>0</v>
      </c>
      <c r="P21" s="2">
        <f>(H21 + J21) - (L21 + N21)</f>
        <v>0</v>
      </c>
      <c r="Q21" s="2">
        <f>P21 * G21</f>
        <v>0</v>
      </c>
      <c r="R21">
        <v>0</v>
      </c>
      <c r="S21" s="2">
        <f>R21 * G21</f>
        <v>0</v>
      </c>
      <c r="T21" s="2">
        <f>(H21 + J21) - (L21 + N21) - R21</f>
        <v>0</v>
      </c>
      <c r="U21" s="2">
        <f>T21 * G21</f>
        <v>0</v>
      </c>
      <c r="V21" s="2">
        <f>I21 + K21 - S21</f>
        <v>0</v>
      </c>
      <c r="W21" s="2">
        <f>M21 - V21</f>
        <v>0</v>
      </c>
      <c r="X21" s="2">
        <f>IFERROR(W21 / M21 * 100, 0)</f>
        <v>0</v>
      </c>
    </row>
    <row r="22" spans="1:24">
      <c r="A22" t="s">
        <v>2220</v>
      </c>
      <c r="B22" t="s">
        <v>512</v>
      </c>
      <c r="C22" t="s">
        <v>2375</v>
      </c>
      <c r="D22" t="s">
        <v>1007</v>
      </c>
      <c r="E22" t="s">
        <v>2510</v>
      </c>
      <c r="F22" t="s">
        <v>2531</v>
      </c>
      <c r="G22">
        <v>3.06</v>
      </c>
      <c r="H22">
        <v>0</v>
      </c>
      <c r="I22">
        <v>0</v>
      </c>
      <c r="J22">
        <v>195.7</v>
      </c>
      <c r="K22">
        <v>587.12</v>
      </c>
      <c r="L22">
        <v>0</v>
      </c>
      <c r="M22">
        <v>0</v>
      </c>
      <c r="N22">
        <v>0</v>
      </c>
      <c r="O22">
        <v>0</v>
      </c>
      <c r="P22" s="2">
        <f>(H22 + J22) - (L22 + N22)</f>
        <v>0</v>
      </c>
      <c r="Q22" s="2">
        <f>P22 * G22</f>
        <v>0</v>
      </c>
      <c r="R22">
        <v>0</v>
      </c>
      <c r="S22" s="2">
        <f>R22 * G22</f>
        <v>0</v>
      </c>
      <c r="T22" s="2">
        <f>(H22 + J22) - (L22 + N22) - R22</f>
        <v>0</v>
      </c>
      <c r="U22" s="2">
        <f>T22 * G22</f>
        <v>0</v>
      </c>
      <c r="V22" s="2">
        <f>I22 + K22 - S22</f>
        <v>0</v>
      </c>
      <c r="W22" s="2">
        <f>M22 - V22</f>
        <v>0</v>
      </c>
      <c r="X22" s="2">
        <f>IFERROR(W22 / M22 * 100, 0)</f>
        <v>0</v>
      </c>
    </row>
    <row r="23" spans="1:24">
      <c r="A23" t="s">
        <v>2221</v>
      </c>
      <c r="B23" t="s">
        <v>512</v>
      </c>
      <c r="C23" t="s">
        <v>2376</v>
      </c>
      <c r="D23" t="s">
        <v>1007</v>
      </c>
      <c r="E23" t="s">
        <v>2510</v>
      </c>
      <c r="F23" t="s">
        <v>2532</v>
      </c>
      <c r="G23">
        <v>44</v>
      </c>
      <c r="H23">
        <v>1.6</v>
      </c>
      <c r="I23">
        <v>70.40000000000001</v>
      </c>
      <c r="J23">
        <v>0</v>
      </c>
      <c r="K23">
        <v>0</v>
      </c>
      <c r="L23">
        <v>0.97</v>
      </c>
      <c r="M23">
        <v>58.08</v>
      </c>
      <c r="N23">
        <v>0</v>
      </c>
      <c r="O23">
        <v>0</v>
      </c>
      <c r="P23" s="2">
        <f>(H23 + J23) - (L23 + N23)</f>
        <v>0</v>
      </c>
      <c r="Q23" s="2">
        <f>P23 * G23</f>
        <v>0</v>
      </c>
      <c r="R23">
        <v>0</v>
      </c>
      <c r="S23" s="2">
        <f>R23 * G23</f>
        <v>0</v>
      </c>
      <c r="T23" s="2">
        <f>(H23 + J23) - (L23 + N23) - R23</f>
        <v>0</v>
      </c>
      <c r="U23" s="2">
        <f>T23 * G23</f>
        <v>0</v>
      </c>
      <c r="V23" s="2">
        <f>I23 + K23 - S23</f>
        <v>0</v>
      </c>
      <c r="W23" s="2">
        <f>M23 - V23</f>
        <v>0</v>
      </c>
      <c r="X23" s="2">
        <f>IFERROR(W23 / M23 * 100, 0)</f>
        <v>0</v>
      </c>
    </row>
    <row r="24" spans="1:24">
      <c r="A24" t="s">
        <v>2222</v>
      </c>
      <c r="B24" t="s">
        <v>513</v>
      </c>
      <c r="C24" t="s">
        <v>2377</v>
      </c>
      <c r="D24" t="s">
        <v>1007</v>
      </c>
      <c r="E24" t="s">
        <v>2510</v>
      </c>
      <c r="F24" t="s">
        <v>2533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s="2">
        <f>(H24 + J24) - (L24 + N24)</f>
        <v>0</v>
      </c>
      <c r="Q24" s="2">
        <f>P24 * G24</f>
        <v>0</v>
      </c>
      <c r="R24">
        <v>10</v>
      </c>
      <c r="S24" s="2">
        <f>R24 * G24</f>
        <v>0</v>
      </c>
      <c r="T24" s="2">
        <f>(H24 + J24) - (L24 + N24) - R24</f>
        <v>0</v>
      </c>
      <c r="U24" s="2">
        <f>T24 * G24</f>
        <v>0</v>
      </c>
      <c r="V24" s="2">
        <f>I24 + K24 - S24</f>
        <v>0</v>
      </c>
      <c r="W24" s="2">
        <f>M24 - V24</f>
        <v>0</v>
      </c>
      <c r="X24" s="2">
        <f>IFERROR(W24 / M24 * 100, 0)</f>
        <v>0</v>
      </c>
    </row>
    <row r="25" spans="1:24">
      <c r="A25" t="s">
        <v>2223</v>
      </c>
      <c r="B25" t="s">
        <v>512</v>
      </c>
      <c r="C25" t="s">
        <v>2378</v>
      </c>
      <c r="D25" t="s">
        <v>1008</v>
      </c>
      <c r="E25" t="s">
        <v>2510</v>
      </c>
      <c r="F25" t="s">
        <v>2534</v>
      </c>
      <c r="G25">
        <v>70</v>
      </c>
      <c r="H25">
        <v>0</v>
      </c>
      <c r="I25">
        <v>0</v>
      </c>
      <c r="J25">
        <v>1</v>
      </c>
      <c r="K25">
        <v>70</v>
      </c>
      <c r="L25">
        <v>0</v>
      </c>
      <c r="M25">
        <v>0</v>
      </c>
      <c r="N25">
        <v>0</v>
      </c>
      <c r="O25">
        <v>0</v>
      </c>
      <c r="P25" s="2">
        <f>(H25 + J25) - (L25 + N25)</f>
        <v>0</v>
      </c>
      <c r="Q25" s="2">
        <f>P25 * G25</f>
        <v>0</v>
      </c>
      <c r="R25">
        <v>1</v>
      </c>
      <c r="S25" s="2">
        <f>R25 * G25</f>
        <v>0</v>
      </c>
      <c r="T25" s="2">
        <f>(H25 + J25) - (L25 + N25) - R25</f>
        <v>0</v>
      </c>
      <c r="U25" s="2">
        <f>T25 * G25</f>
        <v>0</v>
      </c>
      <c r="V25" s="2">
        <f>I25 + K25 - S25</f>
        <v>0</v>
      </c>
      <c r="W25" s="2">
        <f>M25 - V25</f>
        <v>0</v>
      </c>
      <c r="X25" s="2">
        <f>IFERROR(W25 / M25 * 100, 0)</f>
        <v>0</v>
      </c>
    </row>
    <row r="26" spans="1:24">
      <c r="A26" t="s">
        <v>2224</v>
      </c>
      <c r="B26" t="s">
        <v>512</v>
      </c>
      <c r="C26" t="s">
        <v>2379</v>
      </c>
      <c r="D26" t="s">
        <v>1008</v>
      </c>
      <c r="E26" t="s">
        <v>2510</v>
      </c>
      <c r="F26" t="s">
        <v>2535</v>
      </c>
      <c r="G26">
        <v>200</v>
      </c>
      <c r="H26">
        <v>2</v>
      </c>
      <c r="I26">
        <v>400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s="2">
        <f>(H26 + J26) - (L26 + N26)</f>
        <v>0</v>
      </c>
      <c r="Q26" s="2">
        <f>P26 * G26</f>
        <v>0</v>
      </c>
      <c r="R26">
        <v>2</v>
      </c>
      <c r="S26" s="2">
        <f>R26 * G26</f>
        <v>0</v>
      </c>
      <c r="T26" s="2">
        <f>(H26 + J26) - (L26 + N26) - R26</f>
        <v>0</v>
      </c>
      <c r="U26" s="2">
        <f>T26 * G26</f>
        <v>0</v>
      </c>
      <c r="V26" s="2">
        <f>I26 + K26 - S26</f>
        <v>0</v>
      </c>
      <c r="W26" s="2">
        <f>M26 - V26</f>
        <v>0</v>
      </c>
      <c r="X26" s="2">
        <f>IFERROR(W26 / M26 * 100, 0)</f>
        <v>0</v>
      </c>
    </row>
    <row r="27" spans="1:24">
      <c r="A27" t="s">
        <v>2225</v>
      </c>
      <c r="B27" t="s">
        <v>512</v>
      </c>
      <c r="C27" t="s">
        <v>2380</v>
      </c>
      <c r="D27" t="s">
        <v>1007</v>
      </c>
      <c r="E27" t="s">
        <v>2510</v>
      </c>
      <c r="F27" t="s">
        <v>2536</v>
      </c>
      <c r="G27">
        <v>18.73</v>
      </c>
      <c r="H27">
        <v>36.1</v>
      </c>
      <c r="I27">
        <v>670.22</v>
      </c>
      <c r="J27">
        <v>20</v>
      </c>
      <c r="K27">
        <v>380</v>
      </c>
      <c r="L27">
        <v>8.75</v>
      </c>
      <c r="M27">
        <v>217.84</v>
      </c>
      <c r="N27">
        <v>0</v>
      </c>
      <c r="O27">
        <v>0</v>
      </c>
      <c r="P27" s="2">
        <f>(H27 + J27) - (L27 + N27)</f>
        <v>0</v>
      </c>
      <c r="Q27" s="2">
        <f>P27 * G27</f>
        <v>0</v>
      </c>
      <c r="R27">
        <v>43</v>
      </c>
      <c r="S27" s="2">
        <f>R27 * G27</f>
        <v>0</v>
      </c>
      <c r="T27" s="2">
        <f>(H27 + J27) - (L27 + N27) - R27</f>
        <v>0</v>
      </c>
      <c r="U27" s="2">
        <f>T27 * G27</f>
        <v>0</v>
      </c>
      <c r="V27" s="2">
        <f>I27 + K27 - S27</f>
        <v>0</v>
      </c>
      <c r="W27" s="2">
        <f>M27 - V27</f>
        <v>0</v>
      </c>
      <c r="X27" s="2">
        <f>IFERROR(W27 / M27 * 100, 0)</f>
        <v>0</v>
      </c>
    </row>
    <row r="28" spans="1:24">
      <c r="A28" t="s">
        <v>2226</v>
      </c>
      <c r="B28" t="s">
        <v>512</v>
      </c>
      <c r="C28" t="s">
        <v>2381</v>
      </c>
      <c r="D28" t="s">
        <v>1007</v>
      </c>
      <c r="E28" t="s">
        <v>2510</v>
      </c>
      <c r="F28" t="s">
        <v>2537</v>
      </c>
      <c r="G28">
        <v>11.5</v>
      </c>
      <c r="H28">
        <v>9.5</v>
      </c>
      <c r="I28">
        <v>109.25</v>
      </c>
      <c r="J28">
        <v>10</v>
      </c>
      <c r="K28">
        <v>114.99</v>
      </c>
      <c r="L28">
        <v>9.73</v>
      </c>
      <c r="M28">
        <v>199.51</v>
      </c>
      <c r="N28">
        <v>0</v>
      </c>
      <c r="O28">
        <v>0</v>
      </c>
      <c r="P28" s="2">
        <f>(H28 + J28) - (L28 + N28)</f>
        <v>0</v>
      </c>
      <c r="Q28" s="2">
        <f>P28 * G28</f>
        <v>0</v>
      </c>
      <c r="R28">
        <v>10.6</v>
      </c>
      <c r="S28" s="2">
        <f>R28 * G28</f>
        <v>0</v>
      </c>
      <c r="T28" s="2">
        <f>(H28 + J28) - (L28 + N28) - R28</f>
        <v>0</v>
      </c>
      <c r="U28" s="2">
        <f>T28 * G28</f>
        <v>0</v>
      </c>
      <c r="V28" s="2">
        <f>I28 + K28 - S28</f>
        <v>0</v>
      </c>
      <c r="W28" s="2">
        <f>M28 - V28</f>
        <v>0</v>
      </c>
      <c r="X28" s="2">
        <f>IFERROR(W28 / M28 * 100, 0)</f>
        <v>0</v>
      </c>
    </row>
    <row r="29" spans="1:24">
      <c r="A29" t="s">
        <v>2227</v>
      </c>
      <c r="B29" t="s">
        <v>512</v>
      </c>
      <c r="C29" t="s">
        <v>2382</v>
      </c>
      <c r="D29" t="s">
        <v>1008</v>
      </c>
      <c r="E29" t="s">
        <v>2510</v>
      </c>
      <c r="F29" t="s">
        <v>2538</v>
      </c>
      <c r="G29">
        <v>135</v>
      </c>
      <c r="H29">
        <v>0</v>
      </c>
      <c r="I29">
        <v>0</v>
      </c>
      <c r="J29">
        <v>2</v>
      </c>
      <c r="K29">
        <v>270</v>
      </c>
      <c r="L29">
        <v>0</v>
      </c>
      <c r="M29">
        <v>0</v>
      </c>
      <c r="N29">
        <v>0</v>
      </c>
      <c r="O29">
        <v>0</v>
      </c>
      <c r="P29" s="2">
        <f>(H29 + J29) - (L29 + N29)</f>
        <v>0</v>
      </c>
      <c r="Q29" s="2">
        <f>P29 * G29</f>
        <v>0</v>
      </c>
      <c r="R29">
        <v>2</v>
      </c>
      <c r="S29" s="2">
        <f>R29 * G29</f>
        <v>0</v>
      </c>
      <c r="T29" s="2">
        <f>(H29 + J29) - (L29 + N29) - R29</f>
        <v>0</v>
      </c>
      <c r="U29" s="2">
        <f>T29 * G29</f>
        <v>0</v>
      </c>
      <c r="V29" s="2">
        <f>I29 + K29 - S29</f>
        <v>0</v>
      </c>
      <c r="W29" s="2">
        <f>M29 - V29</f>
        <v>0</v>
      </c>
      <c r="X29" s="2">
        <f>IFERROR(W29 / M29 * 100, 0)</f>
        <v>0</v>
      </c>
    </row>
    <row r="30" spans="1:24">
      <c r="A30" t="s">
        <v>2228</v>
      </c>
      <c r="B30" t="s">
        <v>513</v>
      </c>
      <c r="C30" t="s">
        <v>2383</v>
      </c>
      <c r="D30" t="s">
        <v>1007</v>
      </c>
      <c r="E30" t="s">
        <v>2510</v>
      </c>
      <c r="F30" t="s">
        <v>2539</v>
      </c>
      <c r="G30">
        <v>12.08</v>
      </c>
      <c r="H30">
        <v>0.5</v>
      </c>
      <c r="I30">
        <v>6.04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s="2">
        <f>(H30 + J30) - (L30 + N30)</f>
        <v>0</v>
      </c>
      <c r="Q30" s="2">
        <f>P30 * G30</f>
        <v>0</v>
      </c>
      <c r="R30">
        <v>0</v>
      </c>
      <c r="S30" s="2">
        <f>R30 * G30</f>
        <v>0</v>
      </c>
      <c r="T30" s="2">
        <f>(H30 + J30) - (L30 + N30) - R30</f>
        <v>0</v>
      </c>
      <c r="U30" s="2">
        <f>T30 * G30</f>
        <v>0</v>
      </c>
      <c r="V30" s="2">
        <f>I30 + K30 - S30</f>
        <v>0</v>
      </c>
      <c r="W30" s="2">
        <f>M30 - V30</f>
        <v>0</v>
      </c>
      <c r="X30" s="2">
        <f>IFERROR(W30 / M30 * 100, 0)</f>
        <v>0</v>
      </c>
    </row>
    <row r="31" spans="1:24">
      <c r="A31" t="s">
        <v>2229</v>
      </c>
      <c r="B31" t="s">
        <v>512</v>
      </c>
      <c r="C31" t="s">
        <v>2384</v>
      </c>
      <c r="D31" t="s">
        <v>1007</v>
      </c>
      <c r="E31" t="s">
        <v>2510</v>
      </c>
      <c r="F31" t="s">
        <v>2540</v>
      </c>
      <c r="G31">
        <v>21.74</v>
      </c>
      <c r="H31">
        <v>1</v>
      </c>
      <c r="I31">
        <v>21.74</v>
      </c>
      <c r="J31">
        <v>24</v>
      </c>
      <c r="K31">
        <v>521.6799999999999</v>
      </c>
      <c r="L31">
        <v>3.31</v>
      </c>
      <c r="M31">
        <v>90.31999999999999</v>
      </c>
      <c r="N31">
        <v>0</v>
      </c>
      <c r="O31">
        <v>0</v>
      </c>
      <c r="P31" s="2">
        <f>(H31 + J31) - (L31 + N31)</f>
        <v>0</v>
      </c>
      <c r="Q31" s="2">
        <f>P31 * G31</f>
        <v>0</v>
      </c>
      <c r="R31">
        <v>22.6</v>
      </c>
      <c r="S31" s="2">
        <f>R31 * G31</f>
        <v>0</v>
      </c>
      <c r="T31" s="2">
        <f>(H31 + J31) - (L31 + N31) - R31</f>
        <v>0</v>
      </c>
      <c r="U31" s="2">
        <f>T31 * G31</f>
        <v>0</v>
      </c>
      <c r="V31" s="2">
        <f>I31 + K31 - S31</f>
        <v>0</v>
      </c>
      <c r="W31" s="2">
        <f>M31 - V31</f>
        <v>0</v>
      </c>
      <c r="X31" s="2">
        <f>IFERROR(W31 / M31 * 100, 0)</f>
        <v>0</v>
      </c>
    </row>
    <row r="32" spans="1:24">
      <c r="A32" t="s">
        <v>2230</v>
      </c>
      <c r="B32" t="s">
        <v>512</v>
      </c>
      <c r="C32" t="s">
        <v>2385</v>
      </c>
      <c r="D32" t="s">
        <v>1008</v>
      </c>
      <c r="E32" t="s">
        <v>2510</v>
      </c>
      <c r="F32" t="s">
        <v>2541</v>
      </c>
      <c r="G32">
        <v>27</v>
      </c>
      <c r="H32">
        <v>0</v>
      </c>
      <c r="I32">
        <v>0</v>
      </c>
      <c r="J32">
        <v>11</v>
      </c>
      <c r="K32">
        <v>297</v>
      </c>
      <c r="L32">
        <v>0</v>
      </c>
      <c r="M32">
        <v>0</v>
      </c>
      <c r="N32">
        <v>0</v>
      </c>
      <c r="O32">
        <v>0</v>
      </c>
      <c r="P32" s="2">
        <f>(H32 + J32) - (L32 + N32)</f>
        <v>0</v>
      </c>
      <c r="Q32" s="2">
        <f>P32 * G32</f>
        <v>0</v>
      </c>
      <c r="R32">
        <v>5</v>
      </c>
      <c r="S32" s="2">
        <f>R32 * G32</f>
        <v>0</v>
      </c>
      <c r="T32" s="2">
        <f>(H32 + J32) - (L32 + N32) - R32</f>
        <v>0</v>
      </c>
      <c r="U32" s="2">
        <f>T32 * G32</f>
        <v>0</v>
      </c>
      <c r="V32" s="2">
        <f>I32 + K32 - S32</f>
        <v>0</v>
      </c>
      <c r="W32" s="2">
        <f>M32 - V32</f>
        <v>0</v>
      </c>
      <c r="X32" s="2">
        <f>IFERROR(W32 / M32 * 100, 0)</f>
        <v>0</v>
      </c>
    </row>
    <row r="33" spans="1:24">
      <c r="A33" t="s">
        <v>2231</v>
      </c>
      <c r="B33" t="s">
        <v>512</v>
      </c>
      <c r="C33" t="s">
        <v>2386</v>
      </c>
      <c r="D33" t="s">
        <v>1007</v>
      </c>
      <c r="E33" t="s">
        <v>2510</v>
      </c>
      <c r="F33" t="s">
        <v>2542</v>
      </c>
      <c r="G33">
        <v>2.5</v>
      </c>
      <c r="H33">
        <v>0</v>
      </c>
      <c r="I33">
        <v>0</v>
      </c>
      <c r="J33">
        <v>0.57</v>
      </c>
      <c r="K33">
        <v>1.41</v>
      </c>
      <c r="L33">
        <v>0</v>
      </c>
      <c r="M33">
        <v>0</v>
      </c>
      <c r="N33">
        <v>0</v>
      </c>
      <c r="O33">
        <v>0</v>
      </c>
      <c r="P33" s="2">
        <f>(H33 + J33) - (L33 + N33)</f>
        <v>0</v>
      </c>
      <c r="Q33" s="2">
        <f>P33 * G33</f>
        <v>0</v>
      </c>
      <c r="R33">
        <v>0</v>
      </c>
      <c r="S33" s="2">
        <f>R33 * G33</f>
        <v>0</v>
      </c>
      <c r="T33" s="2">
        <f>(H33 + J33) - (L33 + N33) - R33</f>
        <v>0</v>
      </c>
      <c r="U33" s="2">
        <f>T33 * G33</f>
        <v>0</v>
      </c>
      <c r="V33" s="2">
        <f>I33 + K33 - S33</f>
        <v>0</v>
      </c>
      <c r="W33" s="2">
        <f>M33 - V33</f>
        <v>0</v>
      </c>
      <c r="X33" s="2">
        <f>IFERROR(W33 / M33 * 100, 0)</f>
        <v>0</v>
      </c>
    </row>
    <row r="34" spans="1:24">
      <c r="A34" t="s">
        <v>2232</v>
      </c>
      <c r="B34" t="s">
        <v>512</v>
      </c>
      <c r="C34" t="s">
        <v>2387</v>
      </c>
      <c r="D34" t="s">
        <v>1007</v>
      </c>
      <c r="E34" t="s">
        <v>2510</v>
      </c>
      <c r="F34" t="s">
        <v>2543</v>
      </c>
      <c r="G34">
        <v>3.14</v>
      </c>
      <c r="H34">
        <v>0</v>
      </c>
      <c r="I34">
        <v>0</v>
      </c>
      <c r="J34">
        <v>0.35</v>
      </c>
      <c r="K34">
        <v>1.05</v>
      </c>
      <c r="L34">
        <v>0</v>
      </c>
      <c r="M34">
        <v>0</v>
      </c>
      <c r="N34">
        <v>0</v>
      </c>
      <c r="O34">
        <v>0</v>
      </c>
      <c r="P34" s="2">
        <f>(H34 + J34) - (L34 + N34)</f>
        <v>0</v>
      </c>
      <c r="Q34" s="2">
        <f>P34 * G34</f>
        <v>0</v>
      </c>
      <c r="R34">
        <v>0</v>
      </c>
      <c r="S34" s="2">
        <f>R34 * G34</f>
        <v>0</v>
      </c>
      <c r="T34" s="2">
        <f>(H34 + J34) - (L34 + N34) - R34</f>
        <v>0</v>
      </c>
      <c r="U34" s="2">
        <f>T34 * G34</f>
        <v>0</v>
      </c>
      <c r="V34" s="2">
        <f>I34 + K34 - S34</f>
        <v>0</v>
      </c>
      <c r="W34" s="2">
        <f>M34 - V34</f>
        <v>0</v>
      </c>
      <c r="X34" s="2">
        <f>IFERROR(W34 / M34 * 100, 0)</f>
        <v>0</v>
      </c>
    </row>
    <row r="35" spans="1:24">
      <c r="A35" t="s">
        <v>2233</v>
      </c>
      <c r="B35" t="s">
        <v>512</v>
      </c>
      <c r="C35" t="s">
        <v>2388</v>
      </c>
      <c r="D35" t="s">
        <v>1007</v>
      </c>
      <c r="E35" t="s">
        <v>2510</v>
      </c>
      <c r="F35" t="s">
        <v>2544</v>
      </c>
      <c r="G35">
        <v>32</v>
      </c>
      <c r="H35">
        <v>7.4</v>
      </c>
      <c r="I35">
        <v>236.8</v>
      </c>
      <c r="J35">
        <v>0</v>
      </c>
      <c r="K35">
        <v>0</v>
      </c>
      <c r="L35">
        <v>0.98</v>
      </c>
      <c r="M35">
        <v>36.26</v>
      </c>
      <c r="N35">
        <v>0</v>
      </c>
      <c r="O35">
        <v>0</v>
      </c>
      <c r="P35" s="2">
        <f>(H35 + J35) - (L35 + N35)</f>
        <v>0</v>
      </c>
      <c r="Q35" s="2">
        <f>P35 * G35</f>
        <v>0</v>
      </c>
      <c r="R35">
        <v>5.6</v>
      </c>
      <c r="S35" s="2">
        <f>R35 * G35</f>
        <v>0</v>
      </c>
      <c r="T35" s="2">
        <f>(H35 + J35) - (L35 + N35) - R35</f>
        <v>0</v>
      </c>
      <c r="U35" s="2">
        <f>T35 * G35</f>
        <v>0</v>
      </c>
      <c r="V35" s="2">
        <f>I35 + K35 - S35</f>
        <v>0</v>
      </c>
      <c r="W35" s="2">
        <f>M35 - V35</f>
        <v>0</v>
      </c>
      <c r="X35" s="2">
        <f>IFERROR(W35 / M35 * 100, 0)</f>
        <v>0</v>
      </c>
    </row>
    <row r="36" spans="1:24">
      <c r="A36" t="s">
        <v>2234</v>
      </c>
      <c r="B36" t="s">
        <v>512</v>
      </c>
      <c r="C36" t="s">
        <v>2389</v>
      </c>
      <c r="D36" t="s">
        <v>1007</v>
      </c>
      <c r="E36" t="s">
        <v>2510</v>
      </c>
      <c r="F36" t="s">
        <v>2545</v>
      </c>
      <c r="G36">
        <v>50</v>
      </c>
      <c r="H36">
        <v>0</v>
      </c>
      <c r="I36">
        <v>0</v>
      </c>
      <c r="J36">
        <v>0</v>
      </c>
      <c r="K36">
        <v>0</v>
      </c>
      <c r="L36">
        <v>0.29</v>
      </c>
      <c r="M36">
        <v>14.7</v>
      </c>
      <c r="N36">
        <v>0</v>
      </c>
      <c r="O36">
        <v>0</v>
      </c>
      <c r="P36" s="2">
        <f>(H36 + J36) - (L36 + N36)</f>
        <v>0</v>
      </c>
      <c r="Q36" s="2">
        <f>P36 * G36</f>
        <v>0</v>
      </c>
      <c r="R36">
        <v>0</v>
      </c>
      <c r="S36" s="2">
        <f>R36 * G36</f>
        <v>0</v>
      </c>
      <c r="T36" s="2">
        <f>(H36 + J36) - (L36 + N36) - R36</f>
        <v>0</v>
      </c>
      <c r="U36" s="2">
        <f>T36 * G36</f>
        <v>0</v>
      </c>
      <c r="V36" s="2">
        <f>I36 + K36 - S36</f>
        <v>0</v>
      </c>
      <c r="W36" s="2">
        <f>M36 - V36</f>
        <v>0</v>
      </c>
      <c r="X36" s="2">
        <f>IFERROR(W36 / M36 * 100, 0)</f>
        <v>0</v>
      </c>
    </row>
    <row r="37" spans="1:24">
      <c r="A37" t="s">
        <v>2235</v>
      </c>
      <c r="B37" t="s">
        <v>512</v>
      </c>
      <c r="C37" t="s">
        <v>2390</v>
      </c>
      <c r="D37" t="s">
        <v>1007</v>
      </c>
      <c r="E37" t="s">
        <v>2510</v>
      </c>
      <c r="F37" t="s">
        <v>2546</v>
      </c>
      <c r="G37">
        <v>25</v>
      </c>
      <c r="H37">
        <v>0</v>
      </c>
      <c r="I37">
        <v>0</v>
      </c>
      <c r="J37">
        <v>0</v>
      </c>
      <c r="K37">
        <v>0</v>
      </c>
      <c r="L37">
        <v>0.51</v>
      </c>
      <c r="M37">
        <v>12.7</v>
      </c>
      <c r="N37">
        <v>0</v>
      </c>
      <c r="O37">
        <v>0</v>
      </c>
      <c r="P37" s="2">
        <f>(H37 + J37) - (L37 + N37)</f>
        <v>0</v>
      </c>
      <c r="Q37" s="2">
        <f>P37 * G37</f>
        <v>0</v>
      </c>
      <c r="R37">
        <v>0</v>
      </c>
      <c r="S37" s="2">
        <f>R37 * G37</f>
        <v>0</v>
      </c>
      <c r="T37" s="2">
        <f>(H37 + J37) - (L37 + N37) - R37</f>
        <v>0</v>
      </c>
      <c r="U37" s="2">
        <f>T37 * G37</f>
        <v>0</v>
      </c>
      <c r="V37" s="2">
        <f>I37 + K37 - S37</f>
        <v>0</v>
      </c>
      <c r="W37" s="2">
        <f>M37 - V37</f>
        <v>0</v>
      </c>
      <c r="X37" s="2">
        <f>IFERROR(W37 / M37 * 100, 0)</f>
        <v>0</v>
      </c>
    </row>
    <row r="38" spans="1:24">
      <c r="A38" t="s">
        <v>2236</v>
      </c>
      <c r="B38" t="s">
        <v>512</v>
      </c>
      <c r="C38" t="s">
        <v>2391</v>
      </c>
      <c r="D38" t="s">
        <v>1007</v>
      </c>
      <c r="E38" t="s">
        <v>2510</v>
      </c>
      <c r="F38" t="s">
        <v>2547</v>
      </c>
      <c r="G38">
        <v>5</v>
      </c>
      <c r="H38">
        <v>0</v>
      </c>
      <c r="I38">
        <v>0</v>
      </c>
      <c r="J38">
        <v>10</v>
      </c>
      <c r="K38">
        <v>50</v>
      </c>
      <c r="L38">
        <v>0.53</v>
      </c>
      <c r="M38">
        <v>3.96</v>
      </c>
      <c r="N38">
        <v>0</v>
      </c>
      <c r="O38">
        <v>0</v>
      </c>
      <c r="P38" s="2">
        <f>(H38 + J38) - (L38 + N38)</f>
        <v>0</v>
      </c>
      <c r="Q38" s="2">
        <f>P38 * G38</f>
        <v>0</v>
      </c>
      <c r="R38">
        <v>10</v>
      </c>
      <c r="S38" s="2">
        <f>R38 * G38</f>
        <v>0</v>
      </c>
      <c r="T38" s="2">
        <f>(H38 + J38) - (L38 + N38) - R38</f>
        <v>0</v>
      </c>
      <c r="U38" s="2">
        <f>T38 * G38</f>
        <v>0</v>
      </c>
      <c r="V38" s="2">
        <f>I38 + K38 - S38</f>
        <v>0</v>
      </c>
      <c r="W38" s="2">
        <f>M38 - V38</f>
        <v>0</v>
      </c>
      <c r="X38" s="2">
        <f>IFERROR(W38 / M38 * 100, 0)</f>
        <v>0</v>
      </c>
    </row>
    <row r="39" spans="1:24">
      <c r="A39" t="s">
        <v>2237</v>
      </c>
      <c r="B39" t="s">
        <v>512</v>
      </c>
      <c r="C39" t="s">
        <v>2392</v>
      </c>
      <c r="D39" t="s">
        <v>1007</v>
      </c>
      <c r="E39" t="s">
        <v>2510</v>
      </c>
      <c r="F39" t="s">
        <v>2548</v>
      </c>
      <c r="G39">
        <v>0</v>
      </c>
      <c r="H39">
        <v>0</v>
      </c>
      <c r="I39">
        <v>0</v>
      </c>
      <c r="J39">
        <v>-0.04</v>
      </c>
      <c r="K39">
        <v>0</v>
      </c>
      <c r="L39">
        <v>0</v>
      </c>
      <c r="M39">
        <v>0</v>
      </c>
      <c r="N39">
        <v>0</v>
      </c>
      <c r="O39">
        <v>0</v>
      </c>
      <c r="P39" s="2">
        <f>(H39 + J39) - (L39 + N39)</f>
        <v>0</v>
      </c>
      <c r="Q39" s="2">
        <f>P39 * G39</f>
        <v>0</v>
      </c>
      <c r="R39">
        <v>0</v>
      </c>
      <c r="S39" s="2">
        <f>R39 * G39</f>
        <v>0</v>
      </c>
      <c r="T39" s="2">
        <f>(H39 + J39) - (L39 + N39) - R39</f>
        <v>0</v>
      </c>
      <c r="U39" s="2">
        <f>T39 * G39</f>
        <v>0</v>
      </c>
      <c r="V39" s="2">
        <f>I39 + K39 - S39</f>
        <v>0</v>
      </c>
      <c r="W39" s="2">
        <f>M39 - V39</f>
        <v>0</v>
      </c>
      <c r="X39" s="2">
        <f>IFERROR(W39 / M39 * 100, 0)</f>
        <v>0</v>
      </c>
    </row>
    <row r="40" spans="1:24">
      <c r="A40" t="s">
        <v>2238</v>
      </c>
      <c r="B40" t="s">
        <v>513</v>
      </c>
      <c r="C40" t="s">
        <v>2393</v>
      </c>
      <c r="D40" t="s">
        <v>1007</v>
      </c>
      <c r="E40" t="s">
        <v>2510</v>
      </c>
      <c r="F40" t="s">
        <v>2549</v>
      </c>
      <c r="G40">
        <v>14.04</v>
      </c>
      <c r="H40">
        <v>0.5</v>
      </c>
      <c r="I40">
        <v>7.02</v>
      </c>
      <c r="J40">
        <v>0</v>
      </c>
      <c r="K40">
        <v>0</v>
      </c>
      <c r="L40">
        <v>0.36</v>
      </c>
      <c r="M40">
        <v>9.31</v>
      </c>
      <c r="N40">
        <v>0</v>
      </c>
      <c r="O40">
        <v>0</v>
      </c>
      <c r="P40" s="2">
        <f>(H40 + J40) - (L40 + N40)</f>
        <v>0</v>
      </c>
      <c r="Q40" s="2">
        <f>P40 * G40</f>
        <v>0</v>
      </c>
      <c r="R40">
        <v>0</v>
      </c>
      <c r="S40" s="2">
        <f>R40 * G40</f>
        <v>0</v>
      </c>
      <c r="T40" s="2">
        <f>(H40 + J40) - (L40 + N40) - R40</f>
        <v>0</v>
      </c>
      <c r="U40" s="2">
        <f>T40 * G40</f>
        <v>0</v>
      </c>
      <c r="V40" s="2">
        <f>I40 + K40 - S40</f>
        <v>0</v>
      </c>
      <c r="W40" s="2">
        <f>M40 - V40</f>
        <v>0</v>
      </c>
      <c r="X40" s="2">
        <f>IFERROR(W40 / M40 * 100, 0)</f>
        <v>0</v>
      </c>
    </row>
    <row r="41" spans="1:24">
      <c r="A41" t="s">
        <v>2239</v>
      </c>
      <c r="B41" t="s">
        <v>513</v>
      </c>
      <c r="C41" t="s">
        <v>2394</v>
      </c>
      <c r="D41" t="s">
        <v>1007</v>
      </c>
      <c r="E41" t="s">
        <v>2510</v>
      </c>
      <c r="F41" t="s">
        <v>2550</v>
      </c>
      <c r="G41">
        <v>20.03</v>
      </c>
      <c r="H41">
        <v>0.5</v>
      </c>
      <c r="I41">
        <v>10.03</v>
      </c>
      <c r="J41">
        <v>1.24</v>
      </c>
      <c r="K41">
        <v>24.8</v>
      </c>
      <c r="L41">
        <v>1.65</v>
      </c>
      <c r="M41">
        <v>57.82</v>
      </c>
      <c r="N41">
        <v>0</v>
      </c>
      <c r="O41">
        <v>0</v>
      </c>
      <c r="P41" s="2">
        <f>(H41 + J41) - (L41 + N41)</f>
        <v>0</v>
      </c>
      <c r="Q41" s="2">
        <f>P41 * G41</f>
        <v>0</v>
      </c>
      <c r="R41">
        <v>0.8</v>
      </c>
      <c r="S41" s="2">
        <f>R41 * G41</f>
        <v>0</v>
      </c>
      <c r="T41" s="2">
        <f>(H41 + J41) - (L41 + N41) - R41</f>
        <v>0</v>
      </c>
      <c r="U41" s="2">
        <f>T41 * G41</f>
        <v>0</v>
      </c>
      <c r="V41" s="2">
        <f>I41 + K41 - S41</f>
        <v>0</v>
      </c>
      <c r="W41" s="2">
        <f>M41 - V41</f>
        <v>0</v>
      </c>
      <c r="X41" s="2">
        <f>IFERROR(W41 / M41 * 100, 0)</f>
        <v>0</v>
      </c>
    </row>
    <row r="42" spans="1:24">
      <c r="A42" t="s">
        <v>2240</v>
      </c>
      <c r="B42" t="s">
        <v>513</v>
      </c>
      <c r="C42" t="s">
        <v>2395</v>
      </c>
      <c r="D42" t="s">
        <v>1007</v>
      </c>
      <c r="E42" t="s">
        <v>2510</v>
      </c>
      <c r="F42" t="s">
        <v>2551</v>
      </c>
      <c r="G42">
        <v>10.25</v>
      </c>
      <c r="H42">
        <v>1.8</v>
      </c>
      <c r="I42">
        <v>18.45</v>
      </c>
      <c r="J42">
        <v>0</v>
      </c>
      <c r="K42">
        <v>0</v>
      </c>
      <c r="L42">
        <v>0.9</v>
      </c>
      <c r="M42">
        <v>21.56</v>
      </c>
      <c r="N42">
        <v>0</v>
      </c>
      <c r="O42">
        <v>0</v>
      </c>
      <c r="P42" s="2">
        <f>(H42 + J42) - (L42 + N42)</f>
        <v>0</v>
      </c>
      <c r="Q42" s="2">
        <f>P42 * G42</f>
        <v>0</v>
      </c>
      <c r="R42">
        <v>1.5</v>
      </c>
      <c r="S42" s="2">
        <f>R42 * G42</f>
        <v>0</v>
      </c>
      <c r="T42" s="2">
        <f>(H42 + J42) - (L42 + N42) - R42</f>
        <v>0</v>
      </c>
      <c r="U42" s="2">
        <f>T42 * G42</f>
        <v>0</v>
      </c>
      <c r="V42" s="2">
        <f>I42 + K42 - S42</f>
        <v>0</v>
      </c>
      <c r="W42" s="2">
        <f>M42 - V42</f>
        <v>0</v>
      </c>
      <c r="X42" s="2">
        <f>IFERROR(W42 / M42 * 100, 0)</f>
        <v>0</v>
      </c>
    </row>
    <row r="43" spans="1:24">
      <c r="A43" t="s">
        <v>2241</v>
      </c>
      <c r="B43" t="s">
        <v>513</v>
      </c>
      <c r="C43" t="s">
        <v>2396</v>
      </c>
      <c r="D43" t="s">
        <v>1007</v>
      </c>
      <c r="E43" t="s">
        <v>2510</v>
      </c>
      <c r="F43" t="s">
        <v>2552</v>
      </c>
      <c r="G43">
        <v>13.37</v>
      </c>
      <c r="H43">
        <v>0</v>
      </c>
      <c r="I43">
        <v>0</v>
      </c>
      <c r="J43">
        <v>1.98</v>
      </c>
      <c r="K43">
        <v>26.45</v>
      </c>
      <c r="L43">
        <v>0.2</v>
      </c>
      <c r="M43">
        <v>3.96</v>
      </c>
      <c r="N43">
        <v>0</v>
      </c>
      <c r="O43">
        <v>0</v>
      </c>
      <c r="P43" s="2">
        <f>(H43 + J43) - (L43 + N43)</f>
        <v>0</v>
      </c>
      <c r="Q43" s="2">
        <f>P43 * G43</f>
        <v>0</v>
      </c>
      <c r="R43">
        <v>0</v>
      </c>
      <c r="S43" s="2">
        <f>R43 * G43</f>
        <v>0</v>
      </c>
      <c r="T43" s="2">
        <f>(H43 + J43) - (L43 + N43) - R43</f>
        <v>0</v>
      </c>
      <c r="U43" s="2">
        <f>T43 * G43</f>
        <v>0</v>
      </c>
      <c r="V43" s="2">
        <f>I43 + K43 - S43</f>
        <v>0</v>
      </c>
      <c r="W43" s="2">
        <f>M43 - V43</f>
        <v>0</v>
      </c>
      <c r="X43" s="2">
        <f>IFERROR(W43 / M43 * 100, 0)</f>
        <v>0</v>
      </c>
    </row>
    <row r="44" spans="1:24">
      <c r="A44" t="s">
        <v>2242</v>
      </c>
      <c r="B44" t="s">
        <v>512</v>
      </c>
      <c r="C44" t="s">
        <v>2397</v>
      </c>
      <c r="D44" t="s">
        <v>1007</v>
      </c>
      <c r="E44" t="s">
        <v>2510</v>
      </c>
      <c r="F44" t="s">
        <v>2553</v>
      </c>
      <c r="G44">
        <v>0</v>
      </c>
      <c r="H44">
        <v>0</v>
      </c>
      <c r="I44">
        <v>0</v>
      </c>
      <c r="J44">
        <v>0</v>
      </c>
      <c r="K44">
        <v>0</v>
      </c>
      <c r="L44">
        <v>0.5</v>
      </c>
      <c r="M44">
        <v>10</v>
      </c>
      <c r="N44">
        <v>0</v>
      </c>
      <c r="O44">
        <v>0</v>
      </c>
      <c r="P44" s="2">
        <f>(H44 + J44) - (L44 + N44)</f>
        <v>0</v>
      </c>
      <c r="Q44" s="2">
        <f>P44 * G44</f>
        <v>0</v>
      </c>
      <c r="R44">
        <v>0</v>
      </c>
      <c r="S44" s="2">
        <f>R44 * G44</f>
        <v>0</v>
      </c>
      <c r="T44" s="2">
        <f>(H44 + J44) - (L44 + N44) - R44</f>
        <v>0</v>
      </c>
      <c r="U44" s="2">
        <f>T44 * G44</f>
        <v>0</v>
      </c>
      <c r="V44" s="2">
        <f>I44 + K44 - S44</f>
        <v>0</v>
      </c>
      <c r="W44" s="2">
        <f>M44 - V44</f>
        <v>0</v>
      </c>
      <c r="X44" s="2">
        <f>IFERROR(W44 / M44 * 100, 0)</f>
        <v>0</v>
      </c>
    </row>
    <row r="45" spans="1:24">
      <c r="A45" t="s">
        <v>2243</v>
      </c>
      <c r="B45" t="s">
        <v>512</v>
      </c>
      <c r="C45" t="s">
        <v>2398</v>
      </c>
      <c r="D45" t="s">
        <v>1007</v>
      </c>
      <c r="E45" t="s">
        <v>2510</v>
      </c>
      <c r="F45" t="s">
        <v>2554</v>
      </c>
      <c r="G45">
        <v>15.09</v>
      </c>
      <c r="H45">
        <v>4.7</v>
      </c>
      <c r="I45">
        <v>74.83</v>
      </c>
      <c r="J45">
        <v>6.75</v>
      </c>
      <c r="K45">
        <v>101.86</v>
      </c>
      <c r="L45">
        <v>23.11</v>
      </c>
      <c r="M45">
        <v>687.55</v>
      </c>
      <c r="N45">
        <v>0</v>
      </c>
      <c r="O45">
        <v>0</v>
      </c>
      <c r="P45" s="2">
        <f>(H45 + J45) - (L45 + N45)</f>
        <v>0</v>
      </c>
      <c r="Q45" s="2">
        <f>P45 * G45</f>
        <v>0</v>
      </c>
      <c r="R45">
        <v>3.4</v>
      </c>
      <c r="S45" s="2">
        <f>R45 * G45</f>
        <v>0</v>
      </c>
      <c r="T45" s="2">
        <f>(H45 + J45) - (L45 + N45) - R45</f>
        <v>0</v>
      </c>
      <c r="U45" s="2">
        <f>T45 * G45</f>
        <v>0</v>
      </c>
      <c r="V45" s="2">
        <f>I45 + K45 - S45</f>
        <v>0</v>
      </c>
      <c r="W45" s="2">
        <f>M45 - V45</f>
        <v>0</v>
      </c>
      <c r="X45" s="2">
        <f>IFERROR(W45 / M45 * 100, 0)</f>
        <v>0</v>
      </c>
    </row>
    <row r="46" spans="1:24">
      <c r="A46" t="s">
        <v>2244</v>
      </c>
      <c r="B46" t="s">
        <v>513</v>
      </c>
      <c r="C46" t="s">
        <v>2399</v>
      </c>
      <c r="D46" t="s">
        <v>1008</v>
      </c>
      <c r="E46" t="s">
        <v>2510</v>
      </c>
      <c r="F46" t="s">
        <v>2555</v>
      </c>
      <c r="G46">
        <v>1.17</v>
      </c>
      <c r="H46">
        <v>0</v>
      </c>
      <c r="I46">
        <v>0</v>
      </c>
      <c r="J46">
        <v>672</v>
      </c>
      <c r="K46">
        <v>845.1900000000001</v>
      </c>
      <c r="L46">
        <v>836</v>
      </c>
      <c r="M46">
        <v>2926</v>
      </c>
      <c r="N46">
        <v>0</v>
      </c>
      <c r="O46">
        <v>0</v>
      </c>
      <c r="P46" s="2">
        <f>(H46 + J46) - (L46 + N46)</f>
        <v>0</v>
      </c>
      <c r="Q46" s="2">
        <f>P46 * G46</f>
        <v>0</v>
      </c>
      <c r="R46">
        <v>0</v>
      </c>
      <c r="S46" s="2">
        <f>R46 * G46</f>
        <v>0</v>
      </c>
      <c r="T46" s="2">
        <f>(H46 + J46) - (L46 + N46) - R46</f>
        <v>0</v>
      </c>
      <c r="U46" s="2">
        <f>T46 * G46</f>
        <v>0</v>
      </c>
      <c r="V46" s="2">
        <f>I46 + K46 - S46</f>
        <v>0</v>
      </c>
      <c r="W46" s="2">
        <f>M46 - V46</f>
        <v>0</v>
      </c>
      <c r="X46" s="2">
        <f>IFERROR(W46 / M46 * 100, 0)</f>
        <v>0</v>
      </c>
    </row>
    <row r="47" spans="1:24">
      <c r="A47" t="s">
        <v>2245</v>
      </c>
      <c r="B47" t="s">
        <v>512</v>
      </c>
      <c r="C47" t="s">
        <v>2400</v>
      </c>
      <c r="D47" t="s">
        <v>1007</v>
      </c>
      <c r="E47" t="s">
        <v>2510</v>
      </c>
      <c r="F47" t="s">
        <v>2556</v>
      </c>
      <c r="G47">
        <v>30</v>
      </c>
      <c r="H47">
        <v>3.2</v>
      </c>
      <c r="I47">
        <v>96</v>
      </c>
      <c r="J47">
        <v>0</v>
      </c>
      <c r="K47">
        <v>0</v>
      </c>
      <c r="L47">
        <v>0.63</v>
      </c>
      <c r="M47">
        <v>23.93</v>
      </c>
      <c r="N47">
        <v>0</v>
      </c>
      <c r="O47">
        <v>0</v>
      </c>
      <c r="P47" s="2">
        <f>(H47 + J47) - (L47 + N47)</f>
        <v>0</v>
      </c>
      <c r="Q47" s="2">
        <f>P47 * G47</f>
        <v>0</v>
      </c>
      <c r="R47">
        <v>4</v>
      </c>
      <c r="S47" s="2">
        <f>R47 * G47</f>
        <v>0</v>
      </c>
      <c r="T47" s="2">
        <f>(H47 + J47) - (L47 + N47) - R47</f>
        <v>0</v>
      </c>
      <c r="U47" s="2">
        <f>T47 * G47</f>
        <v>0</v>
      </c>
      <c r="V47" s="2">
        <f>I47 + K47 - S47</f>
        <v>0</v>
      </c>
      <c r="W47" s="2">
        <f>M47 - V47</f>
        <v>0</v>
      </c>
      <c r="X47" s="2">
        <f>IFERROR(W47 / M47 * 100, 0)</f>
        <v>0</v>
      </c>
    </row>
    <row r="48" spans="1:24">
      <c r="A48" t="s">
        <v>2246</v>
      </c>
      <c r="B48" t="s">
        <v>512</v>
      </c>
      <c r="C48" t="s">
        <v>2401</v>
      </c>
      <c r="D48" t="s">
        <v>1007</v>
      </c>
      <c r="E48" t="s">
        <v>2510</v>
      </c>
      <c r="F48" t="s">
        <v>2557</v>
      </c>
      <c r="G48">
        <v>14</v>
      </c>
      <c r="H48">
        <v>17.2</v>
      </c>
      <c r="I48">
        <v>240.7</v>
      </c>
      <c r="J48">
        <v>12.11</v>
      </c>
      <c r="K48">
        <v>169.55</v>
      </c>
      <c r="L48">
        <v>13.16</v>
      </c>
      <c r="M48">
        <v>224.99</v>
      </c>
      <c r="N48">
        <v>0</v>
      </c>
      <c r="O48">
        <v>0</v>
      </c>
      <c r="P48" s="2">
        <f>(H48 + J48) - (L48 + N48)</f>
        <v>0</v>
      </c>
      <c r="Q48" s="2">
        <f>P48 * G48</f>
        <v>0</v>
      </c>
      <c r="R48">
        <v>20</v>
      </c>
      <c r="S48" s="2">
        <f>R48 * G48</f>
        <v>0</v>
      </c>
      <c r="T48" s="2">
        <f>(H48 + J48) - (L48 + N48) - R48</f>
        <v>0</v>
      </c>
      <c r="U48" s="2">
        <f>T48 * G48</f>
        <v>0</v>
      </c>
      <c r="V48" s="2">
        <f>I48 + K48 - S48</f>
        <v>0</v>
      </c>
      <c r="W48" s="2">
        <f>M48 - V48</f>
        <v>0</v>
      </c>
      <c r="X48" s="2">
        <f>IFERROR(W48 / M48 * 100, 0)</f>
        <v>0</v>
      </c>
    </row>
    <row r="49" spans="1:24">
      <c r="A49" t="s">
        <v>2247</v>
      </c>
      <c r="B49" t="s">
        <v>512</v>
      </c>
      <c r="C49" t="s">
        <v>2402</v>
      </c>
      <c r="D49" t="s">
        <v>1007</v>
      </c>
      <c r="E49" t="s">
        <v>2510</v>
      </c>
      <c r="F49" t="s">
        <v>2558</v>
      </c>
      <c r="G49">
        <v>14</v>
      </c>
      <c r="H49">
        <v>20.5</v>
      </c>
      <c r="I49">
        <v>287</v>
      </c>
      <c r="J49">
        <v>14</v>
      </c>
      <c r="K49">
        <v>196</v>
      </c>
      <c r="L49">
        <v>23</v>
      </c>
      <c r="M49">
        <v>390.21</v>
      </c>
      <c r="N49">
        <v>0</v>
      </c>
      <c r="O49">
        <v>0</v>
      </c>
      <c r="P49" s="2">
        <f>(H49 + J49) - (L49 + N49)</f>
        <v>0</v>
      </c>
      <c r="Q49" s="2">
        <f>P49 * G49</f>
        <v>0</v>
      </c>
      <c r="R49">
        <v>14</v>
      </c>
      <c r="S49" s="2">
        <f>R49 * G49</f>
        <v>0</v>
      </c>
      <c r="T49" s="2">
        <f>(H49 + J49) - (L49 + N49) - R49</f>
        <v>0</v>
      </c>
      <c r="U49" s="2">
        <f>T49 * G49</f>
        <v>0</v>
      </c>
      <c r="V49" s="2">
        <f>I49 + K49 - S49</f>
        <v>0</v>
      </c>
      <c r="W49" s="2">
        <f>M49 - V49</f>
        <v>0</v>
      </c>
      <c r="X49" s="2">
        <f>IFERROR(W49 / M49 * 100, 0)</f>
        <v>0</v>
      </c>
    </row>
    <row r="50" spans="1:24">
      <c r="A50" t="s">
        <v>2248</v>
      </c>
      <c r="B50" t="s">
        <v>512</v>
      </c>
      <c r="C50" t="s">
        <v>2403</v>
      </c>
      <c r="D50" t="s">
        <v>1007</v>
      </c>
      <c r="E50" t="s">
        <v>2510</v>
      </c>
      <c r="F50" t="s">
        <v>2559</v>
      </c>
      <c r="G50">
        <v>15.34</v>
      </c>
      <c r="H50">
        <v>1</v>
      </c>
      <c r="I50">
        <v>15.34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s="2">
        <f>(H50 + J50) - (L50 + N50)</f>
        <v>0</v>
      </c>
      <c r="Q50" s="2">
        <f>P50 * G50</f>
        <v>0</v>
      </c>
      <c r="R50">
        <v>1</v>
      </c>
      <c r="S50" s="2">
        <f>R50 * G50</f>
        <v>0</v>
      </c>
      <c r="T50" s="2">
        <f>(H50 + J50) - (L50 + N50) - R50</f>
        <v>0</v>
      </c>
      <c r="U50" s="2">
        <f>T50 * G50</f>
        <v>0</v>
      </c>
      <c r="V50" s="2">
        <f>I50 + K50 - S50</f>
        <v>0</v>
      </c>
      <c r="W50" s="2">
        <f>M50 - V50</f>
        <v>0</v>
      </c>
      <c r="X50" s="2">
        <f>IFERROR(W50 / M50 * 100, 0)</f>
        <v>0</v>
      </c>
    </row>
    <row r="51" spans="1:24">
      <c r="A51" t="s">
        <v>2249</v>
      </c>
      <c r="B51" t="s">
        <v>513</v>
      </c>
      <c r="C51" t="s">
        <v>2404</v>
      </c>
      <c r="D51" t="s">
        <v>1007</v>
      </c>
      <c r="E51" t="s">
        <v>2510</v>
      </c>
      <c r="F51" t="s">
        <v>2560</v>
      </c>
      <c r="G51">
        <v>10.66</v>
      </c>
      <c r="H51">
        <v>2</v>
      </c>
      <c r="I51">
        <v>21.33</v>
      </c>
      <c r="J51">
        <v>0</v>
      </c>
      <c r="K51">
        <v>0</v>
      </c>
      <c r="L51">
        <v>0.44</v>
      </c>
      <c r="M51">
        <v>8.76</v>
      </c>
      <c r="N51">
        <v>0</v>
      </c>
      <c r="O51">
        <v>0</v>
      </c>
      <c r="P51" s="2">
        <f>(H51 + J51) - (L51 + N51)</f>
        <v>0</v>
      </c>
      <c r="Q51" s="2">
        <f>P51 * G51</f>
        <v>0</v>
      </c>
      <c r="R51">
        <v>1.6</v>
      </c>
      <c r="S51" s="2">
        <f>R51 * G51</f>
        <v>0</v>
      </c>
      <c r="T51" s="2">
        <f>(H51 + J51) - (L51 + N51) - R51</f>
        <v>0</v>
      </c>
      <c r="U51" s="2">
        <f>T51 * G51</f>
        <v>0</v>
      </c>
      <c r="V51" s="2">
        <f>I51 + K51 - S51</f>
        <v>0</v>
      </c>
      <c r="W51" s="2">
        <f>M51 - V51</f>
        <v>0</v>
      </c>
      <c r="X51" s="2">
        <f>IFERROR(W51 / M51 * 100, 0)</f>
        <v>0</v>
      </c>
    </row>
    <row r="52" spans="1:24">
      <c r="A52" t="s">
        <v>2250</v>
      </c>
      <c r="B52" t="s">
        <v>513</v>
      </c>
      <c r="C52" t="s">
        <v>2405</v>
      </c>
      <c r="D52" t="s">
        <v>1007</v>
      </c>
      <c r="E52" t="s">
        <v>2510</v>
      </c>
      <c r="F52" t="s">
        <v>2561</v>
      </c>
      <c r="G52">
        <v>12.86</v>
      </c>
      <c r="H52">
        <v>2</v>
      </c>
      <c r="I52">
        <v>25.73</v>
      </c>
      <c r="J52">
        <v>0</v>
      </c>
      <c r="K52">
        <v>0</v>
      </c>
      <c r="L52">
        <v>2.14</v>
      </c>
      <c r="M52">
        <v>42.8</v>
      </c>
      <c r="N52">
        <v>0</v>
      </c>
      <c r="O52">
        <v>0</v>
      </c>
      <c r="P52" s="2">
        <f>(H52 + J52) - (L52 + N52)</f>
        <v>0</v>
      </c>
      <c r="Q52" s="2">
        <f>P52 * G52</f>
        <v>0</v>
      </c>
      <c r="R52">
        <v>0.5</v>
      </c>
      <c r="S52" s="2">
        <f>R52 * G52</f>
        <v>0</v>
      </c>
      <c r="T52" s="2">
        <f>(H52 + J52) - (L52 + N52) - R52</f>
        <v>0</v>
      </c>
      <c r="U52" s="2">
        <f>T52 * G52</f>
        <v>0</v>
      </c>
      <c r="V52" s="2">
        <f>I52 + K52 - S52</f>
        <v>0</v>
      </c>
      <c r="W52" s="2">
        <f>M52 - V52</f>
        <v>0</v>
      </c>
      <c r="X52" s="2">
        <f>IFERROR(W52 / M52 * 100, 0)</f>
        <v>0</v>
      </c>
    </row>
    <row r="53" spans="1:24">
      <c r="A53" t="s">
        <v>2251</v>
      </c>
      <c r="B53" t="s">
        <v>513</v>
      </c>
      <c r="C53" t="s">
        <v>2406</v>
      </c>
      <c r="D53" t="s">
        <v>1007</v>
      </c>
      <c r="E53" t="s">
        <v>2510</v>
      </c>
      <c r="F53" t="s">
        <v>2562</v>
      </c>
      <c r="G53">
        <v>16.86</v>
      </c>
      <c r="H53">
        <v>1.1</v>
      </c>
      <c r="I53">
        <v>18.55</v>
      </c>
      <c r="J53">
        <v>1.44</v>
      </c>
      <c r="K53">
        <v>24.31</v>
      </c>
      <c r="L53">
        <v>3.37</v>
      </c>
      <c r="M53">
        <v>107.91</v>
      </c>
      <c r="N53">
        <v>0</v>
      </c>
      <c r="O53">
        <v>0</v>
      </c>
      <c r="P53" s="2">
        <f>(H53 + J53) - (L53 + N53)</f>
        <v>0</v>
      </c>
      <c r="Q53" s="2">
        <f>P53 * G53</f>
        <v>0</v>
      </c>
      <c r="R53">
        <v>1.1</v>
      </c>
      <c r="S53" s="2">
        <f>R53 * G53</f>
        <v>0</v>
      </c>
      <c r="T53" s="2">
        <f>(H53 + J53) - (L53 + N53) - R53</f>
        <v>0</v>
      </c>
      <c r="U53" s="2">
        <f>T53 * G53</f>
        <v>0</v>
      </c>
      <c r="V53" s="2">
        <f>I53 + K53 - S53</f>
        <v>0</v>
      </c>
      <c r="W53" s="2">
        <f>M53 - V53</f>
        <v>0</v>
      </c>
      <c r="X53" s="2">
        <f>IFERROR(W53 / M53 * 100, 0)</f>
        <v>0</v>
      </c>
    </row>
    <row r="54" spans="1:24">
      <c r="A54" t="s">
        <v>2252</v>
      </c>
      <c r="B54" t="s">
        <v>513</v>
      </c>
      <c r="C54" t="s">
        <v>2407</v>
      </c>
      <c r="D54" t="s">
        <v>1007</v>
      </c>
      <c r="E54" t="s">
        <v>2510</v>
      </c>
      <c r="F54" t="s">
        <v>2563</v>
      </c>
      <c r="G54">
        <v>21.84</v>
      </c>
      <c r="H54">
        <v>0.5</v>
      </c>
      <c r="I54">
        <v>10.89</v>
      </c>
      <c r="J54">
        <v>1.31</v>
      </c>
      <c r="K54">
        <v>28.52</v>
      </c>
      <c r="L54">
        <v>1.74</v>
      </c>
      <c r="M54">
        <v>55.81</v>
      </c>
      <c r="N54">
        <v>0</v>
      </c>
      <c r="O54">
        <v>0</v>
      </c>
      <c r="P54" s="2">
        <f>(H54 + J54) - (L54 + N54)</f>
        <v>0</v>
      </c>
      <c r="Q54" s="2">
        <f>P54 * G54</f>
        <v>0</v>
      </c>
      <c r="R54">
        <v>0.5</v>
      </c>
      <c r="S54" s="2">
        <f>R54 * G54</f>
        <v>0</v>
      </c>
      <c r="T54" s="2">
        <f>(H54 + J54) - (L54 + N54) - R54</f>
        <v>0</v>
      </c>
      <c r="U54" s="2">
        <f>T54 * G54</f>
        <v>0</v>
      </c>
      <c r="V54" s="2">
        <f>I54 + K54 - S54</f>
        <v>0</v>
      </c>
      <c r="W54" s="2">
        <f>M54 - V54</f>
        <v>0</v>
      </c>
      <c r="X54" s="2">
        <f>IFERROR(W54 / M54 * 100, 0)</f>
        <v>0</v>
      </c>
    </row>
    <row r="55" spans="1:24">
      <c r="A55" t="s">
        <v>2253</v>
      </c>
      <c r="B55" t="s">
        <v>513</v>
      </c>
      <c r="C55" t="s">
        <v>2408</v>
      </c>
      <c r="D55" t="s">
        <v>1007</v>
      </c>
      <c r="E55" t="s">
        <v>2510</v>
      </c>
      <c r="F55" t="s">
        <v>2564</v>
      </c>
      <c r="G55">
        <v>3.95</v>
      </c>
      <c r="H55">
        <v>2</v>
      </c>
      <c r="I55">
        <v>7.89</v>
      </c>
      <c r="J55">
        <v>0</v>
      </c>
      <c r="K55">
        <v>0</v>
      </c>
      <c r="L55">
        <v>0.21</v>
      </c>
      <c r="M55">
        <v>4.28</v>
      </c>
      <c r="N55">
        <v>0</v>
      </c>
      <c r="O55">
        <v>0</v>
      </c>
      <c r="P55" s="2">
        <f>(H55 + J55) - (L55 + N55)</f>
        <v>0</v>
      </c>
      <c r="Q55" s="2">
        <f>P55 * G55</f>
        <v>0</v>
      </c>
      <c r="R55">
        <v>1.5</v>
      </c>
      <c r="S55" s="2">
        <f>R55 * G55</f>
        <v>0</v>
      </c>
      <c r="T55" s="2">
        <f>(H55 + J55) - (L55 + N55) - R55</f>
        <v>0</v>
      </c>
      <c r="U55" s="2">
        <f>T55 * G55</f>
        <v>0</v>
      </c>
      <c r="V55" s="2">
        <f>I55 + K55 - S55</f>
        <v>0</v>
      </c>
      <c r="W55" s="2">
        <f>M55 - V55</f>
        <v>0</v>
      </c>
      <c r="X55" s="2">
        <f>IFERROR(W55 / M55 * 100, 0)</f>
        <v>0</v>
      </c>
    </row>
    <row r="56" spans="1:24">
      <c r="A56" t="s">
        <v>2254</v>
      </c>
      <c r="B56" t="s">
        <v>513</v>
      </c>
      <c r="C56" t="s">
        <v>2409</v>
      </c>
      <c r="D56" t="s">
        <v>1007</v>
      </c>
      <c r="E56" t="s">
        <v>2510</v>
      </c>
      <c r="F56" t="s">
        <v>2565</v>
      </c>
      <c r="G56">
        <v>6.39</v>
      </c>
      <c r="H56">
        <v>1</v>
      </c>
      <c r="I56">
        <v>6.32</v>
      </c>
      <c r="J56">
        <v>3.52</v>
      </c>
      <c r="K56">
        <v>22.31</v>
      </c>
      <c r="L56">
        <v>6.29</v>
      </c>
      <c r="M56">
        <v>157.25</v>
      </c>
      <c r="N56">
        <v>0</v>
      </c>
      <c r="O56">
        <v>0</v>
      </c>
      <c r="P56" s="2">
        <f>(H56 + J56) - (L56 + N56)</f>
        <v>0</v>
      </c>
      <c r="Q56" s="2">
        <f>P56 * G56</f>
        <v>0</v>
      </c>
      <c r="R56">
        <v>0</v>
      </c>
      <c r="S56" s="2">
        <f>R56 * G56</f>
        <v>0</v>
      </c>
      <c r="T56" s="2">
        <f>(H56 + J56) - (L56 + N56) - R56</f>
        <v>0</v>
      </c>
      <c r="U56" s="2">
        <f>T56 * G56</f>
        <v>0</v>
      </c>
      <c r="V56" s="2">
        <f>I56 + K56 - S56</f>
        <v>0</v>
      </c>
      <c r="W56" s="2">
        <f>M56 - V56</f>
        <v>0</v>
      </c>
      <c r="X56" s="2">
        <f>IFERROR(W56 / M56 * 100, 0)</f>
        <v>0</v>
      </c>
    </row>
    <row r="57" spans="1:24">
      <c r="A57" t="s">
        <v>2255</v>
      </c>
      <c r="B57" t="s">
        <v>513</v>
      </c>
      <c r="C57" t="s">
        <v>2410</v>
      </c>
      <c r="D57" t="s">
        <v>1007</v>
      </c>
      <c r="E57" t="s">
        <v>2510</v>
      </c>
      <c r="F57" t="s">
        <v>2566</v>
      </c>
      <c r="G57">
        <v>9.66</v>
      </c>
      <c r="H57">
        <v>2</v>
      </c>
      <c r="I57">
        <v>25.92</v>
      </c>
      <c r="J57">
        <v>5.84</v>
      </c>
      <c r="K57">
        <v>65.56</v>
      </c>
      <c r="L57">
        <v>12.82</v>
      </c>
      <c r="M57">
        <v>256.32</v>
      </c>
      <c r="N57">
        <v>0</v>
      </c>
      <c r="O57">
        <v>0</v>
      </c>
      <c r="P57" s="2">
        <f>(H57 + J57) - (L57 + N57)</f>
        <v>0</v>
      </c>
      <c r="Q57" s="2">
        <f>P57 * G57</f>
        <v>0</v>
      </c>
      <c r="R57">
        <v>0</v>
      </c>
      <c r="S57" s="2">
        <f>R57 * G57</f>
        <v>0</v>
      </c>
      <c r="T57" s="2">
        <f>(H57 + J57) - (L57 + N57) - R57</f>
        <v>0</v>
      </c>
      <c r="U57" s="2">
        <f>T57 * G57</f>
        <v>0</v>
      </c>
      <c r="V57" s="2">
        <f>I57 + K57 - S57</f>
        <v>0</v>
      </c>
      <c r="W57" s="2">
        <f>M57 - V57</f>
        <v>0</v>
      </c>
      <c r="X57" s="2">
        <f>IFERROR(W57 / M57 * 100, 0)</f>
        <v>0</v>
      </c>
    </row>
    <row r="58" spans="1:24">
      <c r="A58" t="s">
        <v>2256</v>
      </c>
      <c r="B58" t="s">
        <v>513</v>
      </c>
      <c r="C58" t="s">
        <v>2411</v>
      </c>
      <c r="D58" t="s">
        <v>1008</v>
      </c>
      <c r="E58" t="s">
        <v>2510</v>
      </c>
      <c r="F58" t="s">
        <v>2567</v>
      </c>
      <c r="G58">
        <v>0.62</v>
      </c>
      <c r="H58">
        <v>0</v>
      </c>
      <c r="I58">
        <v>0</v>
      </c>
      <c r="J58">
        <v>399</v>
      </c>
      <c r="K58">
        <v>221.32</v>
      </c>
      <c r="L58">
        <v>564</v>
      </c>
      <c r="M58">
        <v>1410</v>
      </c>
      <c r="N58">
        <v>0</v>
      </c>
      <c r="O58">
        <v>0</v>
      </c>
      <c r="P58" s="2">
        <f>(H58 + J58) - (L58 + N58)</f>
        <v>0</v>
      </c>
      <c r="Q58" s="2">
        <f>P58 * G58</f>
        <v>0</v>
      </c>
      <c r="R58">
        <v>0</v>
      </c>
      <c r="S58" s="2">
        <f>R58 * G58</f>
        <v>0</v>
      </c>
      <c r="T58" s="2">
        <f>(H58 + J58) - (L58 + N58) - R58</f>
        <v>0</v>
      </c>
      <c r="U58" s="2">
        <f>T58 * G58</f>
        <v>0</v>
      </c>
      <c r="V58" s="2">
        <f>I58 + K58 - S58</f>
        <v>0</v>
      </c>
      <c r="W58" s="2">
        <f>M58 - V58</f>
        <v>0</v>
      </c>
      <c r="X58" s="2">
        <f>IFERROR(W58 / M58 * 100, 0)</f>
        <v>0</v>
      </c>
    </row>
    <row r="59" spans="1:24">
      <c r="A59" t="s">
        <v>2257</v>
      </c>
      <c r="B59" t="s">
        <v>513</v>
      </c>
      <c r="C59" t="s">
        <v>2412</v>
      </c>
      <c r="D59" t="s">
        <v>1007</v>
      </c>
      <c r="E59" t="s">
        <v>2510</v>
      </c>
      <c r="F59" t="s">
        <v>2568</v>
      </c>
      <c r="G59">
        <v>20.58</v>
      </c>
      <c r="H59">
        <v>0.6</v>
      </c>
      <c r="I59">
        <v>12.26</v>
      </c>
      <c r="J59">
        <v>1.86</v>
      </c>
      <c r="K59">
        <v>38.31</v>
      </c>
      <c r="L59">
        <v>2.59</v>
      </c>
      <c r="M59">
        <v>93.09999999999999</v>
      </c>
      <c r="N59">
        <v>0</v>
      </c>
      <c r="O59">
        <v>0</v>
      </c>
      <c r="P59" s="2">
        <f>(H59 + J59) - (L59 + N59)</f>
        <v>0</v>
      </c>
      <c r="Q59" s="2">
        <f>P59 * G59</f>
        <v>0</v>
      </c>
      <c r="R59">
        <v>0.4</v>
      </c>
      <c r="S59" s="2">
        <f>R59 * G59</f>
        <v>0</v>
      </c>
      <c r="T59" s="2">
        <f>(H59 + J59) - (L59 + N59) - R59</f>
        <v>0</v>
      </c>
      <c r="U59" s="2">
        <f>T59 * G59</f>
        <v>0</v>
      </c>
      <c r="V59" s="2">
        <f>I59 + K59 - S59</f>
        <v>0</v>
      </c>
      <c r="W59" s="2">
        <f>M59 - V59</f>
        <v>0</v>
      </c>
      <c r="X59" s="2">
        <f>IFERROR(W59 / M59 * 100, 0)</f>
        <v>0</v>
      </c>
    </row>
    <row r="60" spans="1:24">
      <c r="A60" t="s">
        <v>2258</v>
      </c>
      <c r="B60" t="s">
        <v>512</v>
      </c>
      <c r="C60" t="s">
        <v>2413</v>
      </c>
      <c r="D60" t="s">
        <v>1007</v>
      </c>
      <c r="E60" t="s">
        <v>2510</v>
      </c>
      <c r="F60" t="s">
        <v>2569</v>
      </c>
      <c r="G60">
        <v>14</v>
      </c>
      <c r="H60">
        <v>25.6</v>
      </c>
      <c r="I60">
        <v>358.4</v>
      </c>
      <c r="J60">
        <v>0</v>
      </c>
      <c r="K60">
        <v>0</v>
      </c>
      <c r="L60">
        <v>9.58</v>
      </c>
      <c r="M60">
        <v>154.95</v>
      </c>
      <c r="N60">
        <v>0</v>
      </c>
      <c r="O60">
        <v>0</v>
      </c>
      <c r="P60" s="2">
        <f>(H60 + J60) - (L60 + N60)</f>
        <v>0</v>
      </c>
      <c r="Q60" s="2">
        <f>P60 * G60</f>
        <v>0</v>
      </c>
      <c r="R60">
        <v>16</v>
      </c>
      <c r="S60" s="2">
        <f>R60 * G60</f>
        <v>0</v>
      </c>
      <c r="T60" s="2">
        <f>(H60 + J60) - (L60 + N60) - R60</f>
        <v>0</v>
      </c>
      <c r="U60" s="2">
        <f>T60 * G60</f>
        <v>0</v>
      </c>
      <c r="V60" s="2">
        <f>I60 + K60 - S60</f>
        <v>0</v>
      </c>
      <c r="W60" s="2">
        <f>M60 - V60</f>
        <v>0</v>
      </c>
      <c r="X60" s="2">
        <f>IFERROR(W60 / M60 * 100, 0)</f>
        <v>0</v>
      </c>
    </row>
    <row r="61" spans="1:24">
      <c r="A61" t="s">
        <v>2259</v>
      </c>
      <c r="B61" t="s">
        <v>513</v>
      </c>
      <c r="C61" t="s">
        <v>2414</v>
      </c>
      <c r="D61" t="s">
        <v>1007</v>
      </c>
      <c r="E61" t="s">
        <v>2510</v>
      </c>
      <c r="F61" t="s">
        <v>2570</v>
      </c>
      <c r="G61">
        <v>0</v>
      </c>
      <c r="H61">
        <v>0</v>
      </c>
      <c r="I61">
        <v>0</v>
      </c>
      <c r="J61">
        <v>0</v>
      </c>
      <c r="K61">
        <v>0</v>
      </c>
      <c r="L61">
        <v>0.5</v>
      </c>
      <c r="M61">
        <v>28.62</v>
      </c>
      <c r="N61">
        <v>0</v>
      </c>
      <c r="O61">
        <v>0</v>
      </c>
      <c r="P61" s="2">
        <f>(H61 + J61) - (L61 + N61)</f>
        <v>0</v>
      </c>
      <c r="Q61" s="2">
        <f>P61 * G61</f>
        <v>0</v>
      </c>
      <c r="R61">
        <v>0</v>
      </c>
      <c r="S61" s="2">
        <f>R61 * G61</f>
        <v>0</v>
      </c>
      <c r="T61" s="2">
        <f>(H61 + J61) - (L61 + N61) - R61</f>
        <v>0</v>
      </c>
      <c r="U61" s="2">
        <f>T61 * G61</f>
        <v>0</v>
      </c>
      <c r="V61" s="2">
        <f>I61 + K61 - S61</f>
        <v>0</v>
      </c>
      <c r="W61" s="2">
        <f>M61 - V61</f>
        <v>0</v>
      </c>
      <c r="X61" s="2">
        <f>IFERROR(W61 / M61 * 100, 0)</f>
        <v>0</v>
      </c>
    </row>
    <row r="62" spans="1:24">
      <c r="A62" t="s">
        <v>2260</v>
      </c>
      <c r="B62" t="s">
        <v>512</v>
      </c>
      <c r="C62" t="s">
        <v>2415</v>
      </c>
      <c r="D62" t="s">
        <v>1007</v>
      </c>
      <c r="E62" t="s">
        <v>2510</v>
      </c>
      <c r="F62" t="s">
        <v>2571</v>
      </c>
      <c r="G62">
        <v>20</v>
      </c>
      <c r="H62">
        <v>0</v>
      </c>
      <c r="I62">
        <v>0</v>
      </c>
      <c r="J62">
        <v>10</v>
      </c>
      <c r="K62">
        <v>200</v>
      </c>
      <c r="L62">
        <v>0</v>
      </c>
      <c r="M62">
        <v>0</v>
      </c>
      <c r="N62">
        <v>0</v>
      </c>
      <c r="O62">
        <v>0</v>
      </c>
      <c r="P62" s="2">
        <f>(H62 + J62) - (L62 + N62)</f>
        <v>0</v>
      </c>
      <c r="Q62" s="2">
        <f>P62 * G62</f>
        <v>0</v>
      </c>
      <c r="R62">
        <v>0</v>
      </c>
      <c r="S62" s="2">
        <f>R62 * G62</f>
        <v>0</v>
      </c>
      <c r="T62" s="2">
        <f>(H62 + J62) - (L62 + N62) - R62</f>
        <v>0</v>
      </c>
      <c r="U62" s="2">
        <f>T62 * G62</f>
        <v>0</v>
      </c>
      <c r="V62" s="2">
        <f>I62 + K62 - S62</f>
        <v>0</v>
      </c>
      <c r="W62" s="2">
        <f>M62 - V62</f>
        <v>0</v>
      </c>
      <c r="X62" s="2">
        <f>IFERROR(W62 / M62 * 100, 0)</f>
        <v>0</v>
      </c>
    </row>
    <row r="63" spans="1:24">
      <c r="A63" t="s">
        <v>2261</v>
      </c>
      <c r="B63" t="s">
        <v>512</v>
      </c>
      <c r="C63" t="s">
        <v>2416</v>
      </c>
      <c r="D63" t="s">
        <v>1007</v>
      </c>
      <c r="E63" t="s">
        <v>2510</v>
      </c>
      <c r="F63" t="s">
        <v>2572</v>
      </c>
      <c r="G63">
        <v>19</v>
      </c>
      <c r="H63">
        <v>0</v>
      </c>
      <c r="I63">
        <v>0</v>
      </c>
      <c r="J63">
        <v>10</v>
      </c>
      <c r="K63">
        <v>190</v>
      </c>
      <c r="L63">
        <v>0</v>
      </c>
      <c r="M63">
        <v>0</v>
      </c>
      <c r="N63">
        <v>0</v>
      </c>
      <c r="O63">
        <v>0</v>
      </c>
      <c r="P63" s="2">
        <f>(H63 + J63) - (L63 + N63)</f>
        <v>0</v>
      </c>
      <c r="Q63" s="2">
        <f>P63 * G63</f>
        <v>0</v>
      </c>
      <c r="R63">
        <v>0</v>
      </c>
      <c r="S63" s="2">
        <f>R63 * G63</f>
        <v>0</v>
      </c>
      <c r="T63" s="2">
        <f>(H63 + J63) - (L63 + N63) - R63</f>
        <v>0</v>
      </c>
      <c r="U63" s="2">
        <f>T63 * G63</f>
        <v>0</v>
      </c>
      <c r="V63" s="2">
        <f>I63 + K63 - S63</f>
        <v>0</v>
      </c>
      <c r="W63" s="2">
        <f>M63 - V63</f>
        <v>0</v>
      </c>
      <c r="X63" s="2">
        <f>IFERROR(W63 / M63 * 100, 0)</f>
        <v>0</v>
      </c>
    </row>
    <row r="64" spans="1:24">
      <c r="A64" t="s">
        <v>2262</v>
      </c>
      <c r="B64" t="s">
        <v>512</v>
      </c>
      <c r="C64" t="s">
        <v>2417</v>
      </c>
      <c r="D64" t="s">
        <v>1007</v>
      </c>
      <c r="E64" t="s">
        <v>2510</v>
      </c>
      <c r="F64" t="s">
        <v>2573</v>
      </c>
      <c r="G64">
        <v>25</v>
      </c>
      <c r="H64">
        <v>0</v>
      </c>
      <c r="I64">
        <v>0</v>
      </c>
      <c r="J64">
        <v>10</v>
      </c>
      <c r="K64">
        <v>250</v>
      </c>
      <c r="L64">
        <v>0</v>
      </c>
      <c r="M64">
        <v>0</v>
      </c>
      <c r="N64">
        <v>0</v>
      </c>
      <c r="O64">
        <v>0</v>
      </c>
      <c r="P64" s="2">
        <f>(H64 + J64) - (L64 + N64)</f>
        <v>0</v>
      </c>
      <c r="Q64" s="2">
        <f>P64 * G64</f>
        <v>0</v>
      </c>
      <c r="R64">
        <v>0</v>
      </c>
      <c r="S64" s="2">
        <f>R64 * G64</f>
        <v>0</v>
      </c>
      <c r="T64" s="2">
        <f>(H64 + J64) - (L64 + N64) - R64</f>
        <v>0</v>
      </c>
      <c r="U64" s="2">
        <f>T64 * G64</f>
        <v>0</v>
      </c>
      <c r="V64" s="2">
        <f>I64 + K64 - S64</f>
        <v>0</v>
      </c>
      <c r="W64" s="2">
        <f>M64 - V64</f>
        <v>0</v>
      </c>
      <c r="X64" s="2">
        <f>IFERROR(W64 / M64 * 100, 0)</f>
        <v>0</v>
      </c>
    </row>
    <row r="65" spans="1:24">
      <c r="A65" t="s">
        <v>2263</v>
      </c>
      <c r="B65" t="s">
        <v>512</v>
      </c>
      <c r="C65" t="s">
        <v>2418</v>
      </c>
      <c r="D65" t="s">
        <v>1007</v>
      </c>
      <c r="E65" t="s">
        <v>2510</v>
      </c>
      <c r="F65" t="s">
        <v>2574</v>
      </c>
      <c r="G65">
        <v>25</v>
      </c>
      <c r="H65">
        <v>0</v>
      </c>
      <c r="I65">
        <v>0</v>
      </c>
      <c r="J65">
        <v>10</v>
      </c>
      <c r="K65">
        <v>250</v>
      </c>
      <c r="L65">
        <v>0</v>
      </c>
      <c r="M65">
        <v>0</v>
      </c>
      <c r="N65">
        <v>0</v>
      </c>
      <c r="O65">
        <v>0</v>
      </c>
      <c r="P65" s="2">
        <f>(H65 + J65) - (L65 + N65)</f>
        <v>0</v>
      </c>
      <c r="Q65" s="2">
        <f>P65 * G65</f>
        <v>0</v>
      </c>
      <c r="R65">
        <v>0</v>
      </c>
      <c r="S65" s="2">
        <f>R65 * G65</f>
        <v>0</v>
      </c>
      <c r="T65" s="2">
        <f>(H65 + J65) - (L65 + N65) - R65</f>
        <v>0</v>
      </c>
      <c r="U65" s="2">
        <f>T65 * G65</f>
        <v>0</v>
      </c>
      <c r="V65" s="2">
        <f>I65 + K65 - S65</f>
        <v>0</v>
      </c>
      <c r="W65" s="2">
        <f>M65 - V65</f>
        <v>0</v>
      </c>
      <c r="X65" s="2">
        <f>IFERROR(W65 / M65 * 100, 0)</f>
        <v>0</v>
      </c>
    </row>
    <row r="66" spans="1:24">
      <c r="A66" t="s">
        <v>2264</v>
      </c>
      <c r="B66" t="s">
        <v>512</v>
      </c>
      <c r="C66" t="s">
        <v>2419</v>
      </c>
      <c r="D66" t="s">
        <v>1007</v>
      </c>
      <c r="E66" t="s">
        <v>2510</v>
      </c>
      <c r="F66" t="s">
        <v>2575</v>
      </c>
      <c r="G66">
        <v>18</v>
      </c>
      <c r="H66">
        <v>0</v>
      </c>
      <c r="I66">
        <v>0</v>
      </c>
      <c r="J66">
        <v>16</v>
      </c>
      <c r="K66">
        <v>288</v>
      </c>
      <c r="L66">
        <v>0.27</v>
      </c>
      <c r="M66">
        <v>6.02</v>
      </c>
      <c r="N66">
        <v>0</v>
      </c>
      <c r="O66">
        <v>0</v>
      </c>
      <c r="P66" s="2">
        <f>(H66 + J66) - (L66 + N66)</f>
        <v>0</v>
      </c>
      <c r="Q66" s="2">
        <f>P66 * G66</f>
        <v>0</v>
      </c>
      <c r="R66">
        <v>15.6</v>
      </c>
      <c r="S66" s="2">
        <f>R66 * G66</f>
        <v>0</v>
      </c>
      <c r="T66" s="2">
        <f>(H66 + J66) - (L66 + N66) - R66</f>
        <v>0</v>
      </c>
      <c r="U66" s="2">
        <f>T66 * G66</f>
        <v>0</v>
      </c>
      <c r="V66" s="2">
        <f>I66 + K66 - S66</f>
        <v>0</v>
      </c>
      <c r="W66" s="2">
        <f>M66 - V66</f>
        <v>0</v>
      </c>
      <c r="X66" s="2">
        <f>IFERROR(W66 / M66 * 100, 0)</f>
        <v>0</v>
      </c>
    </row>
    <row r="67" spans="1:24">
      <c r="A67" t="s">
        <v>2265</v>
      </c>
      <c r="B67" t="s">
        <v>512</v>
      </c>
      <c r="C67" t="s">
        <v>2420</v>
      </c>
      <c r="D67" t="s">
        <v>1007</v>
      </c>
      <c r="E67" t="s">
        <v>2510</v>
      </c>
      <c r="F67" t="s">
        <v>2576</v>
      </c>
      <c r="G67">
        <v>32.5</v>
      </c>
      <c r="H67">
        <v>2</v>
      </c>
      <c r="I67">
        <v>65</v>
      </c>
      <c r="J67">
        <v>0</v>
      </c>
      <c r="K67">
        <v>0</v>
      </c>
      <c r="L67">
        <v>0.36</v>
      </c>
      <c r="M67">
        <v>16.29</v>
      </c>
      <c r="N67">
        <v>0</v>
      </c>
      <c r="O67">
        <v>0</v>
      </c>
      <c r="P67" s="2">
        <f>(H67 + J67) - (L67 + N67)</f>
        <v>0</v>
      </c>
      <c r="Q67" s="2">
        <f>P67 * G67</f>
        <v>0</v>
      </c>
      <c r="R67">
        <v>0</v>
      </c>
      <c r="S67" s="2">
        <f>R67 * G67</f>
        <v>0</v>
      </c>
      <c r="T67" s="2">
        <f>(H67 + J67) - (L67 + N67) - R67</f>
        <v>0</v>
      </c>
      <c r="U67" s="2">
        <f>T67 * G67</f>
        <v>0</v>
      </c>
      <c r="V67" s="2">
        <f>I67 + K67 - S67</f>
        <v>0</v>
      </c>
      <c r="W67" s="2">
        <f>M67 - V67</f>
        <v>0</v>
      </c>
      <c r="X67" s="2">
        <f>IFERROR(W67 / M67 * 100, 0)</f>
        <v>0</v>
      </c>
    </row>
    <row r="68" spans="1:24">
      <c r="A68" t="s">
        <v>2266</v>
      </c>
      <c r="B68" t="s">
        <v>512</v>
      </c>
      <c r="C68" t="s">
        <v>2421</v>
      </c>
      <c r="D68" t="s">
        <v>1007</v>
      </c>
      <c r="E68" t="s">
        <v>2510</v>
      </c>
      <c r="F68" t="s">
        <v>2577</v>
      </c>
      <c r="G68">
        <v>0.84</v>
      </c>
      <c r="H68">
        <v>0</v>
      </c>
      <c r="I68">
        <v>0</v>
      </c>
      <c r="J68">
        <v>91.59999999999999</v>
      </c>
      <c r="K68">
        <v>76.65000000000001</v>
      </c>
      <c r="L68">
        <v>0</v>
      </c>
      <c r="M68">
        <v>0</v>
      </c>
      <c r="N68">
        <v>0</v>
      </c>
      <c r="O68">
        <v>0</v>
      </c>
      <c r="P68" s="2">
        <f>(H68 + J68) - (L68 + N68)</f>
        <v>0</v>
      </c>
      <c r="Q68" s="2">
        <f>P68 * G68</f>
        <v>0</v>
      </c>
      <c r="R68">
        <v>0</v>
      </c>
      <c r="S68" s="2">
        <f>R68 * G68</f>
        <v>0</v>
      </c>
      <c r="T68" s="2">
        <f>(H68 + J68) - (L68 + N68) - R68</f>
        <v>0</v>
      </c>
      <c r="U68" s="2">
        <f>T68 * G68</f>
        <v>0</v>
      </c>
      <c r="V68" s="2">
        <f>I68 + K68 - S68</f>
        <v>0</v>
      </c>
      <c r="W68" s="2">
        <f>M68 - V68</f>
        <v>0</v>
      </c>
      <c r="X68" s="2">
        <f>IFERROR(W68 / M68 * 100, 0)</f>
        <v>0</v>
      </c>
    </row>
    <row r="69" spans="1:24">
      <c r="A69" t="s">
        <v>2267</v>
      </c>
      <c r="B69" t="s">
        <v>512</v>
      </c>
      <c r="C69" t="s">
        <v>2422</v>
      </c>
      <c r="D69" t="s">
        <v>1008</v>
      </c>
      <c r="E69" t="s">
        <v>2510</v>
      </c>
      <c r="F69" t="s">
        <v>2578</v>
      </c>
      <c r="G69">
        <v>0</v>
      </c>
      <c r="H69">
        <v>26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s="2">
        <f>(H69 + J69) - (L69 + N69)</f>
        <v>0</v>
      </c>
      <c r="Q69" s="2">
        <f>P69 * G69</f>
        <v>0</v>
      </c>
      <c r="R69">
        <v>0</v>
      </c>
      <c r="S69" s="2">
        <f>R69 * G69</f>
        <v>0</v>
      </c>
      <c r="T69" s="2">
        <f>(H69 + J69) - (L69 + N69) - R69</f>
        <v>0</v>
      </c>
      <c r="U69" s="2">
        <f>T69 * G69</f>
        <v>0</v>
      </c>
      <c r="V69" s="2">
        <f>I69 + K69 - S69</f>
        <v>0</v>
      </c>
      <c r="W69" s="2">
        <f>M69 - V69</f>
        <v>0</v>
      </c>
      <c r="X69" s="2">
        <f>IFERROR(W69 / M69 * 100, 0)</f>
        <v>0</v>
      </c>
    </row>
    <row r="70" spans="1:24">
      <c r="A70" t="s">
        <v>2268</v>
      </c>
      <c r="B70" t="s">
        <v>512</v>
      </c>
      <c r="C70" t="s">
        <v>2423</v>
      </c>
      <c r="D70" t="s">
        <v>1007</v>
      </c>
      <c r="E70" t="s">
        <v>2510</v>
      </c>
      <c r="F70" t="s">
        <v>2579</v>
      </c>
      <c r="G70">
        <v>39</v>
      </c>
      <c r="H70">
        <v>0</v>
      </c>
      <c r="I70">
        <v>0</v>
      </c>
      <c r="J70">
        <v>0</v>
      </c>
      <c r="K70">
        <v>0</v>
      </c>
      <c r="L70">
        <v>0.5</v>
      </c>
      <c r="M70">
        <v>24.88</v>
      </c>
      <c r="N70">
        <v>0</v>
      </c>
      <c r="O70">
        <v>0</v>
      </c>
      <c r="P70" s="2">
        <f>(H70 + J70) - (L70 + N70)</f>
        <v>0</v>
      </c>
      <c r="Q70" s="2">
        <f>P70 * G70</f>
        <v>0</v>
      </c>
      <c r="R70">
        <v>0</v>
      </c>
      <c r="S70" s="2">
        <f>R70 * G70</f>
        <v>0</v>
      </c>
      <c r="T70" s="2">
        <f>(H70 + J70) - (L70 + N70) - R70</f>
        <v>0</v>
      </c>
      <c r="U70" s="2">
        <f>T70 * G70</f>
        <v>0</v>
      </c>
      <c r="V70" s="2">
        <f>I70 + K70 - S70</f>
        <v>0</v>
      </c>
      <c r="W70" s="2">
        <f>M70 - V70</f>
        <v>0</v>
      </c>
      <c r="X70" s="2">
        <f>IFERROR(W70 / M70 * 100, 0)</f>
        <v>0</v>
      </c>
    </row>
    <row r="71" spans="1:24">
      <c r="A71" t="s">
        <v>2269</v>
      </c>
      <c r="B71" t="s">
        <v>512</v>
      </c>
      <c r="C71" t="s">
        <v>2424</v>
      </c>
      <c r="D71" t="s">
        <v>1007</v>
      </c>
      <c r="E71" t="s">
        <v>2510</v>
      </c>
      <c r="F71" t="s">
        <v>2580</v>
      </c>
      <c r="G71">
        <v>85</v>
      </c>
      <c r="H71">
        <v>0</v>
      </c>
      <c r="I71">
        <v>0</v>
      </c>
      <c r="J71">
        <v>0</v>
      </c>
      <c r="K71">
        <v>0</v>
      </c>
      <c r="L71">
        <v>0.14</v>
      </c>
      <c r="M71">
        <v>14.82</v>
      </c>
      <c r="N71">
        <v>0</v>
      </c>
      <c r="O71">
        <v>0</v>
      </c>
      <c r="P71" s="2">
        <f>(H71 + J71) - (L71 + N71)</f>
        <v>0</v>
      </c>
      <c r="Q71" s="2">
        <f>P71 * G71</f>
        <v>0</v>
      </c>
      <c r="R71">
        <v>0</v>
      </c>
      <c r="S71" s="2">
        <f>R71 * G71</f>
        <v>0</v>
      </c>
      <c r="T71" s="2">
        <f>(H71 + J71) - (L71 + N71) - R71</f>
        <v>0</v>
      </c>
      <c r="U71" s="2">
        <f>T71 * G71</f>
        <v>0</v>
      </c>
      <c r="V71" s="2">
        <f>I71 + K71 - S71</f>
        <v>0</v>
      </c>
      <c r="W71" s="2">
        <f>M71 - V71</f>
        <v>0</v>
      </c>
      <c r="X71" s="2">
        <f>IFERROR(W71 / M71 * 100, 0)</f>
        <v>0</v>
      </c>
    </row>
    <row r="72" spans="1:24">
      <c r="A72" t="s">
        <v>2270</v>
      </c>
      <c r="B72" t="s">
        <v>512</v>
      </c>
      <c r="C72" t="s">
        <v>2425</v>
      </c>
      <c r="D72" t="s">
        <v>1007</v>
      </c>
      <c r="E72" t="s">
        <v>2510</v>
      </c>
      <c r="F72" t="s">
        <v>2581</v>
      </c>
      <c r="G72">
        <v>35</v>
      </c>
      <c r="H72">
        <v>0</v>
      </c>
      <c r="I72">
        <v>0</v>
      </c>
      <c r="J72">
        <v>-0.07000000000000001</v>
      </c>
      <c r="K72">
        <v>-2.36</v>
      </c>
      <c r="L72">
        <v>0</v>
      </c>
      <c r="M72">
        <v>0</v>
      </c>
      <c r="N72">
        <v>0</v>
      </c>
      <c r="O72">
        <v>0</v>
      </c>
      <c r="P72" s="2">
        <f>(H72 + J72) - (L72 + N72)</f>
        <v>0</v>
      </c>
      <c r="Q72" s="2">
        <f>P72 * G72</f>
        <v>0</v>
      </c>
      <c r="R72">
        <v>0</v>
      </c>
      <c r="S72" s="2">
        <f>R72 * G72</f>
        <v>0</v>
      </c>
      <c r="T72" s="2">
        <f>(H72 + J72) - (L72 + N72) - R72</f>
        <v>0</v>
      </c>
      <c r="U72" s="2">
        <f>T72 * G72</f>
        <v>0</v>
      </c>
      <c r="V72" s="2">
        <f>I72 + K72 - S72</f>
        <v>0</v>
      </c>
      <c r="W72" s="2">
        <f>M72 - V72</f>
        <v>0</v>
      </c>
      <c r="X72" s="2">
        <f>IFERROR(W72 / M72 * 100, 0)</f>
        <v>0</v>
      </c>
    </row>
    <row r="73" spans="1:24">
      <c r="A73" t="s">
        <v>2271</v>
      </c>
      <c r="B73" t="s">
        <v>512</v>
      </c>
      <c r="C73" t="s">
        <v>2426</v>
      </c>
      <c r="D73" t="s">
        <v>1007</v>
      </c>
      <c r="E73" t="s">
        <v>2510</v>
      </c>
      <c r="F73" t="s">
        <v>2582</v>
      </c>
      <c r="G73">
        <v>11.89</v>
      </c>
      <c r="H73">
        <v>0</v>
      </c>
      <c r="I73">
        <v>0</v>
      </c>
      <c r="J73">
        <v>16.93</v>
      </c>
      <c r="K73">
        <v>200.35</v>
      </c>
      <c r="L73">
        <v>0</v>
      </c>
      <c r="M73">
        <v>0</v>
      </c>
      <c r="N73">
        <v>0</v>
      </c>
      <c r="O73">
        <v>0</v>
      </c>
      <c r="P73" s="2">
        <f>(H73 + J73) - (L73 + N73)</f>
        <v>0</v>
      </c>
      <c r="Q73" s="2">
        <f>P73 * G73</f>
        <v>0</v>
      </c>
      <c r="R73">
        <v>0</v>
      </c>
      <c r="S73" s="2">
        <f>R73 * G73</f>
        <v>0</v>
      </c>
      <c r="T73" s="2">
        <f>(H73 + J73) - (L73 + N73) - R73</f>
        <v>0</v>
      </c>
      <c r="U73" s="2">
        <f>T73 * G73</f>
        <v>0</v>
      </c>
      <c r="V73" s="2">
        <f>I73 + K73 - S73</f>
        <v>0</v>
      </c>
      <c r="W73" s="2">
        <f>M73 - V73</f>
        <v>0</v>
      </c>
      <c r="X73" s="2">
        <f>IFERROR(W73 / M73 * 100, 0)</f>
        <v>0</v>
      </c>
    </row>
    <row r="74" spans="1:24">
      <c r="A74" t="s">
        <v>2272</v>
      </c>
      <c r="B74" t="s">
        <v>512</v>
      </c>
      <c r="C74" t="s">
        <v>2427</v>
      </c>
      <c r="D74" t="s">
        <v>1007</v>
      </c>
      <c r="E74" t="s">
        <v>2510</v>
      </c>
      <c r="F74" t="s">
        <v>2583</v>
      </c>
      <c r="G74">
        <v>10</v>
      </c>
      <c r="H74">
        <v>0</v>
      </c>
      <c r="I74">
        <v>0</v>
      </c>
      <c r="J74">
        <v>0</v>
      </c>
      <c r="K74">
        <v>0</v>
      </c>
      <c r="L74">
        <v>0.37</v>
      </c>
      <c r="M74">
        <v>5.55</v>
      </c>
      <c r="N74">
        <v>0</v>
      </c>
      <c r="O74">
        <v>0</v>
      </c>
      <c r="P74" s="2">
        <f>(H74 + J74) - (L74 + N74)</f>
        <v>0</v>
      </c>
      <c r="Q74" s="2">
        <f>P74 * G74</f>
        <v>0</v>
      </c>
      <c r="R74">
        <v>0</v>
      </c>
      <c r="S74" s="2">
        <f>R74 * G74</f>
        <v>0</v>
      </c>
      <c r="T74" s="2">
        <f>(H74 + J74) - (L74 + N74) - R74</f>
        <v>0</v>
      </c>
      <c r="U74" s="2">
        <f>T74 * G74</f>
        <v>0</v>
      </c>
      <c r="V74" s="2">
        <f>I74 + K74 - S74</f>
        <v>0</v>
      </c>
      <c r="W74" s="2">
        <f>M74 - V74</f>
        <v>0</v>
      </c>
      <c r="X74" s="2">
        <f>IFERROR(W74 / M74 * 100, 0)</f>
        <v>0</v>
      </c>
    </row>
    <row r="75" spans="1:24">
      <c r="A75" t="s">
        <v>2273</v>
      </c>
      <c r="B75" t="s">
        <v>512</v>
      </c>
      <c r="C75" t="s">
        <v>2428</v>
      </c>
      <c r="D75" t="s">
        <v>1007</v>
      </c>
      <c r="E75" t="s">
        <v>2510</v>
      </c>
      <c r="F75" t="s">
        <v>2584</v>
      </c>
      <c r="G75">
        <v>0</v>
      </c>
      <c r="H75">
        <v>7.4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s="2">
        <f>(H75 + J75) - (L75 + N75)</f>
        <v>0</v>
      </c>
      <c r="Q75" s="2">
        <f>P75 * G75</f>
        <v>0</v>
      </c>
      <c r="R75">
        <v>0</v>
      </c>
      <c r="S75" s="2">
        <f>R75 * G75</f>
        <v>0</v>
      </c>
      <c r="T75" s="2">
        <f>(H75 + J75) - (L75 + N75) - R75</f>
        <v>0</v>
      </c>
      <c r="U75" s="2">
        <f>T75 * G75</f>
        <v>0</v>
      </c>
      <c r="V75" s="2">
        <f>I75 + K75 - S75</f>
        <v>0</v>
      </c>
      <c r="W75" s="2">
        <f>M75 - V75</f>
        <v>0</v>
      </c>
      <c r="X75" s="2">
        <f>IFERROR(W75 / M75 * 100, 0)</f>
        <v>0</v>
      </c>
    </row>
    <row r="76" spans="1:24">
      <c r="A76" t="s">
        <v>2274</v>
      </c>
      <c r="B76" t="s">
        <v>512</v>
      </c>
      <c r="C76" t="s">
        <v>2429</v>
      </c>
      <c r="D76" t="s">
        <v>1007</v>
      </c>
      <c r="E76" t="s">
        <v>2510</v>
      </c>
      <c r="F76" t="s">
        <v>2585</v>
      </c>
      <c r="G76">
        <v>23.15</v>
      </c>
      <c r="H76">
        <v>14.5</v>
      </c>
      <c r="I76">
        <v>376.96</v>
      </c>
      <c r="J76">
        <v>26.3</v>
      </c>
      <c r="K76">
        <v>620.8099999999999</v>
      </c>
      <c r="L76">
        <v>19.42</v>
      </c>
      <c r="M76">
        <v>640.97</v>
      </c>
      <c r="N76">
        <v>0</v>
      </c>
      <c r="O76">
        <v>0</v>
      </c>
      <c r="P76" s="2">
        <f>(H76 + J76) - (L76 + N76)</f>
        <v>0</v>
      </c>
      <c r="Q76" s="2">
        <f>P76 * G76</f>
        <v>0</v>
      </c>
      <c r="R76">
        <v>35</v>
      </c>
      <c r="S76" s="2">
        <f>R76 * G76</f>
        <v>0</v>
      </c>
      <c r="T76" s="2">
        <f>(H76 + J76) - (L76 + N76) - R76</f>
        <v>0</v>
      </c>
      <c r="U76" s="2">
        <f>T76 * G76</f>
        <v>0</v>
      </c>
      <c r="V76" s="2">
        <f>I76 + K76 - S76</f>
        <v>0</v>
      </c>
      <c r="W76" s="2">
        <f>M76 - V76</f>
        <v>0</v>
      </c>
      <c r="X76" s="2">
        <f>IFERROR(W76 / M76 * 100, 0)</f>
        <v>0</v>
      </c>
    </row>
    <row r="77" spans="1:24">
      <c r="A77" t="s">
        <v>2275</v>
      </c>
      <c r="B77" t="s">
        <v>512</v>
      </c>
      <c r="C77" t="s">
        <v>2430</v>
      </c>
      <c r="D77" t="s">
        <v>1007</v>
      </c>
      <c r="E77" t="s">
        <v>2510</v>
      </c>
      <c r="F77" t="s">
        <v>2586</v>
      </c>
      <c r="G77">
        <v>6.5</v>
      </c>
      <c r="H77">
        <v>32</v>
      </c>
      <c r="I77">
        <v>208</v>
      </c>
      <c r="J77">
        <v>0</v>
      </c>
      <c r="K77">
        <v>0</v>
      </c>
      <c r="L77">
        <v>22.99</v>
      </c>
      <c r="M77">
        <v>218.39</v>
      </c>
      <c r="N77">
        <v>0</v>
      </c>
      <c r="O77">
        <v>0</v>
      </c>
      <c r="P77" s="2">
        <f>(H77 + J77) - (L77 + N77)</f>
        <v>0</v>
      </c>
      <c r="Q77" s="2">
        <f>P77 * G77</f>
        <v>0</v>
      </c>
      <c r="R77">
        <v>2</v>
      </c>
      <c r="S77" s="2">
        <f>R77 * G77</f>
        <v>0</v>
      </c>
      <c r="T77" s="2">
        <f>(H77 + J77) - (L77 + N77) - R77</f>
        <v>0</v>
      </c>
      <c r="U77" s="2">
        <f>T77 * G77</f>
        <v>0</v>
      </c>
      <c r="V77" s="2">
        <f>I77 + K77 - S77</f>
        <v>0</v>
      </c>
      <c r="W77" s="2">
        <f>M77 - V77</f>
        <v>0</v>
      </c>
      <c r="X77" s="2">
        <f>IFERROR(W77 / M77 * 100, 0)</f>
        <v>0</v>
      </c>
    </row>
    <row r="78" spans="1:24">
      <c r="A78" t="s">
        <v>2276</v>
      </c>
      <c r="B78" t="s">
        <v>512</v>
      </c>
      <c r="C78" t="s">
        <v>2431</v>
      </c>
      <c r="D78" t="s">
        <v>1007</v>
      </c>
      <c r="E78" t="s">
        <v>2510</v>
      </c>
      <c r="F78" t="s">
        <v>2587</v>
      </c>
      <c r="G78">
        <v>61.76</v>
      </c>
      <c r="H78">
        <v>0</v>
      </c>
      <c r="I78">
        <v>0</v>
      </c>
      <c r="J78">
        <v>0.04</v>
      </c>
      <c r="K78">
        <v>2.52</v>
      </c>
      <c r="L78">
        <v>0</v>
      </c>
      <c r="M78">
        <v>0</v>
      </c>
      <c r="N78">
        <v>0</v>
      </c>
      <c r="O78">
        <v>0</v>
      </c>
      <c r="P78" s="2">
        <f>(H78 + J78) - (L78 + N78)</f>
        <v>0</v>
      </c>
      <c r="Q78" s="2">
        <f>P78 * G78</f>
        <v>0</v>
      </c>
      <c r="R78">
        <v>0</v>
      </c>
      <c r="S78" s="2">
        <f>R78 * G78</f>
        <v>0</v>
      </c>
      <c r="T78" s="2">
        <f>(H78 + J78) - (L78 + N78) - R78</f>
        <v>0</v>
      </c>
      <c r="U78" s="2">
        <f>T78 * G78</f>
        <v>0</v>
      </c>
      <c r="V78" s="2">
        <f>I78 + K78 - S78</f>
        <v>0</v>
      </c>
      <c r="W78" s="2">
        <f>M78 - V78</f>
        <v>0</v>
      </c>
      <c r="X78" s="2">
        <f>IFERROR(W78 / M78 * 100, 0)</f>
        <v>0</v>
      </c>
    </row>
    <row r="79" spans="1:24">
      <c r="A79" t="s">
        <v>2277</v>
      </c>
      <c r="B79" t="s">
        <v>512</v>
      </c>
      <c r="C79" t="s">
        <v>2432</v>
      </c>
      <c r="D79" t="s">
        <v>1007</v>
      </c>
      <c r="E79" t="s">
        <v>2510</v>
      </c>
      <c r="F79" t="s">
        <v>2588</v>
      </c>
      <c r="G79">
        <v>28.35</v>
      </c>
      <c r="H79">
        <v>37.8</v>
      </c>
      <c r="I79">
        <v>1071.52</v>
      </c>
      <c r="J79">
        <v>141.59</v>
      </c>
      <c r="K79">
        <v>4013.74</v>
      </c>
      <c r="L79">
        <v>167.1</v>
      </c>
      <c r="M79">
        <v>5179.99</v>
      </c>
      <c r="N79">
        <v>0</v>
      </c>
      <c r="O79">
        <v>0</v>
      </c>
      <c r="P79" s="2">
        <f>(H79 + J79) - (L79 + N79)</f>
        <v>0</v>
      </c>
      <c r="Q79" s="2">
        <f>P79 * G79</f>
        <v>0</v>
      </c>
      <c r="R79">
        <v>32.4</v>
      </c>
      <c r="S79" s="2">
        <f>R79 * G79</f>
        <v>0</v>
      </c>
      <c r="T79" s="2">
        <f>(H79 + J79) - (L79 + N79) - R79</f>
        <v>0</v>
      </c>
      <c r="U79" s="2">
        <f>T79 * G79</f>
        <v>0</v>
      </c>
      <c r="V79" s="2">
        <f>I79 + K79 - S79</f>
        <v>0</v>
      </c>
      <c r="W79" s="2">
        <f>M79 - V79</f>
        <v>0</v>
      </c>
      <c r="X79" s="2">
        <f>IFERROR(W79 / M79 * 100, 0)</f>
        <v>0</v>
      </c>
    </row>
    <row r="80" spans="1:24">
      <c r="A80" t="s">
        <v>2278</v>
      </c>
      <c r="B80" t="s">
        <v>512</v>
      </c>
      <c r="C80" t="s">
        <v>2433</v>
      </c>
      <c r="D80" t="s">
        <v>1007</v>
      </c>
      <c r="E80" t="s">
        <v>2510</v>
      </c>
      <c r="F80" t="s">
        <v>2589</v>
      </c>
      <c r="G80">
        <v>1.05</v>
      </c>
      <c r="H80">
        <v>0</v>
      </c>
      <c r="I80">
        <v>0</v>
      </c>
      <c r="J80">
        <v>31.8</v>
      </c>
      <c r="K80">
        <v>33.5</v>
      </c>
      <c r="L80">
        <v>0</v>
      </c>
      <c r="M80">
        <v>0</v>
      </c>
      <c r="N80">
        <v>0</v>
      </c>
      <c r="O80">
        <v>0</v>
      </c>
      <c r="P80" s="2">
        <f>(H80 + J80) - (L80 + N80)</f>
        <v>0</v>
      </c>
      <c r="Q80" s="2">
        <f>P80 * G80</f>
        <v>0</v>
      </c>
      <c r="R80">
        <v>0</v>
      </c>
      <c r="S80" s="2">
        <f>R80 * G80</f>
        <v>0</v>
      </c>
      <c r="T80" s="2">
        <f>(H80 + J80) - (L80 + N80) - R80</f>
        <v>0</v>
      </c>
      <c r="U80" s="2">
        <f>T80 * G80</f>
        <v>0</v>
      </c>
      <c r="V80" s="2">
        <f>I80 + K80 - S80</f>
        <v>0</v>
      </c>
      <c r="W80" s="2">
        <f>M80 - V80</f>
        <v>0</v>
      </c>
      <c r="X80" s="2">
        <f>IFERROR(W80 / M80 * 100, 0)</f>
        <v>0</v>
      </c>
    </row>
    <row r="81" spans="1:24">
      <c r="A81" t="s">
        <v>2279</v>
      </c>
      <c r="B81" t="s">
        <v>512</v>
      </c>
      <c r="C81" t="s">
        <v>2434</v>
      </c>
      <c r="D81" t="s">
        <v>1007</v>
      </c>
      <c r="E81" t="s">
        <v>2510</v>
      </c>
      <c r="F81" t="s">
        <v>2590</v>
      </c>
      <c r="G81">
        <v>6.44</v>
      </c>
      <c r="H81">
        <v>0</v>
      </c>
      <c r="I81">
        <v>0</v>
      </c>
      <c r="J81">
        <v>100</v>
      </c>
      <c r="K81">
        <v>644</v>
      </c>
      <c r="L81">
        <v>0</v>
      </c>
      <c r="M81">
        <v>0</v>
      </c>
      <c r="N81">
        <v>0</v>
      </c>
      <c r="O81">
        <v>0</v>
      </c>
      <c r="P81" s="2">
        <f>(H81 + J81) - (L81 + N81)</f>
        <v>0</v>
      </c>
      <c r="Q81" s="2">
        <f>P81 * G81</f>
        <v>0</v>
      </c>
      <c r="R81">
        <v>0</v>
      </c>
      <c r="S81" s="2">
        <f>R81 * G81</f>
        <v>0</v>
      </c>
      <c r="T81" s="2">
        <f>(H81 + J81) - (L81 + N81) - R81</f>
        <v>0</v>
      </c>
      <c r="U81" s="2">
        <f>T81 * G81</f>
        <v>0</v>
      </c>
      <c r="V81" s="2">
        <f>I81 + K81 - S81</f>
        <v>0</v>
      </c>
      <c r="W81" s="2">
        <f>M81 - V81</f>
        <v>0</v>
      </c>
      <c r="X81" s="2">
        <f>IFERROR(W81 / M81 * 100, 0)</f>
        <v>0</v>
      </c>
    </row>
    <row r="82" spans="1:24">
      <c r="A82" t="s">
        <v>2280</v>
      </c>
      <c r="B82" t="s">
        <v>512</v>
      </c>
      <c r="C82" t="s">
        <v>2435</v>
      </c>
      <c r="D82" t="s">
        <v>1008</v>
      </c>
      <c r="E82" t="s">
        <v>2510</v>
      </c>
      <c r="F82" t="s">
        <v>2591</v>
      </c>
      <c r="G82">
        <v>0.95</v>
      </c>
      <c r="H82">
        <v>130</v>
      </c>
      <c r="I82">
        <v>123.36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s="2">
        <f>(H82 + J82) - (L82 + N82)</f>
        <v>0</v>
      </c>
      <c r="Q82" s="2">
        <f>P82 * G82</f>
        <v>0</v>
      </c>
      <c r="R82">
        <v>100</v>
      </c>
      <c r="S82" s="2">
        <f>R82 * G82</f>
        <v>0</v>
      </c>
      <c r="T82" s="2">
        <f>(H82 + J82) - (L82 + N82) - R82</f>
        <v>0</v>
      </c>
      <c r="U82" s="2">
        <f>T82 * G82</f>
        <v>0</v>
      </c>
      <c r="V82" s="2">
        <f>I82 + K82 - S82</f>
        <v>0</v>
      </c>
      <c r="W82" s="2">
        <f>M82 - V82</f>
        <v>0</v>
      </c>
      <c r="X82" s="2">
        <f>IFERROR(W82 / M82 * 100, 0)</f>
        <v>0</v>
      </c>
    </row>
    <row r="83" spans="1:24">
      <c r="A83" t="s">
        <v>2281</v>
      </c>
      <c r="B83" t="s">
        <v>512</v>
      </c>
      <c r="C83" t="s">
        <v>2436</v>
      </c>
      <c r="D83" t="s">
        <v>1007</v>
      </c>
      <c r="E83" t="s">
        <v>2510</v>
      </c>
      <c r="F83" t="s">
        <v>2592</v>
      </c>
      <c r="G83">
        <v>20</v>
      </c>
      <c r="H83">
        <v>0</v>
      </c>
      <c r="I83">
        <v>0</v>
      </c>
      <c r="J83">
        <v>0</v>
      </c>
      <c r="K83">
        <v>0</v>
      </c>
      <c r="L83">
        <v>0.25</v>
      </c>
      <c r="M83">
        <v>5</v>
      </c>
      <c r="N83">
        <v>0</v>
      </c>
      <c r="O83">
        <v>0</v>
      </c>
      <c r="P83" s="2">
        <f>(H83 + J83) - (L83 + N83)</f>
        <v>0</v>
      </c>
      <c r="Q83" s="2">
        <f>P83 * G83</f>
        <v>0</v>
      </c>
      <c r="R83">
        <v>0</v>
      </c>
      <c r="S83" s="2">
        <f>R83 * G83</f>
        <v>0</v>
      </c>
      <c r="T83" s="2">
        <f>(H83 + J83) - (L83 + N83) - R83</f>
        <v>0</v>
      </c>
      <c r="U83" s="2">
        <f>T83 * G83</f>
        <v>0</v>
      </c>
      <c r="V83" s="2">
        <f>I83 + K83 - S83</f>
        <v>0</v>
      </c>
      <c r="W83" s="2">
        <f>M83 - V83</f>
        <v>0</v>
      </c>
      <c r="X83" s="2">
        <f>IFERROR(W83 / M83 * 100, 0)</f>
        <v>0</v>
      </c>
    </row>
    <row r="84" spans="1:24">
      <c r="A84" t="s">
        <v>2282</v>
      </c>
      <c r="B84" t="s">
        <v>512</v>
      </c>
      <c r="C84" t="s">
        <v>2437</v>
      </c>
      <c r="D84" t="s">
        <v>1007</v>
      </c>
      <c r="E84" t="s">
        <v>2510</v>
      </c>
      <c r="F84" t="s">
        <v>2593</v>
      </c>
      <c r="G84">
        <v>8.5</v>
      </c>
      <c r="H84">
        <v>11</v>
      </c>
      <c r="I84">
        <v>93.5</v>
      </c>
      <c r="J84">
        <v>0</v>
      </c>
      <c r="K84">
        <v>0</v>
      </c>
      <c r="L84">
        <v>4.44</v>
      </c>
      <c r="M84">
        <v>48.85</v>
      </c>
      <c r="N84">
        <v>0</v>
      </c>
      <c r="O84">
        <v>0</v>
      </c>
      <c r="P84" s="2">
        <f>(H84 + J84) - (L84 + N84)</f>
        <v>0</v>
      </c>
      <c r="Q84" s="2">
        <f>P84 * G84</f>
        <v>0</v>
      </c>
      <c r="R84">
        <v>2.3</v>
      </c>
      <c r="S84" s="2">
        <f>R84 * G84</f>
        <v>0</v>
      </c>
      <c r="T84" s="2">
        <f>(H84 + J84) - (L84 + N84) - R84</f>
        <v>0</v>
      </c>
      <c r="U84" s="2">
        <f>T84 * G84</f>
        <v>0</v>
      </c>
      <c r="V84" s="2">
        <f>I84 + K84 - S84</f>
        <v>0</v>
      </c>
      <c r="W84" s="2">
        <f>M84 - V84</f>
        <v>0</v>
      </c>
      <c r="X84" s="2">
        <f>IFERROR(W84 / M84 * 100, 0)</f>
        <v>0</v>
      </c>
    </row>
    <row r="85" spans="1:24">
      <c r="A85" t="s">
        <v>2283</v>
      </c>
      <c r="B85" t="s">
        <v>512</v>
      </c>
      <c r="C85" t="s">
        <v>2438</v>
      </c>
      <c r="D85" t="s">
        <v>1007</v>
      </c>
      <c r="E85" t="s">
        <v>2510</v>
      </c>
      <c r="F85" t="s">
        <v>2594</v>
      </c>
      <c r="G85">
        <v>14.5</v>
      </c>
      <c r="H85">
        <v>0</v>
      </c>
      <c r="I85">
        <v>0</v>
      </c>
      <c r="J85">
        <v>0</v>
      </c>
      <c r="K85">
        <v>0</v>
      </c>
      <c r="L85">
        <v>0.14</v>
      </c>
      <c r="M85">
        <v>3</v>
      </c>
      <c r="N85">
        <v>0</v>
      </c>
      <c r="O85">
        <v>0</v>
      </c>
      <c r="P85" s="2">
        <f>(H85 + J85) - (L85 + N85)</f>
        <v>0</v>
      </c>
      <c r="Q85" s="2">
        <f>P85 * G85</f>
        <v>0</v>
      </c>
      <c r="R85">
        <v>0</v>
      </c>
      <c r="S85" s="2">
        <f>R85 * G85</f>
        <v>0</v>
      </c>
      <c r="T85" s="2">
        <f>(H85 + J85) - (L85 + N85) - R85</f>
        <v>0</v>
      </c>
      <c r="U85" s="2">
        <f>T85 * G85</f>
        <v>0</v>
      </c>
      <c r="V85" s="2">
        <f>I85 + K85 - S85</f>
        <v>0</v>
      </c>
      <c r="W85" s="2">
        <f>M85 - V85</f>
        <v>0</v>
      </c>
      <c r="X85" s="2">
        <f>IFERROR(W85 / M85 * 100, 0)</f>
        <v>0</v>
      </c>
    </row>
    <row r="86" spans="1:24">
      <c r="A86" t="s">
        <v>2284</v>
      </c>
      <c r="B86" t="s">
        <v>512</v>
      </c>
      <c r="C86" t="s">
        <v>2439</v>
      </c>
      <c r="D86" t="s">
        <v>1007</v>
      </c>
      <c r="E86" t="s">
        <v>2510</v>
      </c>
      <c r="F86" t="s">
        <v>2595</v>
      </c>
      <c r="G86">
        <v>7.2</v>
      </c>
      <c r="H86">
        <v>3</v>
      </c>
      <c r="I86">
        <v>21.6</v>
      </c>
      <c r="J86">
        <v>10</v>
      </c>
      <c r="K86">
        <v>72</v>
      </c>
      <c r="L86">
        <v>3.12</v>
      </c>
      <c r="M86">
        <v>32.74</v>
      </c>
      <c r="N86">
        <v>0</v>
      </c>
      <c r="O86">
        <v>0</v>
      </c>
      <c r="P86" s="2">
        <f>(H86 + J86) - (L86 + N86)</f>
        <v>0</v>
      </c>
      <c r="Q86" s="2">
        <f>P86 * G86</f>
        <v>0</v>
      </c>
      <c r="R86">
        <v>10</v>
      </c>
      <c r="S86" s="2">
        <f>R86 * G86</f>
        <v>0</v>
      </c>
      <c r="T86" s="2">
        <f>(H86 + J86) - (L86 + N86) - R86</f>
        <v>0</v>
      </c>
      <c r="U86" s="2">
        <f>T86 * G86</f>
        <v>0</v>
      </c>
      <c r="V86" s="2">
        <f>I86 + K86 - S86</f>
        <v>0</v>
      </c>
      <c r="W86" s="2">
        <f>M86 - V86</f>
        <v>0</v>
      </c>
      <c r="X86" s="2">
        <f>IFERROR(W86 / M86 * 100, 0)</f>
        <v>0</v>
      </c>
    </row>
    <row r="87" spans="1:24">
      <c r="A87" t="s">
        <v>2285</v>
      </c>
      <c r="B87" t="s">
        <v>512</v>
      </c>
      <c r="C87" t="s">
        <v>2440</v>
      </c>
      <c r="D87" t="s">
        <v>1007</v>
      </c>
      <c r="E87" t="s">
        <v>2510</v>
      </c>
      <c r="F87" t="s">
        <v>2596</v>
      </c>
      <c r="G87">
        <v>37</v>
      </c>
      <c r="H87">
        <v>0</v>
      </c>
      <c r="I87">
        <v>0</v>
      </c>
      <c r="J87">
        <v>0</v>
      </c>
      <c r="K87">
        <v>0</v>
      </c>
      <c r="L87">
        <v>0.52</v>
      </c>
      <c r="M87">
        <v>19.09</v>
      </c>
      <c r="N87">
        <v>0</v>
      </c>
      <c r="O87">
        <v>0</v>
      </c>
      <c r="P87" s="2">
        <f>(H87 + J87) - (L87 + N87)</f>
        <v>0</v>
      </c>
      <c r="Q87" s="2">
        <f>P87 * G87</f>
        <v>0</v>
      </c>
      <c r="R87">
        <v>0</v>
      </c>
      <c r="S87" s="2">
        <f>R87 * G87</f>
        <v>0</v>
      </c>
      <c r="T87" s="2">
        <f>(H87 + J87) - (L87 + N87) - R87</f>
        <v>0</v>
      </c>
      <c r="U87" s="2">
        <f>T87 * G87</f>
        <v>0</v>
      </c>
      <c r="V87" s="2">
        <f>I87 + K87 - S87</f>
        <v>0</v>
      </c>
      <c r="W87" s="2">
        <f>M87 - V87</f>
        <v>0</v>
      </c>
      <c r="X87" s="2">
        <f>IFERROR(W87 / M87 * 100, 0)</f>
        <v>0</v>
      </c>
    </row>
    <row r="88" spans="1:24">
      <c r="A88" t="s">
        <v>2286</v>
      </c>
      <c r="B88" t="s">
        <v>512</v>
      </c>
      <c r="C88" t="s">
        <v>2441</v>
      </c>
      <c r="D88" t="s">
        <v>1007</v>
      </c>
      <c r="E88" t="s">
        <v>2510</v>
      </c>
      <c r="F88" t="s">
        <v>2597</v>
      </c>
      <c r="G88">
        <v>14.5</v>
      </c>
      <c r="H88">
        <v>10</v>
      </c>
      <c r="I88">
        <v>145</v>
      </c>
      <c r="J88">
        <v>0</v>
      </c>
      <c r="K88">
        <v>0</v>
      </c>
      <c r="L88">
        <v>5.45</v>
      </c>
      <c r="M88">
        <v>114.42</v>
      </c>
      <c r="N88">
        <v>0</v>
      </c>
      <c r="O88">
        <v>0</v>
      </c>
      <c r="P88" s="2">
        <f>(H88 + J88) - (L88 + N88)</f>
        <v>0</v>
      </c>
      <c r="Q88" s="2">
        <f>P88 * G88</f>
        <v>0</v>
      </c>
      <c r="R88">
        <v>5.2</v>
      </c>
      <c r="S88" s="2">
        <f>R88 * G88</f>
        <v>0</v>
      </c>
      <c r="T88" s="2">
        <f>(H88 + J88) - (L88 + N88) - R88</f>
        <v>0</v>
      </c>
      <c r="U88" s="2">
        <f>T88 * G88</f>
        <v>0</v>
      </c>
      <c r="V88" s="2">
        <f>I88 + K88 - S88</f>
        <v>0</v>
      </c>
      <c r="W88" s="2">
        <f>M88 - V88</f>
        <v>0</v>
      </c>
      <c r="X88" s="2">
        <f>IFERROR(W88 / M88 * 100, 0)</f>
        <v>0</v>
      </c>
    </row>
    <row r="89" spans="1:24">
      <c r="A89" t="s">
        <v>2287</v>
      </c>
      <c r="B89" t="s">
        <v>512</v>
      </c>
      <c r="C89" t="s">
        <v>2442</v>
      </c>
      <c r="D89" t="s">
        <v>1007</v>
      </c>
      <c r="E89" t="s">
        <v>2510</v>
      </c>
      <c r="F89" t="s">
        <v>2598</v>
      </c>
      <c r="G89">
        <v>6.8</v>
      </c>
      <c r="H89">
        <v>0</v>
      </c>
      <c r="I89">
        <v>0</v>
      </c>
      <c r="J89">
        <v>0</v>
      </c>
      <c r="K89">
        <v>0</v>
      </c>
      <c r="L89">
        <v>0.99</v>
      </c>
      <c r="M89">
        <v>9.9</v>
      </c>
      <c r="N89">
        <v>0</v>
      </c>
      <c r="O89">
        <v>0</v>
      </c>
      <c r="P89" s="2">
        <f>(H89 + J89) - (L89 + N89)</f>
        <v>0</v>
      </c>
      <c r="Q89" s="2">
        <f>P89 * G89</f>
        <v>0</v>
      </c>
      <c r="R89">
        <v>0</v>
      </c>
      <c r="S89" s="2">
        <f>R89 * G89</f>
        <v>0</v>
      </c>
      <c r="T89" s="2">
        <f>(H89 + J89) - (L89 + N89) - R89</f>
        <v>0</v>
      </c>
      <c r="U89" s="2">
        <f>T89 * G89</f>
        <v>0</v>
      </c>
      <c r="V89" s="2">
        <f>I89 + K89 - S89</f>
        <v>0</v>
      </c>
      <c r="W89" s="2">
        <f>M89 - V89</f>
        <v>0</v>
      </c>
      <c r="X89" s="2">
        <f>IFERROR(W89 / M89 * 100, 0)</f>
        <v>0</v>
      </c>
    </row>
    <row r="90" spans="1:24">
      <c r="A90" t="s">
        <v>2288</v>
      </c>
      <c r="B90" t="s">
        <v>512</v>
      </c>
      <c r="C90" t="s">
        <v>2443</v>
      </c>
      <c r="D90" t="s">
        <v>1007</v>
      </c>
      <c r="E90" t="s">
        <v>2510</v>
      </c>
      <c r="F90" t="s">
        <v>2599</v>
      </c>
      <c r="G90">
        <v>13.5</v>
      </c>
      <c r="H90">
        <v>9.699999999999999</v>
      </c>
      <c r="I90">
        <v>130.95</v>
      </c>
      <c r="J90">
        <v>0</v>
      </c>
      <c r="K90">
        <v>0</v>
      </c>
      <c r="L90">
        <v>1.92</v>
      </c>
      <c r="M90">
        <v>28.86</v>
      </c>
      <c r="N90">
        <v>0</v>
      </c>
      <c r="O90">
        <v>0</v>
      </c>
      <c r="P90" s="2">
        <f>(H90 + J90) - (L90 + N90)</f>
        <v>0</v>
      </c>
      <c r="Q90" s="2">
        <f>P90 * G90</f>
        <v>0</v>
      </c>
      <c r="R90">
        <v>8</v>
      </c>
      <c r="S90" s="2">
        <f>R90 * G90</f>
        <v>0</v>
      </c>
      <c r="T90" s="2">
        <f>(H90 + J90) - (L90 + N90) - R90</f>
        <v>0</v>
      </c>
      <c r="U90" s="2">
        <f>T90 * G90</f>
        <v>0</v>
      </c>
      <c r="V90" s="2">
        <f>I90 + K90 - S90</f>
        <v>0</v>
      </c>
      <c r="W90" s="2">
        <f>M90 - V90</f>
        <v>0</v>
      </c>
      <c r="X90" s="2">
        <f>IFERROR(W90 / M90 * 100, 0)</f>
        <v>0</v>
      </c>
    </row>
    <row r="91" spans="1:24">
      <c r="A91" t="s">
        <v>2289</v>
      </c>
      <c r="B91" t="s">
        <v>512</v>
      </c>
      <c r="C91" t="s">
        <v>2444</v>
      </c>
      <c r="D91" t="s">
        <v>1007</v>
      </c>
      <c r="E91" t="s">
        <v>2510</v>
      </c>
      <c r="F91" t="s">
        <v>2600</v>
      </c>
      <c r="G91">
        <v>20</v>
      </c>
      <c r="H91">
        <v>4.5</v>
      </c>
      <c r="I91">
        <v>90</v>
      </c>
      <c r="J91">
        <v>0</v>
      </c>
      <c r="K91">
        <v>0</v>
      </c>
      <c r="L91">
        <v>0.58</v>
      </c>
      <c r="M91">
        <v>14.45</v>
      </c>
      <c r="N91">
        <v>0</v>
      </c>
      <c r="O91">
        <v>0</v>
      </c>
      <c r="P91" s="2">
        <f>(H91 + J91) - (L91 + N91)</f>
        <v>0</v>
      </c>
      <c r="Q91" s="2">
        <f>P91 * G91</f>
        <v>0</v>
      </c>
      <c r="R91">
        <v>3.9</v>
      </c>
      <c r="S91" s="2">
        <f>R91 * G91</f>
        <v>0</v>
      </c>
      <c r="T91" s="2">
        <f>(H91 + J91) - (L91 + N91) - R91</f>
        <v>0</v>
      </c>
      <c r="U91" s="2">
        <f>T91 * G91</f>
        <v>0</v>
      </c>
      <c r="V91" s="2">
        <f>I91 + K91 - S91</f>
        <v>0</v>
      </c>
      <c r="W91" s="2">
        <f>M91 - V91</f>
        <v>0</v>
      </c>
      <c r="X91" s="2">
        <f>IFERROR(W91 / M91 * 100, 0)</f>
        <v>0</v>
      </c>
    </row>
    <row r="92" spans="1:24">
      <c r="A92" t="s">
        <v>2290</v>
      </c>
      <c r="B92" t="s">
        <v>512</v>
      </c>
      <c r="C92" t="s">
        <v>2445</v>
      </c>
      <c r="D92" t="s">
        <v>1007</v>
      </c>
      <c r="E92" t="s">
        <v>2510</v>
      </c>
      <c r="F92" t="s">
        <v>2601</v>
      </c>
      <c r="G92">
        <v>19.98</v>
      </c>
      <c r="H92">
        <v>2</v>
      </c>
      <c r="I92">
        <v>39.96</v>
      </c>
      <c r="J92">
        <v>0</v>
      </c>
      <c r="K92">
        <v>0</v>
      </c>
      <c r="L92">
        <v>2.13</v>
      </c>
      <c r="M92">
        <v>63.24</v>
      </c>
      <c r="N92">
        <v>0</v>
      </c>
      <c r="O92">
        <v>0</v>
      </c>
      <c r="P92" s="2">
        <f>(H92 + J92) - (L92 + N92)</f>
        <v>0</v>
      </c>
      <c r="Q92" s="2">
        <f>P92 * G92</f>
        <v>0</v>
      </c>
      <c r="R92">
        <v>0</v>
      </c>
      <c r="S92" s="2">
        <f>R92 * G92</f>
        <v>0</v>
      </c>
      <c r="T92" s="2">
        <f>(H92 + J92) - (L92 + N92) - R92</f>
        <v>0</v>
      </c>
      <c r="U92" s="2">
        <f>T92 * G92</f>
        <v>0</v>
      </c>
      <c r="V92" s="2">
        <f>I92 + K92 - S92</f>
        <v>0</v>
      </c>
      <c r="W92" s="2">
        <f>M92 - V92</f>
        <v>0</v>
      </c>
      <c r="X92" s="2">
        <f>IFERROR(W92 / M92 * 100, 0)</f>
        <v>0</v>
      </c>
    </row>
    <row r="93" spans="1:24">
      <c r="A93" t="s">
        <v>2291</v>
      </c>
      <c r="B93" t="s">
        <v>512</v>
      </c>
      <c r="C93" t="s">
        <v>2446</v>
      </c>
      <c r="D93" t="s">
        <v>1007</v>
      </c>
      <c r="E93" t="s">
        <v>2510</v>
      </c>
      <c r="F93" t="s">
        <v>2602</v>
      </c>
      <c r="G93">
        <v>37</v>
      </c>
      <c r="H93">
        <v>0</v>
      </c>
      <c r="I93">
        <v>0</v>
      </c>
      <c r="J93">
        <v>0</v>
      </c>
      <c r="K93">
        <v>0</v>
      </c>
      <c r="L93">
        <v>0.39</v>
      </c>
      <c r="M93">
        <v>14.43</v>
      </c>
      <c r="N93">
        <v>0</v>
      </c>
      <c r="O93">
        <v>0</v>
      </c>
      <c r="P93" s="2">
        <f>(H93 + J93) - (L93 + N93)</f>
        <v>0</v>
      </c>
      <c r="Q93" s="2">
        <f>P93 * G93</f>
        <v>0</v>
      </c>
      <c r="R93">
        <v>0</v>
      </c>
      <c r="S93" s="2">
        <f>R93 * G93</f>
        <v>0</v>
      </c>
      <c r="T93" s="2">
        <f>(H93 + J93) - (L93 + N93) - R93</f>
        <v>0</v>
      </c>
      <c r="U93" s="2">
        <f>T93 * G93</f>
        <v>0</v>
      </c>
      <c r="V93" s="2">
        <f>I93 + K93 - S93</f>
        <v>0</v>
      </c>
      <c r="W93" s="2">
        <f>M93 - V93</f>
        <v>0</v>
      </c>
      <c r="X93" s="2">
        <f>IFERROR(W93 / M93 * 100, 0)</f>
        <v>0</v>
      </c>
    </row>
    <row r="94" spans="1:24">
      <c r="A94" t="s">
        <v>2292</v>
      </c>
      <c r="B94" t="s">
        <v>512</v>
      </c>
      <c r="C94" t="s">
        <v>2447</v>
      </c>
      <c r="D94" t="s">
        <v>1007</v>
      </c>
      <c r="E94" t="s">
        <v>2510</v>
      </c>
      <c r="F94" t="s">
        <v>2603</v>
      </c>
      <c r="G94">
        <v>7</v>
      </c>
      <c r="H94">
        <v>161</v>
      </c>
      <c r="I94">
        <v>1127</v>
      </c>
      <c r="J94">
        <v>-11.01</v>
      </c>
      <c r="K94">
        <v>-77.04000000000001</v>
      </c>
      <c r="L94">
        <v>119.2</v>
      </c>
      <c r="M94">
        <v>1662.97</v>
      </c>
      <c r="N94">
        <v>0</v>
      </c>
      <c r="O94">
        <v>0</v>
      </c>
      <c r="P94" s="2">
        <f>(H94 + J94) - (L94 + N94)</f>
        <v>0</v>
      </c>
      <c r="Q94" s="2">
        <f>P94 * G94</f>
        <v>0</v>
      </c>
      <c r="R94">
        <v>37</v>
      </c>
      <c r="S94" s="2">
        <f>R94 * G94</f>
        <v>0</v>
      </c>
      <c r="T94" s="2">
        <f>(H94 + J94) - (L94 + N94) - R94</f>
        <v>0</v>
      </c>
      <c r="U94" s="2">
        <f>T94 * G94</f>
        <v>0</v>
      </c>
      <c r="V94" s="2">
        <f>I94 + K94 - S94</f>
        <v>0</v>
      </c>
      <c r="W94" s="2">
        <f>M94 - V94</f>
        <v>0</v>
      </c>
      <c r="X94" s="2">
        <f>IFERROR(W94 / M94 * 100, 0)</f>
        <v>0</v>
      </c>
    </row>
    <row r="95" spans="1:24">
      <c r="A95" t="s">
        <v>2293</v>
      </c>
      <c r="B95" t="s">
        <v>512</v>
      </c>
      <c r="C95" t="s">
        <v>2448</v>
      </c>
      <c r="D95" t="s">
        <v>1008</v>
      </c>
      <c r="E95" t="s">
        <v>2510</v>
      </c>
      <c r="F95" t="s">
        <v>2604</v>
      </c>
      <c r="G95">
        <v>200</v>
      </c>
      <c r="H95">
        <v>1</v>
      </c>
      <c r="I95">
        <v>200</v>
      </c>
      <c r="J95">
        <v>2</v>
      </c>
      <c r="K95">
        <v>400</v>
      </c>
      <c r="L95">
        <v>0</v>
      </c>
      <c r="M95">
        <v>0</v>
      </c>
      <c r="N95">
        <v>0</v>
      </c>
      <c r="O95">
        <v>0</v>
      </c>
      <c r="P95" s="2">
        <f>(H95 + J95) - (L95 + N95)</f>
        <v>0</v>
      </c>
      <c r="Q95" s="2">
        <f>P95 * G95</f>
        <v>0</v>
      </c>
      <c r="R95">
        <v>0</v>
      </c>
      <c r="S95" s="2">
        <f>R95 * G95</f>
        <v>0</v>
      </c>
      <c r="T95" s="2">
        <f>(H95 + J95) - (L95 + N95) - R95</f>
        <v>0</v>
      </c>
      <c r="U95" s="2">
        <f>T95 * G95</f>
        <v>0</v>
      </c>
      <c r="V95" s="2">
        <f>I95 + K95 - S95</f>
        <v>0</v>
      </c>
      <c r="W95" s="2">
        <f>M95 - V95</f>
        <v>0</v>
      </c>
      <c r="X95" s="2">
        <f>IFERROR(W95 / M95 * 100, 0)</f>
        <v>0</v>
      </c>
    </row>
    <row r="96" spans="1:24">
      <c r="A96" t="s">
        <v>2294</v>
      </c>
      <c r="B96" t="s">
        <v>512</v>
      </c>
      <c r="C96" t="s">
        <v>2449</v>
      </c>
      <c r="D96" t="s">
        <v>1007</v>
      </c>
      <c r="E96" t="s">
        <v>2510</v>
      </c>
      <c r="F96" t="s">
        <v>2605</v>
      </c>
      <c r="G96">
        <v>6.93</v>
      </c>
      <c r="H96">
        <v>0</v>
      </c>
      <c r="I96">
        <v>0</v>
      </c>
      <c r="J96">
        <v>-0.02</v>
      </c>
      <c r="K96">
        <v>-0.11</v>
      </c>
      <c r="L96">
        <v>0</v>
      </c>
      <c r="M96">
        <v>0</v>
      </c>
      <c r="N96">
        <v>0</v>
      </c>
      <c r="O96">
        <v>0</v>
      </c>
      <c r="P96" s="2">
        <f>(H96 + J96) - (L96 + N96)</f>
        <v>0</v>
      </c>
      <c r="Q96" s="2">
        <f>P96 * G96</f>
        <v>0</v>
      </c>
      <c r="R96">
        <v>0</v>
      </c>
      <c r="S96" s="2">
        <f>R96 * G96</f>
        <v>0</v>
      </c>
      <c r="T96" s="2">
        <f>(H96 + J96) - (L96 + N96) - R96</f>
        <v>0</v>
      </c>
      <c r="U96" s="2">
        <f>T96 * G96</f>
        <v>0</v>
      </c>
      <c r="V96" s="2">
        <f>I96 + K96 - S96</f>
        <v>0</v>
      </c>
      <c r="W96" s="2">
        <f>M96 - V96</f>
        <v>0</v>
      </c>
      <c r="X96" s="2">
        <f>IFERROR(W96 / M96 * 100, 0)</f>
        <v>0</v>
      </c>
    </row>
    <row r="97" spans="1:24">
      <c r="A97" t="s">
        <v>2295</v>
      </c>
      <c r="B97" t="s">
        <v>512</v>
      </c>
      <c r="C97" t="s">
        <v>2450</v>
      </c>
      <c r="D97" t="s">
        <v>1007</v>
      </c>
      <c r="E97" t="s">
        <v>2510</v>
      </c>
      <c r="F97" t="s">
        <v>2606</v>
      </c>
      <c r="G97">
        <v>0</v>
      </c>
      <c r="H97">
        <v>0</v>
      </c>
      <c r="I97">
        <v>0</v>
      </c>
      <c r="J97">
        <v>-0.02</v>
      </c>
      <c r="K97">
        <v>0</v>
      </c>
      <c r="L97">
        <v>0</v>
      </c>
      <c r="M97">
        <v>0</v>
      </c>
      <c r="N97">
        <v>0</v>
      </c>
      <c r="O97">
        <v>0</v>
      </c>
      <c r="P97" s="2">
        <f>(H97 + J97) - (L97 + N97)</f>
        <v>0</v>
      </c>
      <c r="Q97" s="2">
        <f>P97 * G97</f>
        <v>0</v>
      </c>
      <c r="R97">
        <v>0</v>
      </c>
      <c r="S97" s="2">
        <f>R97 * G97</f>
        <v>0</v>
      </c>
      <c r="T97" s="2">
        <f>(H97 + J97) - (L97 + N97) - R97</f>
        <v>0</v>
      </c>
      <c r="U97" s="2">
        <f>T97 * G97</f>
        <v>0</v>
      </c>
      <c r="V97" s="2">
        <f>I97 + K97 - S97</f>
        <v>0</v>
      </c>
      <c r="W97" s="2">
        <f>M97 - V97</f>
        <v>0</v>
      </c>
      <c r="X97" s="2">
        <f>IFERROR(W97 / M97 * 100, 0)</f>
        <v>0</v>
      </c>
    </row>
    <row r="98" spans="1:24">
      <c r="A98" t="s">
        <v>2296</v>
      </c>
      <c r="B98" t="s">
        <v>512</v>
      </c>
      <c r="C98" t="s">
        <v>2451</v>
      </c>
      <c r="D98" t="s">
        <v>1007</v>
      </c>
      <c r="E98" t="s">
        <v>2510</v>
      </c>
      <c r="F98" t="s">
        <v>2607</v>
      </c>
      <c r="G98">
        <v>52.43</v>
      </c>
      <c r="H98">
        <v>0</v>
      </c>
      <c r="I98">
        <v>0</v>
      </c>
      <c r="J98">
        <v>0.41</v>
      </c>
      <c r="K98">
        <v>21.47</v>
      </c>
      <c r="L98">
        <v>0</v>
      </c>
      <c r="M98">
        <v>0</v>
      </c>
      <c r="N98">
        <v>0</v>
      </c>
      <c r="O98">
        <v>0</v>
      </c>
      <c r="P98" s="2">
        <f>(H98 + J98) - (L98 + N98)</f>
        <v>0</v>
      </c>
      <c r="Q98" s="2">
        <f>P98 * G98</f>
        <v>0</v>
      </c>
      <c r="R98">
        <v>0</v>
      </c>
      <c r="S98" s="2">
        <f>R98 * G98</f>
        <v>0</v>
      </c>
      <c r="T98" s="2">
        <f>(H98 + J98) - (L98 + N98) - R98</f>
        <v>0</v>
      </c>
      <c r="U98" s="2">
        <f>T98 * G98</f>
        <v>0</v>
      </c>
      <c r="V98" s="2">
        <f>I98 + K98 - S98</f>
        <v>0</v>
      </c>
      <c r="W98" s="2">
        <f>M98 - V98</f>
        <v>0</v>
      </c>
      <c r="X98" s="2">
        <f>IFERROR(W98 / M98 * 100, 0)</f>
        <v>0</v>
      </c>
    </row>
    <row r="99" spans="1:24">
      <c r="A99" t="s">
        <v>2297</v>
      </c>
      <c r="B99" t="s">
        <v>512</v>
      </c>
      <c r="C99" t="s">
        <v>2452</v>
      </c>
      <c r="D99" t="s">
        <v>1007</v>
      </c>
      <c r="E99" t="s">
        <v>2510</v>
      </c>
      <c r="F99" t="s">
        <v>2608</v>
      </c>
      <c r="G99">
        <v>27</v>
      </c>
      <c r="H99">
        <v>14.31</v>
      </c>
      <c r="I99">
        <v>386.37</v>
      </c>
      <c r="J99">
        <v>0</v>
      </c>
      <c r="K99">
        <v>0</v>
      </c>
      <c r="L99">
        <v>1.33</v>
      </c>
      <c r="M99">
        <v>46.69</v>
      </c>
      <c r="N99">
        <v>0</v>
      </c>
      <c r="O99">
        <v>0</v>
      </c>
      <c r="P99" s="2">
        <f>(H99 + J99) - (L99 + N99)</f>
        <v>0</v>
      </c>
      <c r="Q99" s="2">
        <f>P99 * G99</f>
        <v>0</v>
      </c>
      <c r="R99">
        <v>13</v>
      </c>
      <c r="S99" s="2">
        <f>R99 * G99</f>
        <v>0</v>
      </c>
      <c r="T99" s="2">
        <f>(H99 + J99) - (L99 + N99) - R99</f>
        <v>0</v>
      </c>
      <c r="U99" s="2">
        <f>T99 * G99</f>
        <v>0</v>
      </c>
      <c r="V99" s="2">
        <f>I99 + K99 - S99</f>
        <v>0</v>
      </c>
      <c r="W99" s="2">
        <f>M99 - V99</f>
        <v>0</v>
      </c>
      <c r="X99" s="2">
        <f>IFERROR(W99 / M99 * 100, 0)</f>
        <v>0</v>
      </c>
    </row>
    <row r="100" spans="1:24">
      <c r="A100" t="s">
        <v>2298</v>
      </c>
      <c r="B100" t="s">
        <v>512</v>
      </c>
      <c r="C100" t="s">
        <v>2453</v>
      </c>
      <c r="D100" t="s">
        <v>1007</v>
      </c>
      <c r="E100" t="s">
        <v>2510</v>
      </c>
      <c r="F100" t="s">
        <v>2609</v>
      </c>
      <c r="G100">
        <v>27</v>
      </c>
      <c r="H100">
        <v>13.78</v>
      </c>
      <c r="I100">
        <v>372.06</v>
      </c>
      <c r="J100">
        <v>0</v>
      </c>
      <c r="K100">
        <v>0</v>
      </c>
      <c r="L100">
        <v>0.58</v>
      </c>
      <c r="M100">
        <v>20.3</v>
      </c>
      <c r="N100">
        <v>0</v>
      </c>
      <c r="O100">
        <v>0</v>
      </c>
      <c r="P100" s="2">
        <f>(H100 + J100) - (L100 + N100)</f>
        <v>0</v>
      </c>
      <c r="Q100" s="2">
        <f>P100 * G100</f>
        <v>0</v>
      </c>
      <c r="R100">
        <v>13.98</v>
      </c>
      <c r="S100" s="2">
        <f>R100 * G100</f>
        <v>0</v>
      </c>
      <c r="T100" s="2">
        <f>(H100 + J100) - (L100 + N100) - R100</f>
        <v>0</v>
      </c>
      <c r="U100" s="2">
        <f>T100 * G100</f>
        <v>0</v>
      </c>
      <c r="V100" s="2">
        <f>I100 + K100 - S100</f>
        <v>0</v>
      </c>
      <c r="W100" s="2">
        <f>M100 - V100</f>
        <v>0</v>
      </c>
      <c r="X100" s="2">
        <f>IFERROR(W100 / M100 * 100, 0)</f>
        <v>0</v>
      </c>
    </row>
    <row r="101" spans="1:24">
      <c r="A101" t="s">
        <v>2299</v>
      </c>
      <c r="B101" t="s">
        <v>512</v>
      </c>
      <c r="C101" t="s">
        <v>2454</v>
      </c>
      <c r="D101" t="s">
        <v>1008</v>
      </c>
      <c r="E101" t="s">
        <v>2510</v>
      </c>
      <c r="F101" t="s">
        <v>2610</v>
      </c>
      <c r="G101">
        <v>60</v>
      </c>
      <c r="H101">
        <v>0</v>
      </c>
      <c r="I101">
        <v>0</v>
      </c>
      <c r="J101">
        <v>1</v>
      </c>
      <c r="K101">
        <v>60</v>
      </c>
      <c r="L101">
        <v>0</v>
      </c>
      <c r="M101">
        <v>0</v>
      </c>
      <c r="N101">
        <v>0</v>
      </c>
      <c r="O101">
        <v>0</v>
      </c>
      <c r="P101" s="2">
        <f>(H101 + J101) - (L101 + N101)</f>
        <v>0</v>
      </c>
      <c r="Q101" s="2">
        <f>P101 * G101</f>
        <v>0</v>
      </c>
      <c r="R101">
        <v>0</v>
      </c>
      <c r="S101" s="2">
        <f>R101 * G101</f>
        <v>0</v>
      </c>
      <c r="T101" s="2">
        <f>(H101 + J101) - (L101 + N101) - R101</f>
        <v>0</v>
      </c>
      <c r="U101" s="2">
        <f>T101 * G101</f>
        <v>0</v>
      </c>
      <c r="V101" s="2">
        <f>I101 + K101 - S101</f>
        <v>0</v>
      </c>
      <c r="W101" s="2">
        <f>M101 - V101</f>
        <v>0</v>
      </c>
      <c r="X101" s="2">
        <f>IFERROR(W101 / M101 * 100, 0)</f>
        <v>0</v>
      </c>
    </row>
    <row r="102" spans="1:24">
      <c r="A102" t="s">
        <v>2300</v>
      </c>
      <c r="B102" t="s">
        <v>512</v>
      </c>
      <c r="C102" t="s">
        <v>2455</v>
      </c>
      <c r="D102" t="s">
        <v>1008</v>
      </c>
      <c r="E102" t="s">
        <v>2510</v>
      </c>
      <c r="F102" t="s">
        <v>2611</v>
      </c>
      <c r="G102">
        <v>65</v>
      </c>
      <c r="H102">
        <v>0</v>
      </c>
      <c r="I102">
        <v>0</v>
      </c>
      <c r="J102">
        <v>4</v>
      </c>
      <c r="K102">
        <v>260</v>
      </c>
      <c r="L102">
        <v>0</v>
      </c>
      <c r="M102">
        <v>0</v>
      </c>
      <c r="N102">
        <v>0</v>
      </c>
      <c r="O102">
        <v>0</v>
      </c>
      <c r="P102" s="2">
        <f>(H102 + J102) - (L102 + N102)</f>
        <v>0</v>
      </c>
      <c r="Q102" s="2">
        <f>P102 * G102</f>
        <v>0</v>
      </c>
      <c r="R102">
        <v>2</v>
      </c>
      <c r="S102" s="2">
        <f>R102 * G102</f>
        <v>0</v>
      </c>
      <c r="T102" s="2">
        <f>(H102 + J102) - (L102 + N102) - R102</f>
        <v>0</v>
      </c>
      <c r="U102" s="2">
        <f>T102 * G102</f>
        <v>0</v>
      </c>
      <c r="V102" s="2">
        <f>I102 + K102 - S102</f>
        <v>0</v>
      </c>
      <c r="W102" s="2">
        <f>M102 - V102</f>
        <v>0</v>
      </c>
      <c r="X102" s="2">
        <f>IFERROR(W102 / M102 * 100, 0)</f>
        <v>0</v>
      </c>
    </row>
    <row r="103" spans="1:24">
      <c r="A103" t="s">
        <v>2301</v>
      </c>
      <c r="B103" t="s">
        <v>512</v>
      </c>
      <c r="C103" t="s">
        <v>2456</v>
      </c>
      <c r="D103" t="s">
        <v>1007</v>
      </c>
      <c r="E103" t="s">
        <v>2510</v>
      </c>
      <c r="F103" t="s">
        <v>2612</v>
      </c>
      <c r="G103">
        <v>19.92</v>
      </c>
      <c r="H103">
        <v>0</v>
      </c>
      <c r="I103">
        <v>0</v>
      </c>
      <c r="J103">
        <v>-0.07000000000000001</v>
      </c>
      <c r="K103">
        <v>-1.43</v>
      </c>
      <c r="L103">
        <v>0</v>
      </c>
      <c r="M103">
        <v>0</v>
      </c>
      <c r="N103">
        <v>0</v>
      </c>
      <c r="O103">
        <v>0</v>
      </c>
      <c r="P103" s="2">
        <f>(H103 + J103) - (L103 + N103)</f>
        <v>0</v>
      </c>
      <c r="Q103" s="2">
        <f>P103 * G103</f>
        <v>0</v>
      </c>
      <c r="R103">
        <v>0</v>
      </c>
      <c r="S103" s="2">
        <f>R103 * G103</f>
        <v>0</v>
      </c>
      <c r="T103" s="2">
        <f>(H103 + J103) - (L103 + N103) - R103</f>
        <v>0</v>
      </c>
      <c r="U103" s="2">
        <f>T103 * G103</f>
        <v>0</v>
      </c>
      <c r="V103" s="2">
        <f>I103 + K103 - S103</f>
        <v>0</v>
      </c>
      <c r="W103" s="2">
        <f>M103 - V103</f>
        <v>0</v>
      </c>
      <c r="X103" s="2">
        <f>IFERROR(W103 / M103 * 100, 0)</f>
        <v>0</v>
      </c>
    </row>
    <row r="104" spans="1:24">
      <c r="A104" t="s">
        <v>2302</v>
      </c>
      <c r="B104" t="s">
        <v>512</v>
      </c>
      <c r="C104" t="s">
        <v>2457</v>
      </c>
      <c r="D104" t="s">
        <v>1007</v>
      </c>
      <c r="E104" t="s">
        <v>2510</v>
      </c>
      <c r="F104" t="s">
        <v>2613</v>
      </c>
      <c r="G104">
        <v>14.76</v>
      </c>
      <c r="H104">
        <v>0</v>
      </c>
      <c r="I104">
        <v>0</v>
      </c>
      <c r="J104">
        <v>0.02</v>
      </c>
      <c r="K104">
        <v>0.24</v>
      </c>
      <c r="L104">
        <v>0</v>
      </c>
      <c r="M104">
        <v>0</v>
      </c>
      <c r="N104">
        <v>0</v>
      </c>
      <c r="O104">
        <v>0</v>
      </c>
      <c r="P104" s="2">
        <f>(H104 + J104) - (L104 + N104)</f>
        <v>0</v>
      </c>
      <c r="Q104" s="2">
        <f>P104 * G104</f>
        <v>0</v>
      </c>
      <c r="R104">
        <v>0</v>
      </c>
      <c r="S104" s="2">
        <f>R104 * G104</f>
        <v>0</v>
      </c>
      <c r="T104" s="2">
        <f>(H104 + J104) - (L104 + N104) - R104</f>
        <v>0</v>
      </c>
      <c r="U104" s="2">
        <f>T104 * G104</f>
        <v>0</v>
      </c>
      <c r="V104" s="2">
        <f>I104 + K104 - S104</f>
        <v>0</v>
      </c>
      <c r="W104" s="2">
        <f>M104 - V104</f>
        <v>0</v>
      </c>
      <c r="X104" s="2">
        <f>IFERROR(W104 / M104 * 100, 0)</f>
        <v>0</v>
      </c>
    </row>
    <row r="105" spans="1:24">
      <c r="A105" t="s">
        <v>2303</v>
      </c>
      <c r="B105" t="s">
        <v>512</v>
      </c>
      <c r="C105" t="s">
        <v>2458</v>
      </c>
      <c r="D105" t="s">
        <v>1007</v>
      </c>
      <c r="E105" t="s">
        <v>2510</v>
      </c>
      <c r="F105" t="s">
        <v>2614</v>
      </c>
      <c r="G105">
        <v>22</v>
      </c>
      <c r="H105">
        <v>0</v>
      </c>
      <c r="I105">
        <v>0</v>
      </c>
      <c r="J105">
        <v>-0.52</v>
      </c>
      <c r="K105">
        <v>-11.4</v>
      </c>
      <c r="L105">
        <v>0</v>
      </c>
      <c r="M105">
        <v>0</v>
      </c>
      <c r="N105">
        <v>0</v>
      </c>
      <c r="O105">
        <v>0</v>
      </c>
      <c r="P105" s="2">
        <f>(H105 + J105) - (L105 + N105)</f>
        <v>0</v>
      </c>
      <c r="Q105" s="2">
        <f>P105 * G105</f>
        <v>0</v>
      </c>
      <c r="R105">
        <v>0</v>
      </c>
      <c r="S105" s="2">
        <f>R105 * G105</f>
        <v>0</v>
      </c>
      <c r="T105" s="2">
        <f>(H105 + J105) - (L105 + N105) - R105</f>
        <v>0</v>
      </c>
      <c r="U105" s="2">
        <f>T105 * G105</f>
        <v>0</v>
      </c>
      <c r="V105" s="2">
        <f>I105 + K105 - S105</f>
        <v>0</v>
      </c>
      <c r="W105" s="2">
        <f>M105 - V105</f>
        <v>0</v>
      </c>
      <c r="X105" s="2">
        <f>IFERROR(W105 / M105 * 100, 0)</f>
        <v>0</v>
      </c>
    </row>
    <row r="106" spans="1:24">
      <c r="A106" t="s">
        <v>2304</v>
      </c>
      <c r="B106" t="s">
        <v>512</v>
      </c>
      <c r="C106" t="s">
        <v>2459</v>
      </c>
      <c r="D106" t="s">
        <v>1007</v>
      </c>
      <c r="E106" t="s">
        <v>2510</v>
      </c>
      <c r="F106" t="s">
        <v>2615</v>
      </c>
      <c r="G106">
        <v>22</v>
      </c>
      <c r="H106">
        <v>0</v>
      </c>
      <c r="I106">
        <v>0</v>
      </c>
      <c r="J106">
        <v>-0.91</v>
      </c>
      <c r="K106">
        <v>-19.92</v>
      </c>
      <c r="L106">
        <v>0</v>
      </c>
      <c r="M106">
        <v>0</v>
      </c>
      <c r="N106">
        <v>0</v>
      </c>
      <c r="O106">
        <v>0</v>
      </c>
      <c r="P106" s="2">
        <f>(H106 + J106) - (L106 + N106)</f>
        <v>0</v>
      </c>
      <c r="Q106" s="2">
        <f>P106 * G106</f>
        <v>0</v>
      </c>
      <c r="R106">
        <v>0</v>
      </c>
      <c r="S106" s="2">
        <f>R106 * G106</f>
        <v>0</v>
      </c>
      <c r="T106" s="2">
        <f>(H106 + J106) - (L106 + N106) - R106</f>
        <v>0</v>
      </c>
      <c r="U106" s="2">
        <f>T106 * G106</f>
        <v>0</v>
      </c>
      <c r="V106" s="2">
        <f>I106 + K106 - S106</f>
        <v>0</v>
      </c>
      <c r="W106" s="2">
        <f>M106 - V106</f>
        <v>0</v>
      </c>
      <c r="X106" s="2">
        <f>IFERROR(W106 / M106 * 100, 0)</f>
        <v>0</v>
      </c>
    </row>
    <row r="107" spans="1:24">
      <c r="A107" t="s">
        <v>2305</v>
      </c>
      <c r="B107" t="s">
        <v>512</v>
      </c>
      <c r="C107" t="s">
        <v>2460</v>
      </c>
      <c r="D107" t="s">
        <v>1007</v>
      </c>
      <c r="E107" t="s">
        <v>2510</v>
      </c>
      <c r="F107" t="s">
        <v>2616</v>
      </c>
      <c r="G107">
        <v>41.98</v>
      </c>
      <c r="H107">
        <v>1.7</v>
      </c>
      <c r="I107">
        <v>71.36</v>
      </c>
      <c r="J107">
        <v>0</v>
      </c>
      <c r="K107">
        <v>0</v>
      </c>
      <c r="L107">
        <v>0.46</v>
      </c>
      <c r="M107">
        <v>27.36</v>
      </c>
      <c r="N107">
        <v>0</v>
      </c>
      <c r="O107">
        <v>0</v>
      </c>
      <c r="P107" s="2">
        <f>(H107 + J107) - (L107 + N107)</f>
        <v>0</v>
      </c>
      <c r="Q107" s="2">
        <f>P107 * G107</f>
        <v>0</v>
      </c>
      <c r="R107">
        <v>0</v>
      </c>
      <c r="S107" s="2">
        <f>R107 * G107</f>
        <v>0</v>
      </c>
      <c r="T107" s="2">
        <f>(H107 + J107) - (L107 + N107) - R107</f>
        <v>0</v>
      </c>
      <c r="U107" s="2">
        <f>T107 * G107</f>
        <v>0</v>
      </c>
      <c r="V107" s="2">
        <f>I107 + K107 - S107</f>
        <v>0</v>
      </c>
      <c r="W107" s="2">
        <f>M107 - V107</f>
        <v>0</v>
      </c>
      <c r="X107" s="2">
        <f>IFERROR(W107 / M107 * 100, 0)</f>
        <v>0</v>
      </c>
    </row>
    <row r="108" spans="1:24">
      <c r="A108" t="s">
        <v>2306</v>
      </c>
      <c r="B108" t="s">
        <v>513</v>
      </c>
      <c r="C108" t="s">
        <v>2461</v>
      </c>
      <c r="D108" t="s">
        <v>1007</v>
      </c>
      <c r="E108" t="s">
        <v>2510</v>
      </c>
      <c r="F108" t="s">
        <v>2617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s="2">
        <f>(H108 + J108) - (L108 + N108)</f>
        <v>0</v>
      </c>
      <c r="Q108" s="2">
        <f>P108 * G108</f>
        <v>0</v>
      </c>
      <c r="R108">
        <v>0</v>
      </c>
      <c r="S108" s="2">
        <f>R108 * G108</f>
        <v>0</v>
      </c>
      <c r="T108" s="2">
        <f>(H108 + J108) - (L108 + N108) - R108</f>
        <v>0</v>
      </c>
      <c r="U108" s="2">
        <f>T108 * G108</f>
        <v>0</v>
      </c>
      <c r="V108" s="2">
        <f>I108 + K108 - S108</f>
        <v>0</v>
      </c>
      <c r="W108" s="2">
        <f>M108 - V108</f>
        <v>0</v>
      </c>
      <c r="X108" s="2">
        <f>IFERROR(W108 / M108 * 100, 0)</f>
        <v>0</v>
      </c>
    </row>
    <row r="109" spans="1:24">
      <c r="A109" t="s">
        <v>2307</v>
      </c>
      <c r="B109" t="s">
        <v>513</v>
      </c>
      <c r="C109" t="s">
        <v>2462</v>
      </c>
      <c r="D109" t="s">
        <v>1008</v>
      </c>
      <c r="E109" t="s">
        <v>2510</v>
      </c>
      <c r="F109" t="s">
        <v>2618</v>
      </c>
      <c r="G109">
        <v>1.27</v>
      </c>
      <c r="H109">
        <v>0</v>
      </c>
      <c r="I109">
        <v>0</v>
      </c>
      <c r="J109">
        <v>218</v>
      </c>
      <c r="K109">
        <v>277.59</v>
      </c>
      <c r="L109">
        <v>326</v>
      </c>
      <c r="M109">
        <v>1304</v>
      </c>
      <c r="N109">
        <v>0</v>
      </c>
      <c r="O109">
        <v>0</v>
      </c>
      <c r="P109" s="2">
        <f>(H109 + J109) - (L109 + N109)</f>
        <v>0</v>
      </c>
      <c r="Q109" s="2">
        <f>P109 * G109</f>
        <v>0</v>
      </c>
      <c r="R109">
        <v>0</v>
      </c>
      <c r="S109" s="2">
        <f>R109 * G109</f>
        <v>0</v>
      </c>
      <c r="T109" s="2">
        <f>(H109 + J109) - (L109 + N109) - R109</f>
        <v>0</v>
      </c>
      <c r="U109" s="2">
        <f>T109 * G109</f>
        <v>0</v>
      </c>
      <c r="V109" s="2">
        <f>I109 + K109 - S109</f>
        <v>0</v>
      </c>
      <c r="W109" s="2">
        <f>M109 - V109</f>
        <v>0</v>
      </c>
      <c r="X109" s="2">
        <f>IFERROR(W109 / M109 * 100, 0)</f>
        <v>0</v>
      </c>
    </row>
    <row r="110" spans="1:24">
      <c r="A110" t="s">
        <v>2308</v>
      </c>
      <c r="B110" t="s">
        <v>513</v>
      </c>
      <c r="C110" t="s">
        <v>2463</v>
      </c>
      <c r="D110" t="s">
        <v>1007</v>
      </c>
      <c r="E110" t="s">
        <v>2510</v>
      </c>
      <c r="F110" t="s">
        <v>2619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s="2">
        <f>(H110 + J110) - (L110 + N110)</f>
        <v>0</v>
      </c>
      <c r="Q110" s="2">
        <f>P110 * G110</f>
        <v>0</v>
      </c>
      <c r="R110">
        <v>0</v>
      </c>
      <c r="S110" s="2">
        <f>R110 * G110</f>
        <v>0</v>
      </c>
      <c r="T110" s="2">
        <f>(H110 + J110) - (L110 + N110) - R110</f>
        <v>0</v>
      </c>
      <c r="U110" s="2">
        <f>T110 * G110</f>
        <v>0</v>
      </c>
      <c r="V110" s="2">
        <f>I110 + K110 - S110</f>
        <v>0</v>
      </c>
      <c r="W110" s="2">
        <f>M110 - V110</f>
        <v>0</v>
      </c>
      <c r="X110" s="2">
        <f>IFERROR(W110 / M110 * 100, 0)</f>
        <v>0</v>
      </c>
    </row>
    <row r="111" spans="1:24">
      <c r="A111" t="s">
        <v>2309</v>
      </c>
      <c r="B111" t="s">
        <v>513</v>
      </c>
      <c r="C111" t="s">
        <v>2464</v>
      </c>
      <c r="D111" t="s">
        <v>1007</v>
      </c>
      <c r="E111" t="s">
        <v>2510</v>
      </c>
      <c r="F111" t="s">
        <v>2620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s="2">
        <f>(H111 + J111) - (L111 + N111)</f>
        <v>0</v>
      </c>
      <c r="Q111" s="2">
        <f>P111 * G111</f>
        <v>0</v>
      </c>
      <c r="R111">
        <v>10</v>
      </c>
      <c r="S111" s="2">
        <f>R111 * G111</f>
        <v>0</v>
      </c>
      <c r="T111" s="2">
        <f>(H111 + J111) - (L111 + N111) - R111</f>
        <v>0</v>
      </c>
      <c r="U111" s="2">
        <f>T111 * G111</f>
        <v>0</v>
      </c>
      <c r="V111" s="2">
        <f>I111 + K111 - S111</f>
        <v>0</v>
      </c>
      <c r="W111" s="2">
        <f>M111 - V111</f>
        <v>0</v>
      </c>
      <c r="X111" s="2">
        <f>IFERROR(W111 / M111 * 100, 0)</f>
        <v>0</v>
      </c>
    </row>
    <row r="112" spans="1:24">
      <c r="A112" t="s">
        <v>2310</v>
      </c>
      <c r="B112" t="s">
        <v>512</v>
      </c>
      <c r="C112" t="s">
        <v>2465</v>
      </c>
      <c r="D112" t="s">
        <v>1007</v>
      </c>
      <c r="E112" t="s">
        <v>2510</v>
      </c>
      <c r="F112" t="s">
        <v>2621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s="2">
        <f>(H112 + J112) - (L112 + N112)</f>
        <v>0</v>
      </c>
      <c r="Q112" s="2">
        <f>P112 * G112</f>
        <v>0</v>
      </c>
      <c r="R112">
        <v>15</v>
      </c>
      <c r="S112" s="2">
        <f>R112 * G112</f>
        <v>0</v>
      </c>
      <c r="T112" s="2">
        <f>(H112 + J112) - (L112 + N112) - R112</f>
        <v>0</v>
      </c>
      <c r="U112" s="2">
        <f>T112 * G112</f>
        <v>0</v>
      </c>
      <c r="V112" s="2">
        <f>I112 + K112 - S112</f>
        <v>0</v>
      </c>
      <c r="W112" s="2">
        <f>M112 - V112</f>
        <v>0</v>
      </c>
      <c r="X112" s="2">
        <f>IFERROR(W112 / M112 * 100, 0)</f>
        <v>0</v>
      </c>
    </row>
    <row r="113" spans="1:24">
      <c r="A113" t="s">
        <v>2311</v>
      </c>
      <c r="B113" t="s">
        <v>512</v>
      </c>
      <c r="C113" t="s">
        <v>2466</v>
      </c>
      <c r="D113" t="s">
        <v>1008</v>
      </c>
      <c r="E113" t="s">
        <v>2510</v>
      </c>
      <c r="F113" t="s">
        <v>2622</v>
      </c>
      <c r="G113">
        <v>52</v>
      </c>
      <c r="H113">
        <v>0</v>
      </c>
      <c r="I113">
        <v>0</v>
      </c>
      <c r="J113">
        <v>2</v>
      </c>
      <c r="K113">
        <v>104</v>
      </c>
      <c r="L113">
        <v>0</v>
      </c>
      <c r="M113">
        <v>0</v>
      </c>
      <c r="N113">
        <v>0</v>
      </c>
      <c r="O113">
        <v>0</v>
      </c>
      <c r="P113" s="2">
        <f>(H113 + J113) - (L113 + N113)</f>
        <v>0</v>
      </c>
      <c r="Q113" s="2">
        <f>P113 * G113</f>
        <v>0</v>
      </c>
      <c r="R113">
        <v>2</v>
      </c>
      <c r="S113" s="2">
        <f>R113 * G113</f>
        <v>0</v>
      </c>
      <c r="T113" s="2">
        <f>(H113 + J113) - (L113 + N113) - R113</f>
        <v>0</v>
      </c>
      <c r="U113" s="2">
        <f>T113 * G113</f>
        <v>0</v>
      </c>
      <c r="V113" s="2">
        <f>I113 + K113 - S113</f>
        <v>0</v>
      </c>
      <c r="W113" s="2">
        <f>M113 - V113</f>
        <v>0</v>
      </c>
      <c r="X113" s="2">
        <f>IFERROR(W113 / M113 * 100, 0)</f>
        <v>0</v>
      </c>
    </row>
    <row r="114" spans="1:24">
      <c r="A114" t="s">
        <v>2312</v>
      </c>
      <c r="B114" t="s">
        <v>513</v>
      </c>
      <c r="C114" t="s">
        <v>2467</v>
      </c>
      <c r="D114" t="s">
        <v>1007</v>
      </c>
      <c r="E114" t="s">
        <v>2510</v>
      </c>
      <c r="F114" t="s">
        <v>2623</v>
      </c>
      <c r="G114">
        <v>15</v>
      </c>
      <c r="H114">
        <v>7.5</v>
      </c>
      <c r="I114">
        <v>112.5</v>
      </c>
      <c r="J114">
        <v>0</v>
      </c>
      <c r="K114">
        <v>0</v>
      </c>
      <c r="L114">
        <v>3.14</v>
      </c>
      <c r="M114">
        <v>69.16</v>
      </c>
      <c r="N114">
        <v>0</v>
      </c>
      <c r="O114">
        <v>0</v>
      </c>
      <c r="P114" s="2">
        <f>(H114 + J114) - (L114 + N114)</f>
        <v>0</v>
      </c>
      <c r="Q114" s="2">
        <f>P114 * G114</f>
        <v>0</v>
      </c>
      <c r="R114">
        <v>4.1</v>
      </c>
      <c r="S114" s="2">
        <f>R114 * G114</f>
        <v>0</v>
      </c>
      <c r="T114" s="2">
        <f>(H114 + J114) - (L114 + N114) - R114</f>
        <v>0</v>
      </c>
      <c r="U114" s="2">
        <f>T114 * G114</f>
        <v>0</v>
      </c>
      <c r="V114" s="2">
        <f>I114 + K114 - S114</f>
        <v>0</v>
      </c>
      <c r="W114" s="2">
        <f>M114 - V114</f>
        <v>0</v>
      </c>
      <c r="X114" s="2">
        <f>IFERROR(W114 / M114 * 100, 0)</f>
        <v>0</v>
      </c>
    </row>
    <row r="115" spans="1:24">
      <c r="A115" t="s">
        <v>2313</v>
      </c>
      <c r="B115" t="s">
        <v>512</v>
      </c>
      <c r="C115" t="s">
        <v>2468</v>
      </c>
      <c r="D115" t="s">
        <v>1007</v>
      </c>
      <c r="E115" t="s">
        <v>2510</v>
      </c>
      <c r="F115" t="s">
        <v>2624</v>
      </c>
      <c r="G115">
        <v>6.94</v>
      </c>
      <c r="H115">
        <v>0</v>
      </c>
      <c r="I115">
        <v>0</v>
      </c>
      <c r="J115">
        <v>0.83</v>
      </c>
      <c r="K115">
        <v>5.76</v>
      </c>
      <c r="L115">
        <v>0</v>
      </c>
      <c r="M115">
        <v>0</v>
      </c>
      <c r="N115">
        <v>0</v>
      </c>
      <c r="O115">
        <v>0</v>
      </c>
      <c r="P115" s="2">
        <f>(H115 + J115) - (L115 + N115)</f>
        <v>0</v>
      </c>
      <c r="Q115" s="2">
        <f>P115 * G115</f>
        <v>0</v>
      </c>
      <c r="R115">
        <v>0</v>
      </c>
      <c r="S115" s="2">
        <f>R115 * G115</f>
        <v>0</v>
      </c>
      <c r="T115" s="2">
        <f>(H115 + J115) - (L115 + N115) - R115</f>
        <v>0</v>
      </c>
      <c r="U115" s="2">
        <f>T115 * G115</f>
        <v>0</v>
      </c>
      <c r="V115" s="2">
        <f>I115 + K115 - S115</f>
        <v>0</v>
      </c>
      <c r="W115" s="2">
        <f>M115 - V115</f>
        <v>0</v>
      </c>
      <c r="X115" s="2">
        <f>IFERROR(W115 / M115 * 100, 0)</f>
        <v>0</v>
      </c>
    </row>
    <row r="116" spans="1:24">
      <c r="A116" t="s">
        <v>2314</v>
      </c>
      <c r="B116" t="s">
        <v>512</v>
      </c>
      <c r="C116" t="s">
        <v>2469</v>
      </c>
      <c r="D116" t="s">
        <v>1007</v>
      </c>
      <c r="E116" t="s">
        <v>2510</v>
      </c>
      <c r="F116" t="s">
        <v>2625</v>
      </c>
      <c r="G116">
        <v>5.89</v>
      </c>
      <c r="H116">
        <v>0</v>
      </c>
      <c r="I116">
        <v>0</v>
      </c>
      <c r="J116">
        <v>0.59</v>
      </c>
      <c r="K116">
        <v>4.23</v>
      </c>
      <c r="L116">
        <v>0</v>
      </c>
      <c r="M116">
        <v>0</v>
      </c>
      <c r="N116">
        <v>0</v>
      </c>
      <c r="O116">
        <v>0</v>
      </c>
      <c r="P116" s="2">
        <f>(H116 + J116) - (L116 + N116)</f>
        <v>0</v>
      </c>
      <c r="Q116" s="2">
        <f>P116 * G116</f>
        <v>0</v>
      </c>
      <c r="R116">
        <v>0</v>
      </c>
      <c r="S116" s="2">
        <f>R116 * G116</f>
        <v>0</v>
      </c>
      <c r="T116" s="2">
        <f>(H116 + J116) - (L116 + N116) - R116</f>
        <v>0</v>
      </c>
      <c r="U116" s="2">
        <f>T116 * G116</f>
        <v>0</v>
      </c>
      <c r="V116" s="2">
        <f>I116 + K116 - S116</f>
        <v>0</v>
      </c>
      <c r="W116" s="2">
        <f>M116 - V116</f>
        <v>0</v>
      </c>
      <c r="X116" s="2">
        <f>IFERROR(W116 / M116 * 100, 0)</f>
        <v>0</v>
      </c>
    </row>
    <row r="117" spans="1:24">
      <c r="A117" t="s">
        <v>2315</v>
      </c>
      <c r="B117" t="s">
        <v>512</v>
      </c>
      <c r="C117" t="s">
        <v>2470</v>
      </c>
      <c r="D117" t="s">
        <v>1007</v>
      </c>
      <c r="E117" t="s">
        <v>2510</v>
      </c>
      <c r="F117" t="s">
        <v>2626</v>
      </c>
      <c r="G117">
        <v>0</v>
      </c>
      <c r="H117">
        <v>0</v>
      </c>
      <c r="I117">
        <v>0</v>
      </c>
      <c r="J117">
        <v>-34.6</v>
      </c>
      <c r="K117">
        <v>0</v>
      </c>
      <c r="L117">
        <v>0</v>
      </c>
      <c r="M117">
        <v>0</v>
      </c>
      <c r="N117">
        <v>0</v>
      </c>
      <c r="O117">
        <v>0</v>
      </c>
      <c r="P117" s="2">
        <f>(H117 + J117) - (L117 + N117)</f>
        <v>0</v>
      </c>
      <c r="Q117" s="2">
        <f>P117 * G117</f>
        <v>0</v>
      </c>
      <c r="R117">
        <v>0</v>
      </c>
      <c r="S117" s="2">
        <f>R117 * G117</f>
        <v>0</v>
      </c>
      <c r="T117" s="2">
        <f>(H117 + J117) - (L117 + N117) - R117</f>
        <v>0</v>
      </c>
      <c r="U117" s="2">
        <f>T117 * G117</f>
        <v>0</v>
      </c>
      <c r="V117" s="2">
        <f>I117 + K117 - S117</f>
        <v>0</v>
      </c>
      <c r="W117" s="2">
        <f>M117 - V117</f>
        <v>0</v>
      </c>
      <c r="X117" s="2">
        <f>IFERROR(W117 / M117 * 100, 0)</f>
        <v>0</v>
      </c>
    </row>
    <row r="118" spans="1:24">
      <c r="A118" t="s">
        <v>2316</v>
      </c>
      <c r="B118" t="s">
        <v>512</v>
      </c>
      <c r="C118" t="s">
        <v>2471</v>
      </c>
      <c r="D118" t="s">
        <v>1007</v>
      </c>
      <c r="E118" t="s">
        <v>2510</v>
      </c>
      <c r="F118" t="s">
        <v>2627</v>
      </c>
      <c r="G118">
        <v>16.94</v>
      </c>
      <c r="H118">
        <v>3.3</v>
      </c>
      <c r="I118">
        <v>55.9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s="2">
        <f>(H118 + J118) - (L118 + N118)</f>
        <v>0</v>
      </c>
      <c r="Q118" s="2">
        <f>P118 * G118</f>
        <v>0</v>
      </c>
      <c r="R118">
        <v>0</v>
      </c>
      <c r="S118" s="2">
        <f>R118 * G118</f>
        <v>0</v>
      </c>
      <c r="T118" s="2">
        <f>(H118 + J118) - (L118 + N118) - R118</f>
        <v>0</v>
      </c>
      <c r="U118" s="2">
        <f>T118 * G118</f>
        <v>0</v>
      </c>
      <c r="V118" s="2">
        <f>I118 + K118 - S118</f>
        <v>0</v>
      </c>
      <c r="W118" s="2">
        <f>M118 - V118</f>
        <v>0</v>
      </c>
      <c r="X118" s="2">
        <f>IFERROR(W118 / M118 * 100, 0)</f>
        <v>0</v>
      </c>
    </row>
    <row r="119" spans="1:24">
      <c r="A119" t="s">
        <v>2317</v>
      </c>
      <c r="B119" t="s">
        <v>512</v>
      </c>
      <c r="C119" t="s">
        <v>2472</v>
      </c>
      <c r="D119" t="s">
        <v>1007</v>
      </c>
      <c r="E119" t="s">
        <v>2510</v>
      </c>
      <c r="F119" t="s">
        <v>2628</v>
      </c>
      <c r="G119">
        <v>13.55</v>
      </c>
      <c r="H119">
        <v>2.5</v>
      </c>
      <c r="I119">
        <v>33.88</v>
      </c>
      <c r="J119">
        <v>0</v>
      </c>
      <c r="K119">
        <v>0</v>
      </c>
      <c r="L119">
        <v>0.57</v>
      </c>
      <c r="M119">
        <v>16.98</v>
      </c>
      <c r="N119">
        <v>0</v>
      </c>
      <c r="O119">
        <v>0</v>
      </c>
      <c r="P119" s="2">
        <f>(H119 + J119) - (L119 + N119)</f>
        <v>0</v>
      </c>
      <c r="Q119" s="2">
        <f>P119 * G119</f>
        <v>0</v>
      </c>
      <c r="R119">
        <v>2</v>
      </c>
      <c r="S119" s="2">
        <f>R119 * G119</f>
        <v>0</v>
      </c>
      <c r="T119" s="2">
        <f>(H119 + J119) - (L119 + N119) - R119</f>
        <v>0</v>
      </c>
      <c r="U119" s="2">
        <f>T119 * G119</f>
        <v>0</v>
      </c>
      <c r="V119" s="2">
        <f>I119 + K119 - S119</f>
        <v>0</v>
      </c>
      <c r="W119" s="2">
        <f>M119 - V119</f>
        <v>0</v>
      </c>
      <c r="X119" s="2">
        <f>IFERROR(W119 / M119 * 100, 0)</f>
        <v>0</v>
      </c>
    </row>
    <row r="120" spans="1:24">
      <c r="A120" t="s">
        <v>2318</v>
      </c>
      <c r="B120" t="s">
        <v>512</v>
      </c>
      <c r="C120" t="s">
        <v>2473</v>
      </c>
      <c r="D120" t="s">
        <v>1007</v>
      </c>
      <c r="E120" t="s">
        <v>2510</v>
      </c>
      <c r="F120" t="s">
        <v>2629</v>
      </c>
      <c r="G120">
        <v>4.9</v>
      </c>
      <c r="H120">
        <v>59.3</v>
      </c>
      <c r="I120">
        <v>290.74</v>
      </c>
      <c r="J120">
        <v>0</v>
      </c>
      <c r="K120">
        <v>0</v>
      </c>
      <c r="L120">
        <v>31.29</v>
      </c>
      <c r="M120">
        <v>361.61</v>
      </c>
      <c r="N120">
        <v>0</v>
      </c>
      <c r="O120">
        <v>0</v>
      </c>
      <c r="P120" s="2">
        <f>(H120 + J120) - (L120 + N120)</f>
        <v>0</v>
      </c>
      <c r="Q120" s="2">
        <f>P120 * G120</f>
        <v>0</v>
      </c>
      <c r="R120">
        <v>13</v>
      </c>
      <c r="S120" s="2">
        <f>R120 * G120</f>
        <v>0</v>
      </c>
      <c r="T120" s="2">
        <f>(H120 + J120) - (L120 + N120) - R120</f>
        <v>0</v>
      </c>
      <c r="U120" s="2">
        <f>T120 * G120</f>
        <v>0</v>
      </c>
      <c r="V120" s="2">
        <f>I120 + K120 - S120</f>
        <v>0</v>
      </c>
      <c r="W120" s="2">
        <f>M120 - V120</f>
        <v>0</v>
      </c>
      <c r="X120" s="2">
        <f>IFERROR(W120 / M120 * 100, 0)</f>
        <v>0</v>
      </c>
    </row>
    <row r="121" spans="1:24">
      <c r="A121" t="s">
        <v>2319</v>
      </c>
      <c r="B121" t="s">
        <v>512</v>
      </c>
      <c r="C121" t="s">
        <v>2474</v>
      </c>
      <c r="D121" t="s">
        <v>1007</v>
      </c>
      <c r="E121" t="s">
        <v>2510</v>
      </c>
      <c r="F121" t="s">
        <v>2630</v>
      </c>
      <c r="G121">
        <v>21.7</v>
      </c>
      <c r="H121">
        <v>3.6</v>
      </c>
      <c r="I121">
        <v>75.66</v>
      </c>
      <c r="J121">
        <v>8</v>
      </c>
      <c r="K121">
        <v>176</v>
      </c>
      <c r="L121">
        <v>0.77</v>
      </c>
      <c r="M121">
        <v>27.4</v>
      </c>
      <c r="N121">
        <v>0</v>
      </c>
      <c r="O121">
        <v>0</v>
      </c>
      <c r="P121" s="2">
        <f>(H121 + J121) - (L121 + N121)</f>
        <v>0</v>
      </c>
      <c r="Q121" s="2">
        <f>P121 * G121</f>
        <v>0</v>
      </c>
      <c r="R121">
        <v>5</v>
      </c>
      <c r="S121" s="2">
        <f>R121 * G121</f>
        <v>0</v>
      </c>
      <c r="T121" s="2">
        <f>(H121 + J121) - (L121 + N121) - R121</f>
        <v>0</v>
      </c>
      <c r="U121" s="2">
        <f>T121 * G121</f>
        <v>0</v>
      </c>
      <c r="V121" s="2">
        <f>I121 + K121 - S121</f>
        <v>0</v>
      </c>
      <c r="W121" s="2">
        <f>M121 - V121</f>
        <v>0</v>
      </c>
      <c r="X121" s="2">
        <f>IFERROR(W121 / M121 * 100, 0)</f>
        <v>0</v>
      </c>
    </row>
    <row r="122" spans="1:24">
      <c r="A122" t="s">
        <v>2320</v>
      </c>
      <c r="B122" t="s">
        <v>512</v>
      </c>
      <c r="C122" t="s">
        <v>2475</v>
      </c>
      <c r="D122" t="s">
        <v>1007</v>
      </c>
      <c r="E122" t="s">
        <v>2510</v>
      </c>
      <c r="F122" t="s">
        <v>2631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s="2">
        <f>(H122 + J122) - (L122 + N122)</f>
        <v>0</v>
      </c>
      <c r="Q122" s="2">
        <f>P122 * G122</f>
        <v>0</v>
      </c>
      <c r="R122">
        <v>4.8</v>
      </c>
      <c r="S122" s="2">
        <f>R122 * G122</f>
        <v>0</v>
      </c>
      <c r="T122" s="2">
        <f>(H122 + J122) - (L122 + N122) - R122</f>
        <v>0</v>
      </c>
      <c r="U122" s="2">
        <f>T122 * G122</f>
        <v>0</v>
      </c>
      <c r="V122" s="2">
        <f>I122 + K122 - S122</f>
        <v>0</v>
      </c>
      <c r="W122" s="2">
        <f>M122 - V122</f>
        <v>0</v>
      </c>
      <c r="X122" s="2">
        <f>IFERROR(W122 / M122 * 100, 0)</f>
        <v>0</v>
      </c>
    </row>
    <row r="123" spans="1:24">
      <c r="A123" t="s">
        <v>2321</v>
      </c>
      <c r="B123" t="s">
        <v>512</v>
      </c>
      <c r="C123" t="s">
        <v>2476</v>
      </c>
      <c r="D123" t="s">
        <v>1007</v>
      </c>
      <c r="E123" t="s">
        <v>2510</v>
      </c>
      <c r="F123" t="s">
        <v>2632</v>
      </c>
      <c r="G123">
        <v>25.93</v>
      </c>
      <c r="H123">
        <v>13</v>
      </c>
      <c r="I123">
        <v>337.09</v>
      </c>
      <c r="J123">
        <v>0</v>
      </c>
      <c r="K123">
        <v>0</v>
      </c>
      <c r="L123">
        <v>5.02</v>
      </c>
      <c r="M123">
        <v>165.53</v>
      </c>
      <c r="N123">
        <v>0</v>
      </c>
      <c r="O123">
        <v>0</v>
      </c>
      <c r="P123" s="2">
        <f>(H123 + J123) - (L123 + N123)</f>
        <v>0</v>
      </c>
      <c r="Q123" s="2">
        <f>P123 * G123</f>
        <v>0</v>
      </c>
      <c r="R123">
        <v>9</v>
      </c>
      <c r="S123" s="2">
        <f>R123 * G123</f>
        <v>0</v>
      </c>
      <c r="T123" s="2">
        <f>(H123 + J123) - (L123 + N123) - R123</f>
        <v>0</v>
      </c>
      <c r="U123" s="2">
        <f>T123 * G123</f>
        <v>0</v>
      </c>
      <c r="V123" s="2">
        <f>I123 + K123 - S123</f>
        <v>0</v>
      </c>
      <c r="W123" s="2">
        <f>M123 - V123</f>
        <v>0</v>
      </c>
      <c r="X123" s="2">
        <f>IFERROR(W123 / M123 * 100, 0)</f>
        <v>0</v>
      </c>
    </row>
    <row r="124" spans="1:24">
      <c r="A124" t="s">
        <v>2322</v>
      </c>
      <c r="B124" t="s">
        <v>512</v>
      </c>
      <c r="C124" t="s">
        <v>2477</v>
      </c>
      <c r="D124" t="s">
        <v>1007</v>
      </c>
      <c r="E124" t="s">
        <v>2510</v>
      </c>
      <c r="F124" t="s">
        <v>2633</v>
      </c>
      <c r="G124">
        <v>26</v>
      </c>
      <c r="H124">
        <v>10.5</v>
      </c>
      <c r="I124">
        <v>273</v>
      </c>
      <c r="J124">
        <v>-0.53</v>
      </c>
      <c r="K124">
        <v>-13.73</v>
      </c>
      <c r="L124">
        <v>4.09</v>
      </c>
      <c r="M124">
        <v>134.99</v>
      </c>
      <c r="N124">
        <v>0</v>
      </c>
      <c r="O124">
        <v>0</v>
      </c>
      <c r="P124" s="2">
        <f>(H124 + J124) - (L124 + N124)</f>
        <v>0</v>
      </c>
      <c r="Q124" s="2">
        <f>P124 * G124</f>
        <v>0</v>
      </c>
      <c r="R124">
        <v>5</v>
      </c>
      <c r="S124" s="2">
        <f>R124 * G124</f>
        <v>0</v>
      </c>
      <c r="T124" s="2">
        <f>(H124 + J124) - (L124 + N124) - R124</f>
        <v>0</v>
      </c>
      <c r="U124" s="2">
        <f>T124 * G124</f>
        <v>0</v>
      </c>
      <c r="V124" s="2">
        <f>I124 + K124 - S124</f>
        <v>0</v>
      </c>
      <c r="W124" s="2">
        <f>M124 - V124</f>
        <v>0</v>
      </c>
      <c r="X124" s="2">
        <f>IFERROR(W124 / M124 * 100, 0)</f>
        <v>0</v>
      </c>
    </row>
    <row r="125" spans="1:24">
      <c r="A125" t="s">
        <v>2323</v>
      </c>
      <c r="B125" t="s">
        <v>512</v>
      </c>
      <c r="C125" t="s">
        <v>2478</v>
      </c>
      <c r="D125" t="s">
        <v>1007</v>
      </c>
      <c r="E125" t="s">
        <v>2510</v>
      </c>
      <c r="F125" t="s">
        <v>2634</v>
      </c>
      <c r="G125">
        <v>26</v>
      </c>
      <c r="H125">
        <v>10</v>
      </c>
      <c r="I125">
        <v>260</v>
      </c>
      <c r="J125">
        <v>-0.63</v>
      </c>
      <c r="K125">
        <v>-16.28</v>
      </c>
      <c r="L125">
        <v>4.75</v>
      </c>
      <c r="M125">
        <v>156.74</v>
      </c>
      <c r="N125">
        <v>0</v>
      </c>
      <c r="O125">
        <v>0</v>
      </c>
      <c r="P125" s="2">
        <f>(H125 + J125) - (L125 + N125)</f>
        <v>0</v>
      </c>
      <c r="Q125" s="2">
        <f>P125 * G125</f>
        <v>0</v>
      </c>
      <c r="R125">
        <v>5</v>
      </c>
      <c r="S125" s="2">
        <f>R125 * G125</f>
        <v>0</v>
      </c>
      <c r="T125" s="2">
        <f>(H125 + J125) - (L125 + N125) - R125</f>
        <v>0</v>
      </c>
      <c r="U125" s="2">
        <f>T125 * G125</f>
        <v>0</v>
      </c>
      <c r="V125" s="2">
        <f>I125 + K125 - S125</f>
        <v>0</v>
      </c>
      <c r="W125" s="2">
        <f>M125 - V125</f>
        <v>0</v>
      </c>
      <c r="X125" s="2">
        <f>IFERROR(W125 / M125 * 100, 0)</f>
        <v>0</v>
      </c>
    </row>
    <row r="126" spans="1:24">
      <c r="A126" t="s">
        <v>2324</v>
      </c>
      <c r="B126" t="s">
        <v>512</v>
      </c>
      <c r="C126" t="s">
        <v>2479</v>
      </c>
      <c r="D126" t="s">
        <v>1007</v>
      </c>
      <c r="E126" t="s">
        <v>2510</v>
      </c>
      <c r="F126" t="s">
        <v>2635</v>
      </c>
      <c r="G126">
        <v>26</v>
      </c>
      <c r="H126">
        <v>5</v>
      </c>
      <c r="I126">
        <v>130</v>
      </c>
      <c r="J126">
        <v>-1.23</v>
      </c>
      <c r="K126">
        <v>-31.98</v>
      </c>
      <c r="L126">
        <v>1.06</v>
      </c>
      <c r="M126">
        <v>35.03</v>
      </c>
      <c r="N126">
        <v>0</v>
      </c>
      <c r="O126">
        <v>0</v>
      </c>
      <c r="P126" s="2">
        <f>(H126 + J126) - (L126 + N126)</f>
        <v>0</v>
      </c>
      <c r="Q126" s="2">
        <f>P126 * G126</f>
        <v>0</v>
      </c>
      <c r="R126">
        <v>2.5</v>
      </c>
      <c r="S126" s="2">
        <f>R126 * G126</f>
        <v>0</v>
      </c>
      <c r="T126" s="2">
        <f>(H126 + J126) - (L126 + N126) - R126</f>
        <v>0</v>
      </c>
      <c r="U126" s="2">
        <f>T126 * G126</f>
        <v>0</v>
      </c>
      <c r="V126" s="2">
        <f>I126 + K126 - S126</f>
        <v>0</v>
      </c>
      <c r="W126" s="2">
        <f>M126 - V126</f>
        <v>0</v>
      </c>
      <c r="X126" s="2">
        <f>IFERROR(W126 / M126 * 100, 0)</f>
        <v>0</v>
      </c>
    </row>
    <row r="127" spans="1:24">
      <c r="A127" t="s">
        <v>2325</v>
      </c>
      <c r="B127" t="s">
        <v>512</v>
      </c>
      <c r="C127" t="s">
        <v>2480</v>
      </c>
      <c r="D127" t="s">
        <v>1007</v>
      </c>
      <c r="E127" t="s">
        <v>2510</v>
      </c>
      <c r="F127" t="s">
        <v>2636</v>
      </c>
      <c r="G127">
        <v>14</v>
      </c>
      <c r="H127">
        <v>10.2</v>
      </c>
      <c r="I127">
        <v>142.8</v>
      </c>
      <c r="J127">
        <v>0</v>
      </c>
      <c r="K127">
        <v>0</v>
      </c>
      <c r="L127">
        <v>0.53</v>
      </c>
      <c r="M127">
        <v>10.68</v>
      </c>
      <c r="N127">
        <v>0</v>
      </c>
      <c r="O127">
        <v>0</v>
      </c>
      <c r="P127" s="2">
        <f>(H127 + J127) - (L127 + N127)</f>
        <v>0</v>
      </c>
      <c r="Q127" s="2">
        <f>P127 * G127</f>
        <v>0</v>
      </c>
      <c r="R127">
        <v>30.3</v>
      </c>
      <c r="S127" s="2">
        <f>R127 * G127</f>
        <v>0</v>
      </c>
      <c r="T127" s="2">
        <f>(H127 + J127) - (L127 + N127) - R127</f>
        <v>0</v>
      </c>
      <c r="U127" s="2">
        <f>T127 * G127</f>
        <v>0</v>
      </c>
      <c r="V127" s="2">
        <f>I127 + K127 - S127</f>
        <v>0</v>
      </c>
      <c r="W127" s="2">
        <f>M127 - V127</f>
        <v>0</v>
      </c>
      <c r="X127" s="2">
        <f>IFERROR(W127 / M127 * 100, 0)</f>
        <v>0</v>
      </c>
    </row>
    <row r="128" spans="1:24">
      <c r="A128" t="s">
        <v>2326</v>
      </c>
      <c r="B128" t="s">
        <v>512</v>
      </c>
      <c r="C128" t="s">
        <v>2481</v>
      </c>
      <c r="D128" t="s">
        <v>1007</v>
      </c>
      <c r="E128" t="s">
        <v>2510</v>
      </c>
      <c r="F128" t="s">
        <v>2637</v>
      </c>
      <c r="G128">
        <v>22</v>
      </c>
      <c r="H128">
        <v>22</v>
      </c>
      <c r="I128">
        <v>484</v>
      </c>
      <c r="J128">
        <v>-0.4</v>
      </c>
      <c r="K128">
        <v>-8.800000000000001</v>
      </c>
      <c r="L128">
        <v>8.119999999999999</v>
      </c>
      <c r="M128">
        <v>255.68</v>
      </c>
      <c r="N128">
        <v>0</v>
      </c>
      <c r="O128">
        <v>0</v>
      </c>
      <c r="P128" s="2">
        <f>(H128 + J128) - (L128 + N128)</f>
        <v>0</v>
      </c>
      <c r="Q128" s="2">
        <f>P128 * G128</f>
        <v>0</v>
      </c>
      <c r="R128">
        <v>19</v>
      </c>
      <c r="S128" s="2">
        <f>R128 * G128</f>
        <v>0</v>
      </c>
      <c r="T128" s="2">
        <f>(H128 + J128) - (L128 + N128) - R128</f>
        <v>0</v>
      </c>
      <c r="U128" s="2">
        <f>T128 * G128</f>
        <v>0</v>
      </c>
      <c r="V128" s="2">
        <f>I128 + K128 - S128</f>
        <v>0</v>
      </c>
      <c r="W128" s="2">
        <f>M128 - V128</f>
        <v>0</v>
      </c>
      <c r="X128" s="2">
        <f>IFERROR(W128 / M128 * 100, 0)</f>
        <v>0</v>
      </c>
    </row>
    <row r="129" spans="1:24">
      <c r="A129" t="s">
        <v>2327</v>
      </c>
      <c r="B129" t="s">
        <v>512</v>
      </c>
      <c r="C129" t="s">
        <v>2482</v>
      </c>
      <c r="D129" t="s">
        <v>1007</v>
      </c>
      <c r="E129" t="s">
        <v>2510</v>
      </c>
      <c r="F129" t="s">
        <v>2638</v>
      </c>
      <c r="G129">
        <v>14</v>
      </c>
      <c r="H129">
        <v>2.7</v>
      </c>
      <c r="I129">
        <v>37.8</v>
      </c>
      <c r="J129">
        <v>0</v>
      </c>
      <c r="K129">
        <v>0</v>
      </c>
      <c r="L129">
        <v>1.04</v>
      </c>
      <c r="M129">
        <v>23.5</v>
      </c>
      <c r="N129">
        <v>0</v>
      </c>
      <c r="O129">
        <v>0</v>
      </c>
      <c r="P129" s="2">
        <f>(H129 + J129) - (L129 + N129)</f>
        <v>0</v>
      </c>
      <c r="Q129" s="2">
        <f>P129 * G129</f>
        <v>0</v>
      </c>
      <c r="R129">
        <v>1.5</v>
      </c>
      <c r="S129" s="2">
        <f>R129 * G129</f>
        <v>0</v>
      </c>
      <c r="T129" s="2">
        <f>(H129 + J129) - (L129 + N129) - R129</f>
        <v>0</v>
      </c>
      <c r="U129" s="2">
        <f>T129 * G129</f>
        <v>0</v>
      </c>
      <c r="V129" s="2">
        <f>I129 + K129 - S129</f>
        <v>0</v>
      </c>
      <c r="W129" s="2">
        <f>M129 - V129</f>
        <v>0</v>
      </c>
      <c r="X129" s="2">
        <f>IFERROR(W129 / M129 * 100, 0)</f>
        <v>0</v>
      </c>
    </row>
    <row r="130" spans="1:24">
      <c r="A130" t="s">
        <v>2328</v>
      </c>
      <c r="B130" t="s">
        <v>512</v>
      </c>
      <c r="C130" t="s">
        <v>2483</v>
      </c>
      <c r="D130" t="s">
        <v>1007</v>
      </c>
      <c r="E130" t="s">
        <v>2510</v>
      </c>
      <c r="F130" t="s">
        <v>2639</v>
      </c>
      <c r="G130">
        <v>16</v>
      </c>
      <c r="H130">
        <v>3.8</v>
      </c>
      <c r="I130">
        <v>60.8</v>
      </c>
      <c r="J130">
        <v>0</v>
      </c>
      <c r="K130">
        <v>0</v>
      </c>
      <c r="L130">
        <v>2.05</v>
      </c>
      <c r="M130">
        <v>43.01</v>
      </c>
      <c r="N130">
        <v>0</v>
      </c>
      <c r="O130">
        <v>0</v>
      </c>
      <c r="P130" s="2">
        <f>(H130 + J130) - (L130 + N130)</f>
        <v>0</v>
      </c>
      <c r="Q130" s="2">
        <f>P130 * G130</f>
        <v>0</v>
      </c>
      <c r="R130">
        <v>1.8</v>
      </c>
      <c r="S130" s="2">
        <f>R130 * G130</f>
        <v>0</v>
      </c>
      <c r="T130" s="2">
        <f>(H130 + J130) - (L130 + N130) - R130</f>
        <v>0</v>
      </c>
      <c r="U130" s="2">
        <f>T130 * G130</f>
        <v>0</v>
      </c>
      <c r="V130" s="2">
        <f>I130 + K130 - S130</f>
        <v>0</v>
      </c>
      <c r="W130" s="2">
        <f>M130 - V130</f>
        <v>0</v>
      </c>
      <c r="X130" s="2">
        <f>IFERROR(W130 / M130 * 100, 0)</f>
        <v>0</v>
      </c>
    </row>
    <row r="131" spans="1:24">
      <c r="A131" t="s">
        <v>2329</v>
      </c>
      <c r="B131" t="s">
        <v>512</v>
      </c>
      <c r="C131" t="s">
        <v>2484</v>
      </c>
      <c r="D131" t="s">
        <v>1007</v>
      </c>
      <c r="E131" t="s">
        <v>2510</v>
      </c>
      <c r="F131" t="s">
        <v>2640</v>
      </c>
      <c r="G131">
        <v>19</v>
      </c>
      <c r="H131">
        <v>70.59999999999999</v>
      </c>
      <c r="I131">
        <v>1341.4</v>
      </c>
      <c r="J131">
        <v>0</v>
      </c>
      <c r="K131">
        <v>0</v>
      </c>
      <c r="L131">
        <v>29.24</v>
      </c>
      <c r="M131">
        <v>574.5700000000001</v>
      </c>
      <c r="N131">
        <v>0</v>
      </c>
      <c r="O131">
        <v>0</v>
      </c>
      <c r="P131" s="2">
        <f>(H131 + J131) - (L131 + N131)</f>
        <v>0</v>
      </c>
      <c r="Q131" s="2">
        <f>P131 * G131</f>
        <v>0</v>
      </c>
      <c r="R131">
        <v>43.6</v>
      </c>
      <c r="S131" s="2">
        <f>R131 * G131</f>
        <v>0</v>
      </c>
      <c r="T131" s="2">
        <f>(H131 + J131) - (L131 + N131) - R131</f>
        <v>0</v>
      </c>
      <c r="U131" s="2">
        <f>T131 * G131</f>
        <v>0</v>
      </c>
      <c r="V131" s="2">
        <f>I131 + K131 - S131</f>
        <v>0</v>
      </c>
      <c r="W131" s="2">
        <f>M131 - V131</f>
        <v>0</v>
      </c>
      <c r="X131" s="2">
        <f>IFERROR(W131 / M131 * 100, 0)</f>
        <v>0</v>
      </c>
    </row>
    <row r="132" spans="1:24">
      <c r="A132" t="s">
        <v>2330</v>
      </c>
      <c r="B132" t="s">
        <v>512</v>
      </c>
      <c r="C132" t="s">
        <v>2485</v>
      </c>
      <c r="D132" t="s">
        <v>1007</v>
      </c>
      <c r="E132" t="s">
        <v>2510</v>
      </c>
      <c r="F132" t="s">
        <v>2641</v>
      </c>
      <c r="G132">
        <v>22</v>
      </c>
      <c r="H132">
        <v>8.5</v>
      </c>
      <c r="I132">
        <v>187</v>
      </c>
      <c r="J132">
        <v>0</v>
      </c>
      <c r="K132">
        <v>0</v>
      </c>
      <c r="L132">
        <v>5.79</v>
      </c>
      <c r="M132">
        <v>144.65</v>
      </c>
      <c r="N132">
        <v>0</v>
      </c>
      <c r="O132">
        <v>0</v>
      </c>
      <c r="P132" s="2">
        <f>(H132 + J132) - (L132 + N132)</f>
        <v>0</v>
      </c>
      <c r="Q132" s="2">
        <f>P132 * G132</f>
        <v>0</v>
      </c>
      <c r="R132">
        <v>4.6</v>
      </c>
      <c r="S132" s="2">
        <f>R132 * G132</f>
        <v>0</v>
      </c>
      <c r="T132" s="2">
        <f>(H132 + J132) - (L132 + N132) - R132</f>
        <v>0</v>
      </c>
      <c r="U132" s="2">
        <f>T132 * G132</f>
        <v>0</v>
      </c>
      <c r="V132" s="2">
        <f>I132 + K132 - S132</f>
        <v>0</v>
      </c>
      <c r="W132" s="2">
        <f>M132 - V132</f>
        <v>0</v>
      </c>
      <c r="X132" s="2">
        <f>IFERROR(W132 / M132 * 100, 0)</f>
        <v>0</v>
      </c>
    </row>
    <row r="133" spans="1:24">
      <c r="A133" t="s">
        <v>2331</v>
      </c>
      <c r="B133" t="s">
        <v>512</v>
      </c>
      <c r="C133" t="s">
        <v>2486</v>
      </c>
      <c r="D133" t="s">
        <v>1007</v>
      </c>
      <c r="E133" t="s">
        <v>2510</v>
      </c>
      <c r="F133" t="s">
        <v>2642</v>
      </c>
      <c r="G133">
        <v>21.23</v>
      </c>
      <c r="H133">
        <v>3.6</v>
      </c>
      <c r="I133">
        <v>90</v>
      </c>
      <c r="J133">
        <v>7</v>
      </c>
      <c r="K133">
        <v>140</v>
      </c>
      <c r="L133">
        <v>1.82</v>
      </c>
      <c r="M133">
        <v>63.84</v>
      </c>
      <c r="N133">
        <v>0</v>
      </c>
      <c r="O133">
        <v>0</v>
      </c>
      <c r="P133" s="2">
        <f>(H133 + J133) - (L133 + N133)</f>
        <v>0</v>
      </c>
      <c r="Q133" s="2">
        <f>P133 * G133</f>
        <v>0</v>
      </c>
      <c r="R133">
        <v>9</v>
      </c>
      <c r="S133" s="2">
        <f>R133 * G133</f>
        <v>0</v>
      </c>
      <c r="T133" s="2">
        <f>(H133 + J133) - (L133 + N133) - R133</f>
        <v>0</v>
      </c>
      <c r="U133" s="2">
        <f>T133 * G133</f>
        <v>0</v>
      </c>
      <c r="V133" s="2">
        <f>I133 + K133 - S133</f>
        <v>0</v>
      </c>
      <c r="W133" s="2">
        <f>M133 - V133</f>
        <v>0</v>
      </c>
      <c r="X133" s="2">
        <f>IFERROR(W133 / M133 * 100, 0)</f>
        <v>0</v>
      </c>
    </row>
    <row r="134" spans="1:24">
      <c r="A134" t="s">
        <v>2332</v>
      </c>
      <c r="B134" t="s">
        <v>512</v>
      </c>
      <c r="C134" t="s">
        <v>2487</v>
      </c>
      <c r="D134" t="s">
        <v>1007</v>
      </c>
      <c r="E134" t="s">
        <v>2510</v>
      </c>
      <c r="F134" t="s">
        <v>2643</v>
      </c>
      <c r="G134">
        <v>15</v>
      </c>
      <c r="H134">
        <v>12.6</v>
      </c>
      <c r="I134">
        <v>189</v>
      </c>
      <c r="J134">
        <v>8</v>
      </c>
      <c r="K134">
        <v>120</v>
      </c>
      <c r="L134">
        <v>3.6</v>
      </c>
      <c r="M134">
        <v>77.44</v>
      </c>
      <c r="N134">
        <v>0</v>
      </c>
      <c r="O134">
        <v>0</v>
      </c>
      <c r="P134" s="2">
        <f>(H134 + J134) - (L134 + N134)</f>
        <v>0</v>
      </c>
      <c r="Q134" s="2">
        <f>P134 * G134</f>
        <v>0</v>
      </c>
      <c r="R134">
        <v>21</v>
      </c>
      <c r="S134" s="2">
        <f>R134 * G134</f>
        <v>0</v>
      </c>
      <c r="T134" s="2">
        <f>(H134 + J134) - (L134 + N134) - R134</f>
        <v>0</v>
      </c>
      <c r="U134" s="2">
        <f>T134 * G134</f>
        <v>0</v>
      </c>
      <c r="V134" s="2">
        <f>I134 + K134 - S134</f>
        <v>0</v>
      </c>
      <c r="W134" s="2">
        <f>M134 - V134</f>
        <v>0</v>
      </c>
      <c r="X134" s="2">
        <f>IFERROR(W134 / M134 * 100, 0)</f>
        <v>0</v>
      </c>
    </row>
    <row r="135" spans="1:24">
      <c r="A135" t="s">
        <v>2333</v>
      </c>
      <c r="B135" t="s">
        <v>512</v>
      </c>
      <c r="C135" t="s">
        <v>2488</v>
      </c>
      <c r="D135" t="s">
        <v>1007</v>
      </c>
      <c r="E135" t="s">
        <v>2510</v>
      </c>
      <c r="F135" t="s">
        <v>2644</v>
      </c>
      <c r="G135">
        <v>18</v>
      </c>
      <c r="H135">
        <v>5</v>
      </c>
      <c r="I135">
        <v>90</v>
      </c>
      <c r="J135">
        <v>10</v>
      </c>
      <c r="K135">
        <v>180</v>
      </c>
      <c r="L135">
        <v>1.37</v>
      </c>
      <c r="M135">
        <v>34.35</v>
      </c>
      <c r="N135">
        <v>0</v>
      </c>
      <c r="O135">
        <v>0</v>
      </c>
      <c r="P135" s="2">
        <f>(H135 + J135) - (L135 + N135)</f>
        <v>0</v>
      </c>
      <c r="Q135" s="2">
        <f>P135 * G135</f>
        <v>0</v>
      </c>
      <c r="R135">
        <v>13.7</v>
      </c>
      <c r="S135" s="2">
        <f>R135 * G135</f>
        <v>0</v>
      </c>
      <c r="T135" s="2">
        <f>(H135 + J135) - (L135 + N135) - R135</f>
        <v>0</v>
      </c>
      <c r="U135" s="2">
        <f>T135 * G135</f>
        <v>0</v>
      </c>
      <c r="V135" s="2">
        <f>I135 + K135 - S135</f>
        <v>0</v>
      </c>
      <c r="W135" s="2">
        <f>M135 - V135</f>
        <v>0</v>
      </c>
      <c r="X135" s="2">
        <f>IFERROR(W135 / M135 * 100, 0)</f>
        <v>0</v>
      </c>
    </row>
    <row r="136" spans="1:24">
      <c r="A136" t="s">
        <v>2334</v>
      </c>
      <c r="B136" t="s">
        <v>512</v>
      </c>
      <c r="C136" t="s">
        <v>2489</v>
      </c>
      <c r="D136" t="s">
        <v>1007</v>
      </c>
      <c r="E136" t="s">
        <v>2510</v>
      </c>
      <c r="F136" t="s">
        <v>2645</v>
      </c>
      <c r="G136">
        <v>22</v>
      </c>
      <c r="H136">
        <v>0</v>
      </c>
      <c r="I136">
        <v>0</v>
      </c>
      <c r="J136">
        <v>10</v>
      </c>
      <c r="K136">
        <v>220</v>
      </c>
      <c r="L136">
        <v>2.47</v>
      </c>
      <c r="M136">
        <v>76.7</v>
      </c>
      <c r="N136">
        <v>0</v>
      </c>
      <c r="O136">
        <v>0</v>
      </c>
      <c r="P136" s="2">
        <f>(H136 + J136) - (L136 + N136)</f>
        <v>0</v>
      </c>
      <c r="Q136" s="2">
        <f>P136 * G136</f>
        <v>0</v>
      </c>
      <c r="R136">
        <v>15.5</v>
      </c>
      <c r="S136" s="2">
        <f>R136 * G136</f>
        <v>0</v>
      </c>
      <c r="T136" s="2">
        <f>(H136 + J136) - (L136 + N136) - R136</f>
        <v>0</v>
      </c>
      <c r="U136" s="2">
        <f>T136 * G136</f>
        <v>0</v>
      </c>
      <c r="V136" s="2">
        <f>I136 + K136 - S136</f>
        <v>0</v>
      </c>
      <c r="W136" s="2">
        <f>M136 - V136</f>
        <v>0</v>
      </c>
      <c r="X136" s="2">
        <f>IFERROR(W136 / M136 * 100, 0)</f>
        <v>0</v>
      </c>
    </row>
    <row r="137" spans="1:24">
      <c r="A137" t="s">
        <v>2335</v>
      </c>
      <c r="B137" t="s">
        <v>512</v>
      </c>
      <c r="C137" t="s">
        <v>2490</v>
      </c>
      <c r="D137" t="s">
        <v>1007</v>
      </c>
      <c r="E137" t="s">
        <v>2510</v>
      </c>
      <c r="F137" t="s">
        <v>2646</v>
      </c>
      <c r="G137">
        <v>13</v>
      </c>
      <c r="H137">
        <v>10</v>
      </c>
      <c r="I137">
        <v>130</v>
      </c>
      <c r="J137">
        <v>0</v>
      </c>
      <c r="K137">
        <v>0</v>
      </c>
      <c r="L137">
        <v>1.85</v>
      </c>
      <c r="M137">
        <v>33.26</v>
      </c>
      <c r="N137">
        <v>0</v>
      </c>
      <c r="O137">
        <v>0</v>
      </c>
      <c r="P137" s="2">
        <f>(H137 + J137) - (L137 + N137)</f>
        <v>0</v>
      </c>
      <c r="Q137" s="2">
        <f>P137 * G137</f>
        <v>0</v>
      </c>
      <c r="R137">
        <v>8.5</v>
      </c>
      <c r="S137" s="2">
        <f>R137 * G137</f>
        <v>0</v>
      </c>
      <c r="T137" s="2">
        <f>(H137 + J137) - (L137 + N137) - R137</f>
        <v>0</v>
      </c>
      <c r="U137" s="2">
        <f>T137 * G137</f>
        <v>0</v>
      </c>
      <c r="V137" s="2">
        <f>I137 + K137 - S137</f>
        <v>0</v>
      </c>
      <c r="W137" s="2">
        <f>M137 - V137</f>
        <v>0</v>
      </c>
      <c r="X137" s="2">
        <f>IFERROR(W137 / M137 * 100, 0)</f>
        <v>0</v>
      </c>
    </row>
    <row r="138" spans="1:24">
      <c r="A138" t="s">
        <v>2336</v>
      </c>
      <c r="B138" t="s">
        <v>512</v>
      </c>
      <c r="C138" t="s">
        <v>2491</v>
      </c>
      <c r="D138" t="s">
        <v>1007</v>
      </c>
      <c r="E138" t="s">
        <v>2510</v>
      </c>
      <c r="F138" t="s">
        <v>2647</v>
      </c>
      <c r="G138">
        <v>22</v>
      </c>
      <c r="H138">
        <v>29.5</v>
      </c>
      <c r="I138">
        <v>649</v>
      </c>
      <c r="J138">
        <v>-0.38</v>
      </c>
      <c r="K138">
        <v>-8.4</v>
      </c>
      <c r="L138">
        <v>13.21</v>
      </c>
      <c r="M138">
        <v>416.05</v>
      </c>
      <c r="N138">
        <v>0</v>
      </c>
      <c r="O138">
        <v>0</v>
      </c>
      <c r="P138" s="2">
        <f>(H138 + J138) - (L138 + N138)</f>
        <v>0</v>
      </c>
      <c r="Q138" s="2">
        <f>P138 * G138</f>
        <v>0</v>
      </c>
      <c r="R138">
        <v>16.6</v>
      </c>
      <c r="S138" s="2">
        <f>R138 * G138</f>
        <v>0</v>
      </c>
      <c r="T138" s="2">
        <f>(H138 + J138) - (L138 + N138) - R138</f>
        <v>0</v>
      </c>
      <c r="U138" s="2">
        <f>T138 * G138</f>
        <v>0</v>
      </c>
      <c r="V138" s="2">
        <f>I138 + K138 - S138</f>
        <v>0</v>
      </c>
      <c r="W138" s="2">
        <f>M138 - V138</f>
        <v>0</v>
      </c>
      <c r="X138" s="2">
        <f>IFERROR(W138 / M138 * 100, 0)</f>
        <v>0</v>
      </c>
    </row>
    <row r="139" spans="1:24">
      <c r="A139" t="s">
        <v>2337</v>
      </c>
      <c r="B139" t="s">
        <v>512</v>
      </c>
      <c r="C139" t="s">
        <v>2492</v>
      </c>
      <c r="D139" t="s">
        <v>1007</v>
      </c>
      <c r="E139" t="s">
        <v>2510</v>
      </c>
      <c r="F139" t="s">
        <v>2648</v>
      </c>
      <c r="G139">
        <v>15</v>
      </c>
      <c r="H139">
        <v>10.3</v>
      </c>
      <c r="I139">
        <v>154.5</v>
      </c>
      <c r="J139">
        <v>8</v>
      </c>
      <c r="K139">
        <v>120</v>
      </c>
      <c r="L139">
        <v>5.13</v>
      </c>
      <c r="M139">
        <v>107.82</v>
      </c>
      <c r="N139">
        <v>0</v>
      </c>
      <c r="O139">
        <v>0</v>
      </c>
      <c r="P139" s="2">
        <f>(H139 + J139) - (L139 + N139)</f>
        <v>0</v>
      </c>
      <c r="Q139" s="2">
        <f>P139 * G139</f>
        <v>0</v>
      </c>
      <c r="R139">
        <v>13.7</v>
      </c>
      <c r="S139" s="2">
        <f>R139 * G139</f>
        <v>0</v>
      </c>
      <c r="T139" s="2">
        <f>(H139 + J139) - (L139 + N139) - R139</f>
        <v>0</v>
      </c>
      <c r="U139" s="2">
        <f>T139 * G139</f>
        <v>0</v>
      </c>
      <c r="V139" s="2">
        <f>I139 + K139 - S139</f>
        <v>0</v>
      </c>
      <c r="W139" s="2">
        <f>M139 - V139</f>
        <v>0</v>
      </c>
      <c r="X139" s="2">
        <f>IFERROR(W139 / M139 * 100, 0)</f>
        <v>0</v>
      </c>
    </row>
    <row r="140" spans="1:24">
      <c r="A140" t="s">
        <v>2338</v>
      </c>
      <c r="B140" t="s">
        <v>512</v>
      </c>
      <c r="C140" t="s">
        <v>2493</v>
      </c>
      <c r="D140" t="s">
        <v>1007</v>
      </c>
      <c r="E140" t="s">
        <v>2510</v>
      </c>
      <c r="F140" t="s">
        <v>2649</v>
      </c>
      <c r="G140">
        <v>13</v>
      </c>
      <c r="H140">
        <v>5</v>
      </c>
      <c r="I140">
        <v>65</v>
      </c>
      <c r="J140">
        <v>0</v>
      </c>
      <c r="K140">
        <v>0</v>
      </c>
      <c r="L140">
        <v>1.25</v>
      </c>
      <c r="M140">
        <v>23.16</v>
      </c>
      <c r="N140">
        <v>0</v>
      </c>
      <c r="O140">
        <v>0</v>
      </c>
      <c r="P140" s="2">
        <f>(H140 + J140) - (L140 + N140)</f>
        <v>0</v>
      </c>
      <c r="Q140" s="2">
        <f>P140 * G140</f>
        <v>0</v>
      </c>
      <c r="R140">
        <v>3.8</v>
      </c>
      <c r="S140" s="2">
        <f>R140 * G140</f>
        <v>0</v>
      </c>
      <c r="T140" s="2">
        <f>(H140 + J140) - (L140 + N140) - R140</f>
        <v>0</v>
      </c>
      <c r="U140" s="2">
        <f>T140 * G140</f>
        <v>0</v>
      </c>
      <c r="V140" s="2">
        <f>I140 + K140 - S140</f>
        <v>0</v>
      </c>
      <c r="W140" s="2">
        <f>M140 - V140</f>
        <v>0</v>
      </c>
      <c r="X140" s="2">
        <f>IFERROR(W140 / M140 * 100, 0)</f>
        <v>0</v>
      </c>
    </row>
    <row r="141" spans="1:24">
      <c r="A141" t="s">
        <v>2339</v>
      </c>
      <c r="B141" t="s">
        <v>512</v>
      </c>
      <c r="C141" t="s">
        <v>2494</v>
      </c>
      <c r="D141" t="s">
        <v>1007</v>
      </c>
      <c r="E141" t="s">
        <v>2510</v>
      </c>
      <c r="F141" t="s">
        <v>2650</v>
      </c>
      <c r="G141">
        <v>14.76</v>
      </c>
      <c r="H141">
        <v>30.7</v>
      </c>
      <c r="I141">
        <v>453.1</v>
      </c>
      <c r="J141">
        <v>-0.41</v>
      </c>
      <c r="K141">
        <v>-6.02</v>
      </c>
      <c r="L141">
        <v>10.25</v>
      </c>
      <c r="M141">
        <v>157.63</v>
      </c>
      <c r="N141">
        <v>0</v>
      </c>
      <c r="O141">
        <v>0</v>
      </c>
      <c r="P141" s="2">
        <f>(H141 + J141) - (L141 + N141)</f>
        <v>0</v>
      </c>
      <c r="Q141" s="2">
        <f>P141 * G141</f>
        <v>0</v>
      </c>
      <c r="R141">
        <v>22.1</v>
      </c>
      <c r="S141" s="2">
        <f>R141 * G141</f>
        <v>0</v>
      </c>
      <c r="T141" s="2">
        <f>(H141 + J141) - (L141 + N141) - R141</f>
        <v>0</v>
      </c>
      <c r="U141" s="2">
        <f>T141 * G141</f>
        <v>0</v>
      </c>
      <c r="V141" s="2">
        <f>I141 + K141 - S141</f>
        <v>0</v>
      </c>
      <c r="W141" s="2">
        <f>M141 - V141</f>
        <v>0</v>
      </c>
      <c r="X141" s="2">
        <f>IFERROR(W141 / M141 * 100, 0)</f>
        <v>0</v>
      </c>
    </row>
    <row r="142" spans="1:24">
      <c r="A142" t="s">
        <v>2340</v>
      </c>
      <c r="B142" t="s">
        <v>512</v>
      </c>
      <c r="C142" t="s">
        <v>2495</v>
      </c>
      <c r="D142" t="s">
        <v>1007</v>
      </c>
      <c r="E142" t="s">
        <v>2510</v>
      </c>
      <c r="F142" t="s">
        <v>2651</v>
      </c>
      <c r="G142">
        <v>19.92</v>
      </c>
      <c r="H142">
        <v>14</v>
      </c>
      <c r="I142">
        <v>278.83</v>
      </c>
      <c r="J142">
        <v>-0.32</v>
      </c>
      <c r="K142">
        <v>-6.37</v>
      </c>
      <c r="L142">
        <v>2.01</v>
      </c>
      <c r="M142">
        <v>58.28</v>
      </c>
      <c r="N142">
        <v>0</v>
      </c>
      <c r="O142">
        <v>0</v>
      </c>
      <c r="P142" s="2">
        <f>(H142 + J142) - (L142 + N142)</f>
        <v>0</v>
      </c>
      <c r="Q142" s="2">
        <f>P142 * G142</f>
        <v>0</v>
      </c>
      <c r="R142">
        <v>12.6</v>
      </c>
      <c r="S142" s="2">
        <f>R142 * G142</f>
        <v>0</v>
      </c>
      <c r="T142" s="2">
        <f>(H142 + J142) - (L142 + N142) - R142</f>
        <v>0</v>
      </c>
      <c r="U142" s="2">
        <f>T142 * G142</f>
        <v>0</v>
      </c>
      <c r="V142" s="2">
        <f>I142 + K142 - S142</f>
        <v>0</v>
      </c>
      <c r="W142" s="2">
        <f>M142 - V142</f>
        <v>0</v>
      </c>
      <c r="X142" s="2">
        <f>IFERROR(W142 / M142 * 100, 0)</f>
        <v>0</v>
      </c>
    </row>
    <row r="143" spans="1:24">
      <c r="A143" t="s">
        <v>2341</v>
      </c>
      <c r="B143" t="s">
        <v>512</v>
      </c>
      <c r="C143" t="s">
        <v>2496</v>
      </c>
      <c r="D143" t="s">
        <v>1007</v>
      </c>
      <c r="E143" t="s">
        <v>2510</v>
      </c>
      <c r="F143" t="s">
        <v>2652</v>
      </c>
      <c r="G143">
        <v>13</v>
      </c>
      <c r="H143">
        <v>11</v>
      </c>
      <c r="I143">
        <v>143</v>
      </c>
      <c r="J143">
        <v>0</v>
      </c>
      <c r="K143">
        <v>0</v>
      </c>
      <c r="L143">
        <v>2.51</v>
      </c>
      <c r="M143">
        <v>46.51</v>
      </c>
      <c r="N143">
        <v>0</v>
      </c>
      <c r="O143">
        <v>0</v>
      </c>
      <c r="P143" s="2">
        <f>(H143 + J143) - (L143 + N143)</f>
        <v>0</v>
      </c>
      <c r="Q143" s="2">
        <f>P143 * G143</f>
        <v>0</v>
      </c>
      <c r="R143">
        <v>8.4</v>
      </c>
      <c r="S143" s="2">
        <f>R143 * G143</f>
        <v>0</v>
      </c>
      <c r="T143" s="2">
        <f>(H143 + J143) - (L143 + N143) - R143</f>
        <v>0</v>
      </c>
      <c r="U143" s="2">
        <f>T143 * G143</f>
        <v>0</v>
      </c>
      <c r="V143" s="2">
        <f>I143 + K143 - S143</f>
        <v>0</v>
      </c>
      <c r="W143" s="2">
        <f>M143 - V143</f>
        <v>0</v>
      </c>
      <c r="X143" s="2">
        <f>IFERROR(W143 / M143 * 100, 0)</f>
        <v>0</v>
      </c>
    </row>
    <row r="144" spans="1:24">
      <c r="A144" t="s">
        <v>2342</v>
      </c>
      <c r="B144" t="s">
        <v>512</v>
      </c>
      <c r="C144" t="s">
        <v>2497</v>
      </c>
      <c r="D144" t="s">
        <v>1008</v>
      </c>
      <c r="E144" t="s">
        <v>2510</v>
      </c>
      <c r="F144" t="s">
        <v>2653</v>
      </c>
      <c r="G144">
        <v>52</v>
      </c>
      <c r="H144">
        <v>0</v>
      </c>
      <c r="I144">
        <v>0</v>
      </c>
      <c r="J144">
        <v>2</v>
      </c>
      <c r="K144">
        <v>104</v>
      </c>
      <c r="L144">
        <v>0</v>
      </c>
      <c r="M144">
        <v>0</v>
      </c>
      <c r="N144">
        <v>0</v>
      </c>
      <c r="O144">
        <v>0</v>
      </c>
      <c r="P144" s="2">
        <f>(H144 + J144) - (L144 + N144)</f>
        <v>0</v>
      </c>
      <c r="Q144" s="2">
        <f>P144 * G144</f>
        <v>0</v>
      </c>
      <c r="R144">
        <v>2</v>
      </c>
      <c r="S144" s="2">
        <f>R144 * G144</f>
        <v>0</v>
      </c>
      <c r="T144" s="2">
        <f>(H144 + J144) - (L144 + N144) - R144</f>
        <v>0</v>
      </c>
      <c r="U144" s="2">
        <f>T144 * G144</f>
        <v>0</v>
      </c>
      <c r="V144" s="2">
        <f>I144 + K144 - S144</f>
        <v>0</v>
      </c>
      <c r="W144" s="2">
        <f>M144 - V144</f>
        <v>0</v>
      </c>
      <c r="X144" s="2">
        <f>IFERROR(W144 / M144 * 100, 0)</f>
        <v>0</v>
      </c>
    </row>
    <row r="145" spans="1:24">
      <c r="A145" t="s">
        <v>2343</v>
      </c>
      <c r="B145" t="s">
        <v>512</v>
      </c>
      <c r="C145" t="s">
        <v>2498</v>
      </c>
      <c r="D145" t="s">
        <v>1008</v>
      </c>
      <c r="E145" t="s">
        <v>2510</v>
      </c>
      <c r="F145" t="s">
        <v>2654</v>
      </c>
      <c r="G145">
        <v>0.55</v>
      </c>
      <c r="H145">
        <v>0</v>
      </c>
      <c r="I145">
        <v>0</v>
      </c>
      <c r="J145">
        <v>200</v>
      </c>
      <c r="K145">
        <v>110</v>
      </c>
      <c r="L145">
        <v>0</v>
      </c>
      <c r="M145">
        <v>0</v>
      </c>
      <c r="N145">
        <v>0</v>
      </c>
      <c r="O145">
        <v>0</v>
      </c>
      <c r="P145" s="2">
        <f>(H145 + J145) - (L145 + N145)</f>
        <v>0</v>
      </c>
      <c r="Q145" s="2">
        <f>P145 * G145</f>
        <v>0</v>
      </c>
      <c r="R145">
        <v>180</v>
      </c>
      <c r="S145" s="2">
        <f>R145 * G145</f>
        <v>0</v>
      </c>
      <c r="T145" s="2">
        <f>(H145 + J145) - (L145 + N145) - R145</f>
        <v>0</v>
      </c>
      <c r="U145" s="2">
        <f>T145 * G145</f>
        <v>0</v>
      </c>
      <c r="V145" s="2">
        <f>I145 + K145 - S145</f>
        <v>0</v>
      </c>
      <c r="W145" s="2">
        <f>M145 - V145</f>
        <v>0</v>
      </c>
      <c r="X145" s="2">
        <f>IFERROR(W145 / M145 * 100, 0)</f>
        <v>0</v>
      </c>
    </row>
    <row r="146" spans="1:24">
      <c r="A146" t="s">
        <v>2344</v>
      </c>
      <c r="B146" t="s">
        <v>512</v>
      </c>
      <c r="C146" t="s">
        <v>2499</v>
      </c>
      <c r="D146" t="s">
        <v>1007</v>
      </c>
      <c r="E146" t="s">
        <v>2510</v>
      </c>
      <c r="F146" t="s">
        <v>2655</v>
      </c>
      <c r="G146">
        <v>33</v>
      </c>
      <c r="H146">
        <v>0</v>
      </c>
      <c r="I146">
        <v>0</v>
      </c>
      <c r="J146">
        <v>0</v>
      </c>
      <c r="K146">
        <v>0</v>
      </c>
      <c r="L146">
        <v>0.41</v>
      </c>
      <c r="M146">
        <v>17.21</v>
      </c>
      <c r="N146">
        <v>0</v>
      </c>
      <c r="O146">
        <v>0</v>
      </c>
      <c r="P146" s="2">
        <f>(H146 + J146) - (L146 + N146)</f>
        <v>0</v>
      </c>
      <c r="Q146" s="2">
        <f>P146 * G146</f>
        <v>0</v>
      </c>
      <c r="R146">
        <v>0</v>
      </c>
      <c r="S146" s="2">
        <f>R146 * G146</f>
        <v>0</v>
      </c>
      <c r="T146" s="2">
        <f>(H146 + J146) - (L146 + N146) - R146</f>
        <v>0</v>
      </c>
      <c r="U146" s="2">
        <f>T146 * G146</f>
        <v>0</v>
      </c>
      <c r="V146" s="2">
        <f>I146 + K146 - S146</f>
        <v>0</v>
      </c>
      <c r="W146" s="2">
        <f>M146 - V146</f>
        <v>0</v>
      </c>
      <c r="X146" s="2">
        <f>IFERROR(W146 / M146 * 100, 0)</f>
        <v>0</v>
      </c>
    </row>
    <row r="147" spans="1:24">
      <c r="A147" t="s">
        <v>2345</v>
      </c>
      <c r="B147" t="s">
        <v>512</v>
      </c>
      <c r="C147" t="s">
        <v>2500</v>
      </c>
      <c r="D147" t="s">
        <v>1007</v>
      </c>
      <c r="E147" t="s">
        <v>2510</v>
      </c>
      <c r="F147" t="s">
        <v>2656</v>
      </c>
      <c r="G147">
        <v>9.4</v>
      </c>
      <c r="H147">
        <v>0</v>
      </c>
      <c r="I147">
        <v>0</v>
      </c>
      <c r="J147">
        <v>87</v>
      </c>
      <c r="K147">
        <v>815.5</v>
      </c>
      <c r="L147">
        <v>0</v>
      </c>
      <c r="M147">
        <v>0</v>
      </c>
      <c r="N147">
        <v>0</v>
      </c>
      <c r="O147">
        <v>0</v>
      </c>
      <c r="P147" s="2">
        <f>(H147 + J147) - (L147 + N147)</f>
        <v>0</v>
      </c>
      <c r="Q147" s="2">
        <f>P147 * G147</f>
        <v>0</v>
      </c>
      <c r="R147">
        <v>0</v>
      </c>
      <c r="S147" s="2">
        <f>R147 * G147</f>
        <v>0</v>
      </c>
      <c r="T147" s="2">
        <f>(H147 + J147) - (L147 + N147) - R147</f>
        <v>0</v>
      </c>
      <c r="U147" s="2">
        <f>T147 * G147</f>
        <v>0</v>
      </c>
      <c r="V147" s="2">
        <f>I147 + K147 - S147</f>
        <v>0</v>
      </c>
      <c r="W147" s="2">
        <f>M147 - V147</f>
        <v>0</v>
      </c>
      <c r="X147" s="2">
        <f>IFERROR(W147 / M147 * 100, 0)</f>
        <v>0</v>
      </c>
    </row>
    <row r="148" spans="1:24">
      <c r="A148" t="s">
        <v>2346</v>
      </c>
      <c r="B148" t="s">
        <v>513</v>
      </c>
      <c r="C148" t="s">
        <v>2501</v>
      </c>
      <c r="D148" t="s">
        <v>1007</v>
      </c>
      <c r="E148" t="s">
        <v>2510</v>
      </c>
      <c r="F148" t="s">
        <v>2657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0.21</v>
      </c>
      <c r="M148">
        <v>5.25</v>
      </c>
      <c r="N148">
        <v>0</v>
      </c>
      <c r="O148">
        <v>0</v>
      </c>
      <c r="P148" s="2">
        <f>(H148 + J148) - (L148 + N148)</f>
        <v>0</v>
      </c>
      <c r="Q148" s="2">
        <f>P148 * G148</f>
        <v>0</v>
      </c>
      <c r="R148">
        <v>0</v>
      </c>
      <c r="S148" s="2">
        <f>R148 * G148</f>
        <v>0</v>
      </c>
      <c r="T148" s="2">
        <f>(H148 + J148) - (L148 + N148) - R148</f>
        <v>0</v>
      </c>
      <c r="U148" s="2">
        <f>T148 * G148</f>
        <v>0</v>
      </c>
      <c r="V148" s="2">
        <f>I148 + K148 - S148</f>
        <v>0</v>
      </c>
      <c r="W148" s="2">
        <f>M148 - V148</f>
        <v>0</v>
      </c>
      <c r="X148" s="2">
        <f>IFERROR(W148 / M148 * 100, 0)</f>
        <v>0</v>
      </c>
    </row>
    <row r="149" spans="1:24">
      <c r="A149" t="s">
        <v>2347</v>
      </c>
      <c r="B149" t="s">
        <v>512</v>
      </c>
      <c r="C149" t="s">
        <v>2502</v>
      </c>
      <c r="D149" t="s">
        <v>1007</v>
      </c>
      <c r="E149" t="s">
        <v>2510</v>
      </c>
      <c r="F149" t="s">
        <v>2658</v>
      </c>
      <c r="G149">
        <v>28.33</v>
      </c>
      <c r="H149">
        <v>0</v>
      </c>
      <c r="I149">
        <v>0</v>
      </c>
      <c r="J149">
        <v>-0.67</v>
      </c>
      <c r="K149">
        <v>-26.95</v>
      </c>
      <c r="L149">
        <v>0</v>
      </c>
      <c r="M149">
        <v>0</v>
      </c>
      <c r="N149">
        <v>0</v>
      </c>
      <c r="O149">
        <v>0</v>
      </c>
      <c r="P149" s="2">
        <f>(H149 + J149) - (L149 + N149)</f>
        <v>0</v>
      </c>
      <c r="Q149" s="2">
        <f>P149 * G149</f>
        <v>0</v>
      </c>
      <c r="R149">
        <v>0</v>
      </c>
      <c r="S149" s="2">
        <f>R149 * G149</f>
        <v>0</v>
      </c>
      <c r="T149" s="2">
        <f>(H149 + J149) - (L149 + N149) - R149</f>
        <v>0</v>
      </c>
      <c r="U149" s="2">
        <f>T149 * G149</f>
        <v>0</v>
      </c>
      <c r="V149" s="2">
        <f>I149 + K149 - S149</f>
        <v>0</v>
      </c>
      <c r="W149" s="2">
        <f>M149 - V149</f>
        <v>0</v>
      </c>
      <c r="X149" s="2">
        <f>IFERROR(W149 / M149 * 100, 0)</f>
        <v>0</v>
      </c>
    </row>
    <row r="150" spans="1:24">
      <c r="A150" t="s">
        <v>2348</v>
      </c>
      <c r="B150" t="s">
        <v>512</v>
      </c>
      <c r="C150" t="s">
        <v>2503</v>
      </c>
      <c r="D150" t="s">
        <v>1007</v>
      </c>
      <c r="E150" t="s">
        <v>2510</v>
      </c>
      <c r="F150" t="s">
        <v>2659</v>
      </c>
      <c r="G150">
        <v>15</v>
      </c>
      <c r="H150">
        <v>0</v>
      </c>
      <c r="I150">
        <v>0</v>
      </c>
      <c r="J150">
        <v>6</v>
      </c>
      <c r="K150">
        <v>90</v>
      </c>
      <c r="L150">
        <v>0</v>
      </c>
      <c r="M150">
        <v>0</v>
      </c>
      <c r="N150">
        <v>0</v>
      </c>
      <c r="O150">
        <v>0</v>
      </c>
      <c r="P150" s="2">
        <f>(H150 + J150) - (L150 + N150)</f>
        <v>0</v>
      </c>
      <c r="Q150" s="2">
        <f>P150 * G150</f>
        <v>0</v>
      </c>
      <c r="R150">
        <v>0</v>
      </c>
      <c r="S150" s="2">
        <f>R150 * G150</f>
        <v>0</v>
      </c>
      <c r="T150" s="2">
        <f>(H150 + J150) - (L150 + N150) - R150</f>
        <v>0</v>
      </c>
      <c r="U150" s="2">
        <f>T150 * G150</f>
        <v>0</v>
      </c>
      <c r="V150" s="2">
        <f>I150 + K150 - S150</f>
        <v>0</v>
      </c>
      <c r="W150" s="2">
        <f>M150 - V150</f>
        <v>0</v>
      </c>
      <c r="X150" s="2">
        <f>IFERROR(W150 / M150 * 100, 0)</f>
        <v>0</v>
      </c>
    </row>
    <row r="151" spans="1:24">
      <c r="A151" t="s">
        <v>2349</v>
      </c>
      <c r="B151" t="s">
        <v>512</v>
      </c>
      <c r="C151" t="s">
        <v>2504</v>
      </c>
      <c r="D151" t="s">
        <v>1007</v>
      </c>
      <c r="E151" t="s">
        <v>2510</v>
      </c>
      <c r="F151" t="s">
        <v>2660</v>
      </c>
      <c r="G151">
        <v>12.63</v>
      </c>
      <c r="H151">
        <v>0</v>
      </c>
      <c r="I151">
        <v>0</v>
      </c>
      <c r="J151">
        <v>-0.16</v>
      </c>
      <c r="K151">
        <v>-2.05</v>
      </c>
      <c r="L151">
        <v>0</v>
      </c>
      <c r="M151">
        <v>0</v>
      </c>
      <c r="N151">
        <v>0</v>
      </c>
      <c r="O151">
        <v>0</v>
      </c>
      <c r="P151" s="2">
        <f>(H151 + J151) - (L151 + N151)</f>
        <v>0</v>
      </c>
      <c r="Q151" s="2">
        <f>P151 * G151</f>
        <v>0</v>
      </c>
      <c r="R151">
        <v>0</v>
      </c>
      <c r="S151" s="2">
        <f>R151 * G151</f>
        <v>0</v>
      </c>
      <c r="T151" s="2">
        <f>(H151 + J151) - (L151 + N151) - R151</f>
        <v>0</v>
      </c>
      <c r="U151" s="2">
        <f>T151 * G151</f>
        <v>0</v>
      </c>
      <c r="V151" s="2">
        <f>I151 + K151 - S151</f>
        <v>0</v>
      </c>
      <c r="W151" s="2">
        <f>M151 - V151</f>
        <v>0</v>
      </c>
      <c r="X151" s="2">
        <f>IFERROR(W151 / M151 * 100, 0)</f>
        <v>0</v>
      </c>
    </row>
    <row r="152" spans="1:24">
      <c r="A152" t="s">
        <v>2350</v>
      </c>
      <c r="B152" t="s">
        <v>512</v>
      </c>
      <c r="C152" t="s">
        <v>2505</v>
      </c>
      <c r="D152" t="s">
        <v>1007</v>
      </c>
      <c r="E152" t="s">
        <v>2510</v>
      </c>
      <c r="F152" t="s">
        <v>2661</v>
      </c>
      <c r="G152">
        <v>7.98</v>
      </c>
      <c r="H152">
        <v>0</v>
      </c>
      <c r="I152">
        <v>0</v>
      </c>
      <c r="J152">
        <v>6.48</v>
      </c>
      <c r="K152">
        <v>51.77</v>
      </c>
      <c r="L152">
        <v>0</v>
      </c>
      <c r="M152">
        <v>0</v>
      </c>
      <c r="N152">
        <v>0</v>
      </c>
      <c r="O152">
        <v>0</v>
      </c>
      <c r="P152" s="2">
        <f>(H152 + J152) - (L152 + N152)</f>
        <v>0</v>
      </c>
      <c r="Q152" s="2">
        <f>P152 * G152</f>
        <v>0</v>
      </c>
      <c r="R152">
        <v>0</v>
      </c>
      <c r="S152" s="2">
        <f>R152 * G152</f>
        <v>0</v>
      </c>
      <c r="T152" s="2">
        <f>(H152 + J152) - (L152 + N152) - R152</f>
        <v>0</v>
      </c>
      <c r="U152" s="2">
        <f>T152 * G152</f>
        <v>0</v>
      </c>
      <c r="V152" s="2">
        <f>I152 + K152 - S152</f>
        <v>0</v>
      </c>
      <c r="W152" s="2">
        <f>M152 - V152</f>
        <v>0</v>
      </c>
      <c r="X152" s="2">
        <f>IFERROR(W152 / M152 * 100, 0)</f>
        <v>0</v>
      </c>
    </row>
    <row r="153" spans="1:24">
      <c r="A153" t="s">
        <v>2351</v>
      </c>
      <c r="B153" t="s">
        <v>512</v>
      </c>
      <c r="C153" t="s">
        <v>2506</v>
      </c>
      <c r="D153" t="s">
        <v>1007</v>
      </c>
      <c r="E153" t="s">
        <v>2510</v>
      </c>
      <c r="F153" t="s">
        <v>2662</v>
      </c>
      <c r="G153">
        <v>6.64</v>
      </c>
      <c r="H153">
        <v>0</v>
      </c>
      <c r="I153">
        <v>0</v>
      </c>
      <c r="J153">
        <v>5.89</v>
      </c>
      <c r="K153">
        <v>37.83</v>
      </c>
      <c r="L153">
        <v>0</v>
      </c>
      <c r="M153">
        <v>0</v>
      </c>
      <c r="N153">
        <v>0</v>
      </c>
      <c r="O153">
        <v>0</v>
      </c>
      <c r="P153" s="2">
        <f>(H153 + J153) - (L153 + N153)</f>
        <v>0</v>
      </c>
      <c r="Q153" s="2">
        <f>P153 * G153</f>
        <v>0</v>
      </c>
      <c r="R153">
        <v>0</v>
      </c>
      <c r="S153" s="2">
        <f>R153 * G153</f>
        <v>0</v>
      </c>
      <c r="T153" s="2">
        <f>(H153 + J153) - (L153 + N153) - R153</f>
        <v>0</v>
      </c>
      <c r="U153" s="2">
        <f>T153 * G153</f>
        <v>0</v>
      </c>
      <c r="V153" s="2">
        <f>I153 + K153 - S153</f>
        <v>0</v>
      </c>
      <c r="W153" s="2">
        <f>M153 - V153</f>
        <v>0</v>
      </c>
      <c r="X153" s="2">
        <f>IFERROR(W153 / M153 * 100, 0)</f>
        <v>0</v>
      </c>
    </row>
    <row r="154" spans="1:24">
      <c r="A154" t="s">
        <v>2352</v>
      </c>
      <c r="B154" t="s">
        <v>512</v>
      </c>
      <c r="C154" t="s">
        <v>2507</v>
      </c>
      <c r="D154" t="s">
        <v>1007</v>
      </c>
      <c r="E154" t="s">
        <v>2510</v>
      </c>
      <c r="F154" t="s">
        <v>2663</v>
      </c>
      <c r="G154">
        <v>4.64</v>
      </c>
      <c r="H154">
        <v>0</v>
      </c>
      <c r="I154">
        <v>0</v>
      </c>
      <c r="J154">
        <v>-0.18</v>
      </c>
      <c r="K154">
        <v>-0.83</v>
      </c>
      <c r="L154">
        <v>0</v>
      </c>
      <c r="M154">
        <v>0</v>
      </c>
      <c r="N154">
        <v>0</v>
      </c>
      <c r="O154">
        <v>0</v>
      </c>
      <c r="P154" s="2">
        <f>(H154 + J154) - (L154 + N154)</f>
        <v>0</v>
      </c>
      <c r="Q154" s="2">
        <f>P154 * G154</f>
        <v>0</v>
      </c>
      <c r="R154">
        <v>0</v>
      </c>
      <c r="S154" s="2">
        <f>R154 * G154</f>
        <v>0</v>
      </c>
      <c r="T154" s="2">
        <f>(H154 + J154) - (L154 + N154) - R154</f>
        <v>0</v>
      </c>
      <c r="U154" s="2">
        <f>T154 * G154</f>
        <v>0</v>
      </c>
      <c r="V154" s="2">
        <f>I154 + K154 - S154</f>
        <v>0</v>
      </c>
      <c r="W154" s="2">
        <f>M154 - V154</f>
        <v>0</v>
      </c>
      <c r="X154" s="2">
        <f>IFERROR(W154 / M154 * 100, 0)</f>
        <v>0</v>
      </c>
    </row>
    <row r="155" spans="1:24">
      <c r="A155" t="s">
        <v>2353</v>
      </c>
      <c r="B155" t="s">
        <v>512</v>
      </c>
      <c r="C155" t="s">
        <v>2508</v>
      </c>
      <c r="D155" t="s">
        <v>1007</v>
      </c>
      <c r="E155" t="s">
        <v>2510</v>
      </c>
      <c r="F155" t="s">
        <v>2664</v>
      </c>
      <c r="G155">
        <v>2.3</v>
      </c>
      <c r="H155">
        <v>0</v>
      </c>
      <c r="I155">
        <v>0</v>
      </c>
      <c r="J155">
        <v>4.02</v>
      </c>
      <c r="K155">
        <v>9.26</v>
      </c>
      <c r="L155">
        <v>0</v>
      </c>
      <c r="M155">
        <v>0</v>
      </c>
      <c r="N155">
        <v>0</v>
      </c>
      <c r="O155">
        <v>0</v>
      </c>
      <c r="P155" s="2">
        <f>(H155 + J155) - (L155 + N155)</f>
        <v>0</v>
      </c>
      <c r="Q155" s="2">
        <f>P155 * G155</f>
        <v>0</v>
      </c>
      <c r="R155">
        <v>0</v>
      </c>
      <c r="S155" s="2">
        <f>R155 * G155</f>
        <v>0</v>
      </c>
      <c r="T155" s="2">
        <f>(H155 + J155) - (L155 + N155) - R155</f>
        <v>0</v>
      </c>
      <c r="U155" s="2">
        <f>T155 * G155</f>
        <v>0</v>
      </c>
      <c r="V155" s="2">
        <f>I155 + K155 - S155</f>
        <v>0</v>
      </c>
      <c r="W155" s="2">
        <f>M155 - V155</f>
        <v>0</v>
      </c>
      <c r="X155" s="2">
        <f>IFERROR(W155 / M155 * 100, 0)</f>
        <v>0</v>
      </c>
    </row>
    <row r="156" spans="1:24">
      <c r="A156" t="s">
        <v>2354</v>
      </c>
      <c r="B156" t="s">
        <v>512</v>
      </c>
      <c r="C156" t="s">
        <v>2509</v>
      </c>
      <c r="D156" t="s">
        <v>1007</v>
      </c>
      <c r="E156" t="s">
        <v>2510</v>
      </c>
      <c r="F156" t="s">
        <v>2665</v>
      </c>
      <c r="G156">
        <v>3.74</v>
      </c>
      <c r="H156">
        <v>0</v>
      </c>
      <c r="I156">
        <v>0</v>
      </c>
      <c r="J156">
        <v>-0.02</v>
      </c>
      <c r="K156">
        <v>-0.06</v>
      </c>
      <c r="L156">
        <v>0</v>
      </c>
      <c r="M156">
        <v>0</v>
      </c>
      <c r="N156">
        <v>0</v>
      </c>
      <c r="O156">
        <v>0</v>
      </c>
      <c r="P156" s="2">
        <f>(H156 + J156) - (L156 + N156)</f>
        <v>0</v>
      </c>
      <c r="Q156" s="2">
        <f>P156 * G156</f>
        <v>0</v>
      </c>
      <c r="R156">
        <v>0</v>
      </c>
      <c r="S156" s="2">
        <f>R156 * G156</f>
        <v>0</v>
      </c>
      <c r="T156" s="2">
        <f>(H156 + J156) - (L156 + N156) - R156</f>
        <v>0</v>
      </c>
      <c r="U156" s="2">
        <f>T156 * G156</f>
        <v>0</v>
      </c>
      <c r="V156" s="2">
        <f>I156 + K156 - S156</f>
        <v>0</v>
      </c>
      <c r="W156" s="2">
        <f>M156 - V156</f>
        <v>0</v>
      </c>
      <c r="X156" s="2">
        <f>IFERROR(W156 / M156 * 100, 0)</f>
        <v>0</v>
      </c>
    </row>
    <row r="161" spans="8:24">
      <c r="H161" s="2">
        <f>SUM(H2:H156)</f>
        <v>0</v>
      </c>
      <c r="I161" s="2">
        <f>SUM(I2:I156)</f>
        <v>0</v>
      </c>
      <c r="J161" s="2">
        <f>SUM(J2:J156)</f>
        <v>0</v>
      </c>
      <c r="K161" s="2">
        <f>SUM(K2:K156)</f>
        <v>0</v>
      </c>
      <c r="L161" s="2">
        <f>SUM(L2:L156)</f>
        <v>0</v>
      </c>
      <c r="M161" s="2">
        <f>SUM(M2:M156)</f>
        <v>0</v>
      </c>
      <c r="N161" s="2">
        <f>SUM(N2:N156)</f>
        <v>0</v>
      </c>
      <c r="O161" s="2">
        <f>SUM(O2:O156)</f>
        <v>0</v>
      </c>
      <c r="P161" s="2">
        <f>SUM(P2:P156)</f>
        <v>0</v>
      </c>
      <c r="Q161" s="2">
        <f>SUM(Q2:Q156)</f>
        <v>0</v>
      </c>
      <c r="R161" s="2">
        <f>SUM(R2:R156)</f>
        <v>0</v>
      </c>
      <c r="S161" s="2">
        <f>SUM(S2:S156)</f>
        <v>0</v>
      </c>
      <c r="T161" s="2">
        <f>SUM(T2:T156)</f>
        <v>0</v>
      </c>
      <c r="U161" s="2">
        <f>SUM(U2:U156)</f>
        <v>0</v>
      </c>
      <c r="V161" s="2">
        <f>SUM(V2:V156)</f>
        <v>0</v>
      </c>
      <c r="W161" s="2">
        <f>SUM(W2:W156)</f>
        <v>0</v>
      </c>
      <c r="X161" s="2">
        <f>IFERROR((W161 / M161) * 100, 0)</f>
        <v>0</v>
      </c>
    </row>
  </sheetData>
  <conditionalFormatting sqref="A2:X156">
    <cfRule type="notContainsBlanks" dxfId="0" priority="1">
      <formula>LEN(TRIM(A2))&gt;0</formula>
    </cfRule>
  </conditionalFormatting>
  <conditionalFormatting sqref="X2:X156">
    <cfRule type="expression" dxfId="1" priority="2">
      <formula>AND($X2&lt;=0, $X2&lt;&gt;"")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99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2666</v>
      </c>
      <c r="B2" t="s">
        <v>512</v>
      </c>
      <c r="C2" t="s">
        <v>3159</v>
      </c>
      <c r="D2" t="s">
        <v>1007</v>
      </c>
      <c r="E2" t="s">
        <v>3652</v>
      </c>
      <c r="F2" t="s">
        <v>3654</v>
      </c>
      <c r="G2">
        <v>9.32</v>
      </c>
      <c r="H2">
        <v>1</v>
      </c>
      <c r="I2">
        <v>9.32</v>
      </c>
      <c r="J2">
        <v>-0.82</v>
      </c>
      <c r="K2">
        <v>-7.59</v>
      </c>
      <c r="L2">
        <v>0</v>
      </c>
      <c r="M2">
        <v>0</v>
      </c>
      <c r="N2">
        <v>0</v>
      </c>
      <c r="O2">
        <v>0</v>
      </c>
      <c r="P2" s="2">
        <f>(H2 + J2) - (L2 + N2)</f>
        <v>0</v>
      </c>
      <c r="Q2" s="2">
        <f>P2 * G2</f>
        <v>0</v>
      </c>
      <c r="R2">
        <v>1</v>
      </c>
      <c r="S2" s="2">
        <f>R2 * G2</f>
        <v>0</v>
      </c>
      <c r="T2" s="2">
        <f>(H2 + J2) - (L2 + N2) - R2</f>
        <v>0</v>
      </c>
      <c r="U2" s="2">
        <f>T2 * G2</f>
        <v>0</v>
      </c>
      <c r="V2" s="2">
        <f>I2 + K2 - S2</f>
        <v>0</v>
      </c>
      <c r="W2" s="2">
        <f>M2 - V2</f>
        <v>0</v>
      </c>
      <c r="X2" s="2">
        <f>IFERROR(W2 / M2 * 100, 0)</f>
        <v>0</v>
      </c>
    </row>
    <row r="3" spans="1:24">
      <c r="A3" t="s">
        <v>2667</v>
      </c>
      <c r="B3" t="s">
        <v>512</v>
      </c>
      <c r="C3" t="s">
        <v>3160</v>
      </c>
      <c r="D3" t="s">
        <v>1007</v>
      </c>
      <c r="E3" t="s">
        <v>3652</v>
      </c>
      <c r="F3" t="s">
        <v>3655</v>
      </c>
      <c r="G3">
        <v>14.62</v>
      </c>
      <c r="H3">
        <v>10</v>
      </c>
      <c r="I3">
        <v>150</v>
      </c>
      <c r="J3">
        <v>38.77</v>
      </c>
      <c r="K3">
        <v>563.12</v>
      </c>
      <c r="L3">
        <v>0</v>
      </c>
      <c r="M3">
        <v>0</v>
      </c>
      <c r="N3">
        <v>0</v>
      </c>
      <c r="O3">
        <v>0</v>
      </c>
      <c r="P3" s="2">
        <f>(H3 + J3) - (L3 + N3)</f>
        <v>0</v>
      </c>
      <c r="Q3" s="2">
        <f>P3 * G3</f>
        <v>0</v>
      </c>
      <c r="R3">
        <v>40</v>
      </c>
      <c r="S3" s="2">
        <f>R3 * G3</f>
        <v>0</v>
      </c>
      <c r="T3" s="2">
        <f>(H3 + J3) - (L3 + N3) - R3</f>
        <v>0</v>
      </c>
      <c r="U3" s="2">
        <f>T3 * G3</f>
        <v>0</v>
      </c>
      <c r="V3" s="2">
        <f>I3 + K3 - S3</f>
        <v>0</v>
      </c>
      <c r="W3" s="2">
        <f>M3 - V3</f>
        <v>0</v>
      </c>
      <c r="X3" s="2">
        <f>IFERROR(W3 / M3 * 100, 0)</f>
        <v>0</v>
      </c>
    </row>
    <row r="4" spans="1:24">
      <c r="A4" t="s">
        <v>2668</v>
      </c>
      <c r="B4" t="s">
        <v>512</v>
      </c>
      <c r="C4" t="s">
        <v>3161</v>
      </c>
      <c r="D4" t="s">
        <v>1007</v>
      </c>
      <c r="E4" t="s">
        <v>3652</v>
      </c>
      <c r="F4" t="s">
        <v>3656</v>
      </c>
      <c r="G4">
        <v>20.23</v>
      </c>
      <c r="H4">
        <v>2</v>
      </c>
      <c r="I4">
        <v>39.08</v>
      </c>
      <c r="J4">
        <v>15.56</v>
      </c>
      <c r="K4">
        <v>321.84</v>
      </c>
      <c r="L4">
        <v>0</v>
      </c>
      <c r="M4">
        <v>0</v>
      </c>
      <c r="N4">
        <v>0</v>
      </c>
      <c r="O4">
        <v>0</v>
      </c>
      <c r="P4" s="2">
        <f>(H4 + J4) - (L4 + N4)</f>
        <v>0</v>
      </c>
      <c r="Q4" s="2">
        <f>P4 * G4</f>
        <v>0</v>
      </c>
      <c r="R4">
        <v>3</v>
      </c>
      <c r="S4" s="2">
        <f>R4 * G4</f>
        <v>0</v>
      </c>
      <c r="T4" s="2">
        <f>(H4 + J4) - (L4 + N4) - R4</f>
        <v>0</v>
      </c>
      <c r="U4" s="2">
        <f>T4 * G4</f>
        <v>0</v>
      </c>
      <c r="V4" s="2">
        <f>I4 + K4 - S4</f>
        <v>0</v>
      </c>
      <c r="W4" s="2">
        <f>M4 - V4</f>
        <v>0</v>
      </c>
      <c r="X4" s="2">
        <f>IFERROR(W4 / M4 * 100, 0)</f>
        <v>0</v>
      </c>
    </row>
    <row r="5" spans="1:24">
      <c r="A5" t="s">
        <v>2669</v>
      </c>
      <c r="B5" t="s">
        <v>512</v>
      </c>
      <c r="C5" t="s">
        <v>3162</v>
      </c>
      <c r="D5" t="s">
        <v>1007</v>
      </c>
      <c r="E5" t="s">
        <v>3652</v>
      </c>
      <c r="F5" t="s">
        <v>3657</v>
      </c>
      <c r="G5">
        <v>5.09</v>
      </c>
      <c r="H5">
        <v>15</v>
      </c>
      <c r="I5">
        <v>83.23999999999999</v>
      </c>
      <c r="J5">
        <v>28.28</v>
      </c>
      <c r="K5">
        <v>138.23</v>
      </c>
      <c r="L5">
        <v>0</v>
      </c>
      <c r="M5">
        <v>0</v>
      </c>
      <c r="N5">
        <v>0</v>
      </c>
      <c r="O5">
        <v>0</v>
      </c>
      <c r="P5" s="2">
        <f>(H5 + J5) - (L5 + N5)</f>
        <v>0</v>
      </c>
      <c r="Q5" s="2">
        <f>P5 * G5</f>
        <v>0</v>
      </c>
      <c r="R5">
        <v>20</v>
      </c>
      <c r="S5" s="2">
        <f>R5 * G5</f>
        <v>0</v>
      </c>
      <c r="T5" s="2">
        <f>(H5 + J5) - (L5 + N5) - R5</f>
        <v>0</v>
      </c>
      <c r="U5" s="2">
        <f>T5 * G5</f>
        <v>0</v>
      </c>
      <c r="V5" s="2">
        <f>I5 + K5 - S5</f>
        <v>0</v>
      </c>
      <c r="W5" s="2">
        <f>M5 - V5</f>
        <v>0</v>
      </c>
      <c r="X5" s="2">
        <f>IFERROR(W5 / M5 * 100, 0)</f>
        <v>0</v>
      </c>
    </row>
    <row r="6" spans="1:24">
      <c r="A6" t="s">
        <v>2670</v>
      </c>
      <c r="B6" t="s">
        <v>512</v>
      </c>
      <c r="C6" t="s">
        <v>3163</v>
      </c>
      <c r="D6" t="s">
        <v>1007</v>
      </c>
      <c r="E6" t="s">
        <v>3652</v>
      </c>
      <c r="F6" t="s">
        <v>3658</v>
      </c>
      <c r="G6">
        <v>9.81</v>
      </c>
      <c r="H6">
        <v>1</v>
      </c>
      <c r="I6">
        <v>10.05</v>
      </c>
      <c r="J6">
        <v>0.15</v>
      </c>
      <c r="K6">
        <v>1.3</v>
      </c>
      <c r="L6">
        <v>0</v>
      </c>
      <c r="M6">
        <v>0</v>
      </c>
      <c r="N6">
        <v>0</v>
      </c>
      <c r="O6">
        <v>0</v>
      </c>
      <c r="P6" s="2">
        <f>(H6 + J6) - (L6 + N6)</f>
        <v>0</v>
      </c>
      <c r="Q6" s="2">
        <f>P6 * G6</f>
        <v>0</v>
      </c>
      <c r="R6">
        <v>1</v>
      </c>
      <c r="S6" s="2">
        <f>R6 * G6</f>
        <v>0</v>
      </c>
      <c r="T6" s="2">
        <f>(H6 + J6) - (L6 + N6) - R6</f>
        <v>0</v>
      </c>
      <c r="U6" s="2">
        <f>T6 * G6</f>
        <v>0</v>
      </c>
      <c r="V6" s="2">
        <f>I6 + K6 - S6</f>
        <v>0</v>
      </c>
      <c r="W6" s="2">
        <f>M6 - V6</f>
        <v>0</v>
      </c>
      <c r="X6" s="2">
        <f>IFERROR(W6 / M6 * 100, 0)</f>
        <v>0</v>
      </c>
    </row>
    <row r="7" spans="1:24">
      <c r="A7" t="s">
        <v>2671</v>
      </c>
      <c r="B7" t="s">
        <v>512</v>
      </c>
      <c r="C7" t="s">
        <v>3164</v>
      </c>
      <c r="D7" t="s">
        <v>1007</v>
      </c>
      <c r="E7" t="s">
        <v>3652</v>
      </c>
      <c r="F7" t="s">
        <v>3659</v>
      </c>
      <c r="G7">
        <v>53</v>
      </c>
      <c r="H7">
        <v>1</v>
      </c>
      <c r="I7">
        <v>53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s="2">
        <f>(H7 + J7) - (L7 + N7)</f>
        <v>0</v>
      </c>
      <c r="Q7" s="2">
        <f>P7 * G7</f>
        <v>0</v>
      </c>
      <c r="R7">
        <v>0</v>
      </c>
      <c r="S7" s="2">
        <f>R7 * G7</f>
        <v>0</v>
      </c>
      <c r="T7" s="2">
        <f>(H7 + J7) - (L7 + N7) - R7</f>
        <v>0</v>
      </c>
      <c r="U7" s="2">
        <f>T7 * G7</f>
        <v>0</v>
      </c>
      <c r="V7" s="2">
        <f>I7 + K7 - S7</f>
        <v>0</v>
      </c>
      <c r="W7" s="2">
        <f>M7 - V7</f>
        <v>0</v>
      </c>
      <c r="X7" s="2">
        <f>IFERROR(W7 / M7 * 100, 0)</f>
        <v>0</v>
      </c>
    </row>
    <row r="8" spans="1:24">
      <c r="A8" t="s">
        <v>2672</v>
      </c>
      <c r="B8" t="s">
        <v>512</v>
      </c>
      <c r="C8" t="s">
        <v>3165</v>
      </c>
      <c r="D8" t="s">
        <v>1007</v>
      </c>
      <c r="E8" t="s">
        <v>3652</v>
      </c>
      <c r="F8" t="s">
        <v>3660</v>
      </c>
      <c r="G8">
        <v>16.71</v>
      </c>
      <c r="H8">
        <v>1</v>
      </c>
      <c r="I8">
        <v>28.09</v>
      </c>
      <c r="J8">
        <v>10.35</v>
      </c>
      <c r="K8">
        <v>167.85</v>
      </c>
      <c r="L8">
        <v>0</v>
      </c>
      <c r="M8">
        <v>0</v>
      </c>
      <c r="N8">
        <v>0</v>
      </c>
      <c r="O8">
        <v>0</v>
      </c>
      <c r="P8" s="2">
        <f>(H8 + J8) - (L8 + N8)</f>
        <v>0</v>
      </c>
      <c r="Q8" s="2">
        <f>P8 * G8</f>
        <v>0</v>
      </c>
      <c r="R8">
        <v>20</v>
      </c>
      <c r="S8" s="2">
        <f>R8 * G8</f>
        <v>0</v>
      </c>
      <c r="T8" s="2">
        <f>(H8 + J8) - (L8 + N8) - R8</f>
        <v>0</v>
      </c>
      <c r="U8" s="2">
        <f>T8 * G8</f>
        <v>0</v>
      </c>
      <c r="V8" s="2">
        <f>I8 + K8 - S8</f>
        <v>0</v>
      </c>
      <c r="W8" s="2">
        <f>M8 - V8</f>
        <v>0</v>
      </c>
      <c r="X8" s="2">
        <f>IFERROR(W8 / M8 * 100, 0)</f>
        <v>0</v>
      </c>
    </row>
    <row r="9" spans="1:24">
      <c r="A9" t="s">
        <v>2673</v>
      </c>
      <c r="B9" t="s">
        <v>512</v>
      </c>
      <c r="C9" t="s">
        <v>3166</v>
      </c>
      <c r="D9" t="s">
        <v>1008</v>
      </c>
      <c r="E9" t="s">
        <v>3652</v>
      </c>
      <c r="F9" t="s">
        <v>3661</v>
      </c>
      <c r="G9">
        <v>0.8</v>
      </c>
      <c r="H9">
        <v>10</v>
      </c>
      <c r="I9">
        <v>7.92</v>
      </c>
      <c r="J9">
        <v>17.73</v>
      </c>
      <c r="K9">
        <v>14.22</v>
      </c>
      <c r="L9">
        <v>0</v>
      </c>
      <c r="M9">
        <v>0</v>
      </c>
      <c r="N9">
        <v>0</v>
      </c>
      <c r="O9">
        <v>0</v>
      </c>
      <c r="P9" s="2">
        <f>(H9 + J9) - (L9 + N9)</f>
        <v>0</v>
      </c>
      <c r="Q9" s="2">
        <f>P9 * G9</f>
        <v>0</v>
      </c>
      <c r="R9">
        <v>5</v>
      </c>
      <c r="S9" s="2">
        <f>R9 * G9</f>
        <v>0</v>
      </c>
      <c r="T9" s="2">
        <f>(H9 + J9) - (L9 + N9) - R9</f>
        <v>0</v>
      </c>
      <c r="U9" s="2">
        <f>T9 * G9</f>
        <v>0</v>
      </c>
      <c r="V9" s="2">
        <f>I9 + K9 - S9</f>
        <v>0</v>
      </c>
      <c r="W9" s="2">
        <f>M9 - V9</f>
        <v>0</v>
      </c>
      <c r="X9" s="2">
        <f>IFERROR(W9 / M9 * 100, 0)</f>
        <v>0</v>
      </c>
    </row>
    <row r="10" spans="1:24">
      <c r="A10" t="s">
        <v>2674</v>
      </c>
      <c r="B10" t="s">
        <v>512</v>
      </c>
      <c r="C10" t="s">
        <v>3167</v>
      </c>
      <c r="D10" t="s">
        <v>1007</v>
      </c>
      <c r="E10" t="s">
        <v>3652</v>
      </c>
      <c r="F10" t="s">
        <v>3662</v>
      </c>
      <c r="G10">
        <v>3.47</v>
      </c>
      <c r="H10">
        <v>1</v>
      </c>
      <c r="I10">
        <v>3.84</v>
      </c>
      <c r="J10">
        <v>2.72</v>
      </c>
      <c r="K10">
        <v>8.289999999999999</v>
      </c>
      <c r="L10">
        <v>0</v>
      </c>
      <c r="M10">
        <v>0</v>
      </c>
      <c r="N10">
        <v>0</v>
      </c>
      <c r="O10">
        <v>0</v>
      </c>
      <c r="P10" s="2">
        <f>(H10 + J10) - (L10 + N10)</f>
        <v>0</v>
      </c>
      <c r="Q10" s="2">
        <f>P10 * G10</f>
        <v>0</v>
      </c>
      <c r="R10">
        <v>1</v>
      </c>
      <c r="S10" s="2">
        <f>R10 * G10</f>
        <v>0</v>
      </c>
      <c r="T10" s="2">
        <f>(H10 + J10) - (L10 + N10) - R10</f>
        <v>0</v>
      </c>
      <c r="U10" s="2">
        <f>T10 * G10</f>
        <v>0</v>
      </c>
      <c r="V10" s="2">
        <f>I10 + K10 - S10</f>
        <v>0</v>
      </c>
      <c r="W10" s="2">
        <f>M10 - V10</f>
        <v>0</v>
      </c>
      <c r="X10" s="2">
        <f>IFERROR(W10 / M10 * 100, 0)</f>
        <v>0</v>
      </c>
    </row>
    <row r="11" spans="1:24">
      <c r="A11" t="s">
        <v>2675</v>
      </c>
      <c r="B11" t="s">
        <v>512</v>
      </c>
      <c r="C11" t="s">
        <v>3168</v>
      </c>
      <c r="D11" t="s">
        <v>1007</v>
      </c>
      <c r="E11" t="s">
        <v>3652</v>
      </c>
      <c r="F11" t="s">
        <v>3663</v>
      </c>
      <c r="G11">
        <v>13.28</v>
      </c>
      <c r="H11">
        <v>1</v>
      </c>
      <c r="I11">
        <v>13.28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s="2">
        <f>(H11 + J11) - (L11 + N11)</f>
        <v>0</v>
      </c>
      <c r="Q11" s="2">
        <f>P11 * G11</f>
        <v>0</v>
      </c>
      <c r="R11">
        <v>1</v>
      </c>
      <c r="S11" s="2">
        <f>R11 * G11</f>
        <v>0</v>
      </c>
      <c r="T11" s="2">
        <f>(H11 + J11) - (L11 + N11) - R11</f>
        <v>0</v>
      </c>
      <c r="U11" s="2">
        <f>T11 * G11</f>
        <v>0</v>
      </c>
      <c r="V11" s="2">
        <f>I11 + K11 - S11</f>
        <v>0</v>
      </c>
      <c r="W11" s="2">
        <f>M11 - V11</f>
        <v>0</v>
      </c>
      <c r="X11" s="2">
        <f>IFERROR(W11 / M11 * 100, 0)</f>
        <v>0</v>
      </c>
    </row>
    <row r="12" spans="1:24">
      <c r="A12" t="s">
        <v>2676</v>
      </c>
      <c r="B12" t="s">
        <v>512</v>
      </c>
      <c r="C12" t="s">
        <v>3169</v>
      </c>
      <c r="D12" t="s">
        <v>1007</v>
      </c>
      <c r="E12" t="s">
        <v>3652</v>
      </c>
      <c r="F12" t="s">
        <v>3664</v>
      </c>
      <c r="G12">
        <v>10</v>
      </c>
      <c r="H12">
        <v>0</v>
      </c>
      <c r="I12">
        <v>0</v>
      </c>
      <c r="J12">
        <v>-0.01</v>
      </c>
      <c r="K12">
        <v>-0.08</v>
      </c>
      <c r="L12">
        <v>0</v>
      </c>
      <c r="M12">
        <v>0</v>
      </c>
      <c r="N12">
        <v>0</v>
      </c>
      <c r="O12">
        <v>0</v>
      </c>
      <c r="P12" s="2">
        <f>(H12 + J12) - (L12 + N12)</f>
        <v>0</v>
      </c>
      <c r="Q12" s="2">
        <f>P12 * G12</f>
        <v>0</v>
      </c>
      <c r="R12">
        <v>0</v>
      </c>
      <c r="S12" s="2">
        <f>R12 * G12</f>
        <v>0</v>
      </c>
      <c r="T12" s="2">
        <f>(H12 + J12) - (L12 + N12) - R12</f>
        <v>0</v>
      </c>
      <c r="U12" s="2">
        <f>T12 * G12</f>
        <v>0</v>
      </c>
      <c r="V12" s="2">
        <f>I12 + K12 - S12</f>
        <v>0</v>
      </c>
      <c r="W12" s="2">
        <f>M12 - V12</f>
        <v>0</v>
      </c>
      <c r="X12" s="2">
        <f>IFERROR(W12 / M12 * 100, 0)</f>
        <v>0</v>
      </c>
    </row>
    <row r="13" spans="1:24">
      <c r="A13" t="s">
        <v>2677</v>
      </c>
      <c r="B13" t="s">
        <v>512</v>
      </c>
      <c r="C13" t="s">
        <v>3170</v>
      </c>
      <c r="D13" t="s">
        <v>1007</v>
      </c>
      <c r="E13" t="s">
        <v>3652</v>
      </c>
      <c r="F13" t="s">
        <v>3665</v>
      </c>
      <c r="G13">
        <v>1.97</v>
      </c>
      <c r="H13">
        <v>1</v>
      </c>
      <c r="I13">
        <v>3.31</v>
      </c>
      <c r="J13">
        <v>9.51</v>
      </c>
      <c r="K13">
        <v>17.21</v>
      </c>
      <c r="L13">
        <v>0</v>
      </c>
      <c r="M13">
        <v>0</v>
      </c>
      <c r="N13">
        <v>0</v>
      </c>
      <c r="O13">
        <v>0</v>
      </c>
      <c r="P13" s="2">
        <f>(H13 + J13) - (L13 + N13)</f>
        <v>0</v>
      </c>
      <c r="Q13" s="2">
        <f>P13 * G13</f>
        <v>0</v>
      </c>
      <c r="R13">
        <v>1</v>
      </c>
      <c r="S13" s="2">
        <f>R13 * G13</f>
        <v>0</v>
      </c>
      <c r="T13" s="2">
        <f>(H13 + J13) - (L13 + N13) - R13</f>
        <v>0</v>
      </c>
      <c r="U13" s="2">
        <f>T13 * G13</f>
        <v>0</v>
      </c>
      <c r="V13" s="2">
        <f>I13 + K13 - S13</f>
        <v>0</v>
      </c>
      <c r="W13" s="2">
        <f>M13 - V13</f>
        <v>0</v>
      </c>
      <c r="X13" s="2">
        <f>IFERROR(W13 / M13 * 100, 0)</f>
        <v>0</v>
      </c>
    </row>
    <row r="14" spans="1:24">
      <c r="A14" t="s">
        <v>2678</v>
      </c>
      <c r="B14" t="s">
        <v>512</v>
      </c>
      <c r="C14" t="s">
        <v>3171</v>
      </c>
      <c r="D14" t="s">
        <v>1007</v>
      </c>
      <c r="E14" t="s">
        <v>3652</v>
      </c>
      <c r="F14" t="s">
        <v>3666</v>
      </c>
      <c r="G14">
        <v>11</v>
      </c>
      <c r="H14">
        <v>0</v>
      </c>
      <c r="I14">
        <v>0</v>
      </c>
      <c r="J14">
        <v>-0.14</v>
      </c>
      <c r="K14">
        <v>-1.56</v>
      </c>
      <c r="L14">
        <v>0</v>
      </c>
      <c r="M14">
        <v>0</v>
      </c>
      <c r="N14">
        <v>0</v>
      </c>
      <c r="O14">
        <v>0</v>
      </c>
      <c r="P14" s="2">
        <f>(H14 + J14) - (L14 + N14)</f>
        <v>0</v>
      </c>
      <c r="Q14" s="2">
        <f>P14 * G14</f>
        <v>0</v>
      </c>
      <c r="R14">
        <v>0</v>
      </c>
      <c r="S14" s="2">
        <f>R14 * G14</f>
        <v>0</v>
      </c>
      <c r="T14" s="2">
        <f>(H14 + J14) - (L14 + N14) - R14</f>
        <v>0</v>
      </c>
      <c r="U14" s="2">
        <f>T14 * G14</f>
        <v>0</v>
      </c>
      <c r="V14" s="2">
        <f>I14 + K14 - S14</f>
        <v>0</v>
      </c>
      <c r="W14" s="2">
        <f>M14 - V14</f>
        <v>0</v>
      </c>
      <c r="X14" s="2">
        <f>IFERROR(W14 / M14 * 100, 0)</f>
        <v>0</v>
      </c>
    </row>
    <row r="15" spans="1:24">
      <c r="A15" t="s">
        <v>2679</v>
      </c>
      <c r="B15" t="s">
        <v>512</v>
      </c>
      <c r="C15" t="s">
        <v>3172</v>
      </c>
      <c r="D15" t="s">
        <v>1007</v>
      </c>
      <c r="E15" t="s">
        <v>3652</v>
      </c>
      <c r="F15" t="s">
        <v>3667</v>
      </c>
      <c r="G15">
        <v>9.9</v>
      </c>
      <c r="H15">
        <v>1</v>
      </c>
      <c r="I15">
        <v>9.9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s="2">
        <f>(H15 + J15) - (L15 + N15)</f>
        <v>0</v>
      </c>
      <c r="Q15" s="2">
        <f>P15 * G15</f>
        <v>0</v>
      </c>
      <c r="R15">
        <v>1</v>
      </c>
      <c r="S15" s="2">
        <f>R15 * G15</f>
        <v>0</v>
      </c>
      <c r="T15" s="2">
        <f>(H15 + J15) - (L15 + N15) - R15</f>
        <v>0</v>
      </c>
      <c r="U15" s="2">
        <f>T15 * G15</f>
        <v>0</v>
      </c>
      <c r="V15" s="2">
        <f>I15 + K15 - S15</f>
        <v>0</v>
      </c>
      <c r="W15" s="2">
        <f>M15 - V15</f>
        <v>0</v>
      </c>
      <c r="X15" s="2">
        <f>IFERROR(W15 / M15 * 100, 0)</f>
        <v>0</v>
      </c>
    </row>
    <row r="16" spans="1:24">
      <c r="A16" t="s">
        <v>2680</v>
      </c>
      <c r="B16" t="s">
        <v>512</v>
      </c>
      <c r="C16" t="s">
        <v>3173</v>
      </c>
      <c r="D16" t="s">
        <v>1007</v>
      </c>
      <c r="E16" t="s">
        <v>3652</v>
      </c>
      <c r="F16" t="s">
        <v>3668</v>
      </c>
      <c r="G16">
        <v>9.470000000000001</v>
      </c>
      <c r="H16">
        <v>30</v>
      </c>
      <c r="I16">
        <v>298.73</v>
      </c>
      <c r="J16">
        <v>262.9</v>
      </c>
      <c r="K16">
        <v>2413.5</v>
      </c>
      <c r="L16">
        <v>0</v>
      </c>
      <c r="M16">
        <v>0</v>
      </c>
      <c r="N16">
        <v>0</v>
      </c>
      <c r="O16">
        <v>0</v>
      </c>
      <c r="P16" s="2">
        <f>(H16 + J16) - (L16 + N16)</f>
        <v>0</v>
      </c>
      <c r="Q16" s="2">
        <f>P16 * G16</f>
        <v>0</v>
      </c>
      <c r="R16">
        <v>30</v>
      </c>
      <c r="S16" s="2">
        <f>R16 * G16</f>
        <v>0</v>
      </c>
      <c r="T16" s="2">
        <f>(H16 + J16) - (L16 + N16) - R16</f>
        <v>0</v>
      </c>
      <c r="U16" s="2">
        <f>T16 * G16</f>
        <v>0</v>
      </c>
      <c r="V16" s="2">
        <f>I16 + K16 - S16</f>
        <v>0</v>
      </c>
      <c r="W16" s="2">
        <f>M16 - V16</f>
        <v>0</v>
      </c>
      <c r="X16" s="2">
        <f>IFERROR(W16 / M16 * 100, 0)</f>
        <v>0</v>
      </c>
    </row>
    <row r="17" spans="1:24">
      <c r="A17" t="s">
        <v>2681</v>
      </c>
      <c r="B17" t="s">
        <v>512</v>
      </c>
      <c r="C17" t="s">
        <v>3174</v>
      </c>
      <c r="D17" t="s">
        <v>1007</v>
      </c>
      <c r="E17" t="s">
        <v>3652</v>
      </c>
      <c r="F17" t="s">
        <v>3669</v>
      </c>
      <c r="G17">
        <v>5.5</v>
      </c>
      <c r="H17">
        <v>0</v>
      </c>
      <c r="I17">
        <v>0</v>
      </c>
      <c r="J17">
        <v>4</v>
      </c>
      <c r="K17">
        <v>22</v>
      </c>
      <c r="L17">
        <v>0</v>
      </c>
      <c r="M17">
        <v>0</v>
      </c>
      <c r="N17">
        <v>0</v>
      </c>
      <c r="O17">
        <v>0</v>
      </c>
      <c r="P17" s="2">
        <f>(H17 + J17) - (L17 + N17)</f>
        <v>0</v>
      </c>
      <c r="Q17" s="2">
        <f>P17 * G17</f>
        <v>0</v>
      </c>
      <c r="R17">
        <v>0</v>
      </c>
      <c r="S17" s="2">
        <f>R17 * G17</f>
        <v>0</v>
      </c>
      <c r="T17" s="2">
        <f>(H17 + J17) - (L17 + N17) - R17</f>
        <v>0</v>
      </c>
      <c r="U17" s="2">
        <f>T17 * G17</f>
        <v>0</v>
      </c>
      <c r="V17" s="2">
        <f>I17 + K17 - S17</f>
        <v>0</v>
      </c>
      <c r="W17" s="2">
        <f>M17 - V17</f>
        <v>0</v>
      </c>
      <c r="X17" s="2">
        <f>IFERROR(W17 / M17 * 100, 0)</f>
        <v>0</v>
      </c>
    </row>
    <row r="18" spans="1:24">
      <c r="A18" t="s">
        <v>2682</v>
      </c>
      <c r="B18" t="s">
        <v>512</v>
      </c>
      <c r="C18" t="s">
        <v>3175</v>
      </c>
      <c r="D18" t="s">
        <v>1007</v>
      </c>
      <c r="E18" t="s">
        <v>3652</v>
      </c>
      <c r="F18" t="s">
        <v>3670</v>
      </c>
      <c r="G18">
        <v>29.63</v>
      </c>
      <c r="H18">
        <v>0</v>
      </c>
      <c r="I18">
        <v>0</v>
      </c>
      <c r="J18">
        <v>12.28</v>
      </c>
      <c r="K18">
        <v>363.78</v>
      </c>
      <c r="L18">
        <v>0</v>
      </c>
      <c r="M18">
        <v>0</v>
      </c>
      <c r="N18">
        <v>0</v>
      </c>
      <c r="O18">
        <v>0</v>
      </c>
      <c r="P18" s="2">
        <f>(H18 + J18) - (L18 + N18)</f>
        <v>0</v>
      </c>
      <c r="Q18" s="2">
        <f>P18 * G18</f>
        <v>0</v>
      </c>
      <c r="R18">
        <v>0</v>
      </c>
      <c r="S18" s="2">
        <f>R18 * G18</f>
        <v>0</v>
      </c>
      <c r="T18" s="2">
        <f>(H18 + J18) - (L18 + N18) - R18</f>
        <v>0</v>
      </c>
      <c r="U18" s="2">
        <f>T18 * G18</f>
        <v>0</v>
      </c>
      <c r="V18" s="2">
        <f>I18 + K18 - S18</f>
        <v>0</v>
      </c>
      <c r="W18" s="2">
        <f>M18 - V18</f>
        <v>0</v>
      </c>
      <c r="X18" s="2">
        <f>IFERROR(W18 / M18 * 100, 0)</f>
        <v>0</v>
      </c>
    </row>
    <row r="19" spans="1:24">
      <c r="A19" t="s">
        <v>2683</v>
      </c>
      <c r="B19" t="s">
        <v>512</v>
      </c>
      <c r="C19" t="s">
        <v>3176</v>
      </c>
      <c r="D19" t="s">
        <v>1007</v>
      </c>
      <c r="E19" t="s">
        <v>3652</v>
      </c>
      <c r="F19" t="s">
        <v>3671</v>
      </c>
      <c r="G19">
        <v>14.17</v>
      </c>
      <c r="H19">
        <v>1</v>
      </c>
      <c r="I19">
        <v>13.29</v>
      </c>
      <c r="J19">
        <v>1.32</v>
      </c>
      <c r="K19">
        <v>20.46</v>
      </c>
      <c r="L19">
        <v>0</v>
      </c>
      <c r="M19">
        <v>0</v>
      </c>
      <c r="N19">
        <v>0</v>
      </c>
      <c r="O19">
        <v>0</v>
      </c>
      <c r="P19" s="2">
        <f>(H19 + J19) - (L19 + N19)</f>
        <v>0</v>
      </c>
      <c r="Q19" s="2">
        <f>P19 * G19</f>
        <v>0</v>
      </c>
      <c r="R19">
        <v>1</v>
      </c>
      <c r="S19" s="2">
        <f>R19 * G19</f>
        <v>0</v>
      </c>
      <c r="T19" s="2">
        <f>(H19 + J19) - (L19 + N19) - R19</f>
        <v>0</v>
      </c>
      <c r="U19" s="2">
        <f>T19 * G19</f>
        <v>0</v>
      </c>
      <c r="V19" s="2">
        <f>I19 + K19 - S19</f>
        <v>0</v>
      </c>
      <c r="W19" s="2">
        <f>M19 - V19</f>
        <v>0</v>
      </c>
      <c r="X19" s="2">
        <f>IFERROR(W19 / M19 * 100, 0)</f>
        <v>0</v>
      </c>
    </row>
    <row r="20" spans="1:24">
      <c r="A20" t="s">
        <v>2684</v>
      </c>
      <c r="B20" t="s">
        <v>512</v>
      </c>
      <c r="C20" t="s">
        <v>3177</v>
      </c>
      <c r="D20" t="s">
        <v>1007</v>
      </c>
      <c r="E20" t="s">
        <v>3652</v>
      </c>
      <c r="F20" t="s">
        <v>3672</v>
      </c>
      <c r="G20">
        <v>7.8</v>
      </c>
      <c r="H20">
        <v>1</v>
      </c>
      <c r="I20">
        <v>7.8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s="2">
        <f>(H20 + J20) - (L20 + N20)</f>
        <v>0</v>
      </c>
      <c r="Q20" s="2">
        <f>P20 * G20</f>
        <v>0</v>
      </c>
      <c r="R20">
        <v>1</v>
      </c>
      <c r="S20" s="2">
        <f>R20 * G20</f>
        <v>0</v>
      </c>
      <c r="T20" s="2">
        <f>(H20 + J20) - (L20 + N20) - R20</f>
        <v>0</v>
      </c>
      <c r="U20" s="2">
        <f>T20 * G20</f>
        <v>0</v>
      </c>
      <c r="V20" s="2">
        <f>I20 + K20 - S20</f>
        <v>0</v>
      </c>
      <c r="W20" s="2">
        <f>M20 - V20</f>
        <v>0</v>
      </c>
      <c r="X20" s="2">
        <f>IFERROR(W20 / M20 * 100, 0)</f>
        <v>0</v>
      </c>
    </row>
    <row r="21" spans="1:24">
      <c r="A21" t="s">
        <v>2685</v>
      </c>
      <c r="B21" t="s">
        <v>512</v>
      </c>
      <c r="C21" t="s">
        <v>3178</v>
      </c>
      <c r="D21" t="s">
        <v>1007</v>
      </c>
      <c r="E21" t="s">
        <v>3652</v>
      </c>
      <c r="F21" t="s">
        <v>3673</v>
      </c>
      <c r="G21">
        <v>4.81</v>
      </c>
      <c r="H21">
        <v>4</v>
      </c>
      <c r="I21">
        <v>14.64</v>
      </c>
      <c r="J21">
        <v>-16.65</v>
      </c>
      <c r="K21">
        <v>-46.18</v>
      </c>
      <c r="L21">
        <v>0</v>
      </c>
      <c r="M21">
        <v>0</v>
      </c>
      <c r="N21">
        <v>0</v>
      </c>
      <c r="O21">
        <v>0</v>
      </c>
      <c r="P21" s="2">
        <f>(H21 + J21) - (L21 + N21)</f>
        <v>0</v>
      </c>
      <c r="Q21" s="2">
        <f>P21 * G21</f>
        <v>0</v>
      </c>
      <c r="R21">
        <v>4</v>
      </c>
      <c r="S21" s="2">
        <f>R21 * G21</f>
        <v>0</v>
      </c>
      <c r="T21" s="2">
        <f>(H21 + J21) - (L21 + N21) - R21</f>
        <v>0</v>
      </c>
      <c r="U21" s="2">
        <f>T21 * G21</f>
        <v>0</v>
      </c>
      <c r="V21" s="2">
        <f>I21 + K21 - S21</f>
        <v>0</v>
      </c>
      <c r="W21" s="2">
        <f>M21 - V21</f>
        <v>0</v>
      </c>
      <c r="X21" s="2">
        <f>IFERROR(W21 / M21 * 100, 0)</f>
        <v>0</v>
      </c>
    </row>
    <row r="22" spans="1:24">
      <c r="A22" t="s">
        <v>2686</v>
      </c>
      <c r="B22" t="s">
        <v>512</v>
      </c>
      <c r="C22" t="s">
        <v>3179</v>
      </c>
      <c r="D22" t="s">
        <v>1007</v>
      </c>
      <c r="E22" t="s">
        <v>3652</v>
      </c>
      <c r="F22" t="s">
        <v>3674</v>
      </c>
      <c r="G22">
        <v>4.33</v>
      </c>
      <c r="H22">
        <v>0</v>
      </c>
      <c r="I22">
        <v>0</v>
      </c>
      <c r="J22">
        <v>165.45</v>
      </c>
      <c r="K22">
        <v>637.17</v>
      </c>
      <c r="L22">
        <v>0</v>
      </c>
      <c r="M22">
        <v>0</v>
      </c>
      <c r="N22">
        <v>0</v>
      </c>
      <c r="O22">
        <v>0</v>
      </c>
      <c r="P22" s="2">
        <f>(H22 + J22) - (L22 + N22)</f>
        <v>0</v>
      </c>
      <c r="Q22" s="2">
        <f>P22 * G22</f>
        <v>0</v>
      </c>
      <c r="R22">
        <v>0</v>
      </c>
      <c r="S22" s="2">
        <f>R22 * G22</f>
        <v>0</v>
      </c>
      <c r="T22" s="2">
        <f>(H22 + J22) - (L22 + N22) - R22</f>
        <v>0</v>
      </c>
      <c r="U22" s="2">
        <f>T22 * G22</f>
        <v>0</v>
      </c>
      <c r="V22" s="2">
        <f>I22 + K22 - S22</f>
        <v>0</v>
      </c>
      <c r="W22" s="2">
        <f>M22 - V22</f>
        <v>0</v>
      </c>
      <c r="X22" s="2">
        <f>IFERROR(W22 / M22 * 100, 0)</f>
        <v>0</v>
      </c>
    </row>
    <row r="23" spans="1:24">
      <c r="A23" t="s">
        <v>2687</v>
      </c>
      <c r="B23" t="s">
        <v>512</v>
      </c>
      <c r="C23" t="s">
        <v>3180</v>
      </c>
      <c r="D23" t="s">
        <v>1007</v>
      </c>
      <c r="E23" t="s">
        <v>3652</v>
      </c>
      <c r="F23" t="s">
        <v>3675</v>
      </c>
      <c r="G23">
        <v>23.12</v>
      </c>
      <c r="H23">
        <v>4</v>
      </c>
      <c r="I23">
        <v>92.45999999999999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s="2">
        <f>(H23 + J23) - (L23 + N23)</f>
        <v>0</v>
      </c>
      <c r="Q23" s="2">
        <f>P23 * G23</f>
        <v>0</v>
      </c>
      <c r="R23">
        <v>1</v>
      </c>
      <c r="S23" s="2">
        <f>R23 * G23</f>
        <v>0</v>
      </c>
      <c r="T23" s="2">
        <f>(H23 + J23) - (L23 + N23) - R23</f>
        <v>0</v>
      </c>
      <c r="U23" s="2">
        <f>T23 * G23</f>
        <v>0</v>
      </c>
      <c r="V23" s="2">
        <f>I23 + K23 - S23</f>
        <v>0</v>
      </c>
      <c r="W23" s="2">
        <f>M23 - V23</f>
        <v>0</v>
      </c>
      <c r="X23" s="2">
        <f>IFERROR(W23 / M23 * 100, 0)</f>
        <v>0</v>
      </c>
    </row>
    <row r="24" spans="1:24">
      <c r="A24" t="s">
        <v>2688</v>
      </c>
      <c r="B24" t="s">
        <v>512</v>
      </c>
      <c r="C24" t="s">
        <v>3181</v>
      </c>
      <c r="D24" t="s">
        <v>1007</v>
      </c>
      <c r="E24" t="s">
        <v>3652</v>
      </c>
      <c r="F24" t="s">
        <v>3676</v>
      </c>
      <c r="G24">
        <v>41</v>
      </c>
      <c r="H24">
        <v>0</v>
      </c>
      <c r="I24">
        <v>0</v>
      </c>
      <c r="J24">
        <v>-2.05</v>
      </c>
      <c r="K24">
        <v>-84.05</v>
      </c>
      <c r="L24">
        <v>0</v>
      </c>
      <c r="M24">
        <v>0</v>
      </c>
      <c r="N24">
        <v>0</v>
      </c>
      <c r="O24">
        <v>0</v>
      </c>
      <c r="P24" s="2">
        <f>(H24 + J24) - (L24 + N24)</f>
        <v>0</v>
      </c>
      <c r="Q24" s="2">
        <f>P24 * G24</f>
        <v>0</v>
      </c>
      <c r="R24">
        <v>0</v>
      </c>
      <c r="S24" s="2">
        <f>R24 * G24</f>
        <v>0</v>
      </c>
      <c r="T24" s="2">
        <f>(H24 + J24) - (L24 + N24) - R24</f>
        <v>0</v>
      </c>
      <c r="U24" s="2">
        <f>T24 * G24</f>
        <v>0</v>
      </c>
      <c r="V24" s="2">
        <f>I24 + K24 - S24</f>
        <v>0</v>
      </c>
      <c r="W24" s="2">
        <f>M24 - V24</f>
        <v>0</v>
      </c>
      <c r="X24" s="2">
        <f>IFERROR(W24 / M24 * 100, 0)</f>
        <v>0</v>
      </c>
    </row>
    <row r="25" spans="1:24">
      <c r="A25" t="s">
        <v>2689</v>
      </c>
      <c r="B25" t="s">
        <v>512</v>
      </c>
      <c r="C25" t="s">
        <v>3182</v>
      </c>
      <c r="D25" t="s">
        <v>1007</v>
      </c>
      <c r="E25" t="s">
        <v>3652</v>
      </c>
      <c r="F25" t="s">
        <v>3677</v>
      </c>
      <c r="G25">
        <v>22.77</v>
      </c>
      <c r="H25">
        <v>1</v>
      </c>
      <c r="I25">
        <v>22.77</v>
      </c>
      <c r="J25">
        <v>3</v>
      </c>
      <c r="K25">
        <v>68.31</v>
      </c>
      <c r="L25">
        <v>0</v>
      </c>
      <c r="M25">
        <v>0</v>
      </c>
      <c r="N25">
        <v>0</v>
      </c>
      <c r="O25">
        <v>0</v>
      </c>
      <c r="P25" s="2">
        <f>(H25 + J25) - (L25 + N25)</f>
        <v>0</v>
      </c>
      <c r="Q25" s="2">
        <f>P25 * G25</f>
        <v>0</v>
      </c>
      <c r="R25">
        <v>1</v>
      </c>
      <c r="S25" s="2">
        <f>R25 * G25</f>
        <v>0</v>
      </c>
      <c r="T25" s="2">
        <f>(H25 + J25) - (L25 + N25) - R25</f>
        <v>0</v>
      </c>
      <c r="U25" s="2">
        <f>T25 * G25</f>
        <v>0</v>
      </c>
      <c r="V25" s="2">
        <f>I25 + K25 - S25</f>
        <v>0</v>
      </c>
      <c r="W25" s="2">
        <f>M25 - V25</f>
        <v>0</v>
      </c>
      <c r="X25" s="2">
        <f>IFERROR(W25 / M25 * 100, 0)</f>
        <v>0</v>
      </c>
    </row>
    <row r="26" spans="1:24">
      <c r="A26" t="s">
        <v>2690</v>
      </c>
      <c r="B26" t="s">
        <v>512</v>
      </c>
      <c r="C26" t="s">
        <v>3183</v>
      </c>
      <c r="D26" t="s">
        <v>1007</v>
      </c>
      <c r="E26" t="s">
        <v>3652</v>
      </c>
      <c r="F26" t="s">
        <v>3678</v>
      </c>
      <c r="G26">
        <v>4.42</v>
      </c>
      <c r="H26">
        <v>270</v>
      </c>
      <c r="I26">
        <v>1188.23</v>
      </c>
      <c r="J26">
        <v>1082.58</v>
      </c>
      <c r="K26">
        <v>4781.43</v>
      </c>
      <c r="L26">
        <v>0</v>
      </c>
      <c r="M26">
        <v>0</v>
      </c>
      <c r="N26">
        <v>0</v>
      </c>
      <c r="O26">
        <v>0</v>
      </c>
      <c r="P26" s="2">
        <f>(H26 + J26) - (L26 + N26)</f>
        <v>0</v>
      </c>
      <c r="Q26" s="2">
        <f>P26 * G26</f>
        <v>0</v>
      </c>
      <c r="R26">
        <v>180</v>
      </c>
      <c r="S26" s="2">
        <f>R26 * G26</f>
        <v>0</v>
      </c>
      <c r="T26" s="2">
        <f>(H26 + J26) - (L26 + N26) - R26</f>
        <v>0</v>
      </c>
      <c r="U26" s="2">
        <f>T26 * G26</f>
        <v>0</v>
      </c>
      <c r="V26" s="2">
        <f>I26 + K26 - S26</f>
        <v>0</v>
      </c>
      <c r="W26" s="2">
        <f>M26 - V26</f>
        <v>0</v>
      </c>
      <c r="X26" s="2">
        <f>IFERROR(W26 / M26 * 100, 0)</f>
        <v>0</v>
      </c>
    </row>
    <row r="27" spans="1:24">
      <c r="A27" t="s">
        <v>2691</v>
      </c>
      <c r="B27" t="s">
        <v>512</v>
      </c>
      <c r="C27" t="s">
        <v>3184</v>
      </c>
      <c r="D27" t="s">
        <v>1007</v>
      </c>
      <c r="E27" t="s">
        <v>3652</v>
      </c>
      <c r="F27" t="s">
        <v>3679</v>
      </c>
      <c r="G27">
        <v>5.1</v>
      </c>
      <c r="H27">
        <v>5</v>
      </c>
      <c r="I27">
        <v>17.21</v>
      </c>
      <c r="J27">
        <v>91.65000000000001</v>
      </c>
      <c r="K27">
        <v>519.98</v>
      </c>
      <c r="L27">
        <v>0</v>
      </c>
      <c r="M27">
        <v>0</v>
      </c>
      <c r="N27">
        <v>0</v>
      </c>
      <c r="O27">
        <v>0</v>
      </c>
      <c r="P27" s="2">
        <f>(H27 + J27) - (L27 + N27)</f>
        <v>0</v>
      </c>
      <c r="Q27" s="2">
        <f>P27 * G27</f>
        <v>0</v>
      </c>
      <c r="R27">
        <v>5</v>
      </c>
      <c r="S27" s="2">
        <f>R27 * G27</f>
        <v>0</v>
      </c>
      <c r="T27" s="2">
        <f>(H27 + J27) - (L27 + N27) - R27</f>
        <v>0</v>
      </c>
      <c r="U27" s="2">
        <f>T27 * G27</f>
        <v>0</v>
      </c>
      <c r="V27" s="2">
        <f>I27 + K27 - S27</f>
        <v>0</v>
      </c>
      <c r="W27" s="2">
        <f>M27 - V27</f>
        <v>0</v>
      </c>
      <c r="X27" s="2">
        <f>IFERROR(W27 / M27 * 100, 0)</f>
        <v>0</v>
      </c>
    </row>
    <row r="28" spans="1:24">
      <c r="A28" t="s">
        <v>2692</v>
      </c>
      <c r="B28" t="s">
        <v>512</v>
      </c>
      <c r="C28" t="s">
        <v>3185</v>
      </c>
      <c r="D28" t="s">
        <v>1007</v>
      </c>
      <c r="E28" t="s">
        <v>3652</v>
      </c>
      <c r="F28" t="s">
        <v>3680</v>
      </c>
      <c r="G28">
        <v>4.9</v>
      </c>
      <c r="H28">
        <v>4</v>
      </c>
      <c r="I28">
        <v>22.6</v>
      </c>
      <c r="J28">
        <v>0.64</v>
      </c>
      <c r="K28">
        <v>0.26</v>
      </c>
      <c r="L28">
        <v>0</v>
      </c>
      <c r="M28">
        <v>0</v>
      </c>
      <c r="N28">
        <v>0</v>
      </c>
      <c r="O28">
        <v>0</v>
      </c>
      <c r="P28" s="2">
        <f>(H28 + J28) - (L28 + N28)</f>
        <v>0</v>
      </c>
      <c r="Q28" s="2">
        <f>P28 * G28</f>
        <v>0</v>
      </c>
      <c r="R28">
        <v>1</v>
      </c>
      <c r="S28" s="2">
        <f>R28 * G28</f>
        <v>0</v>
      </c>
      <c r="T28" s="2">
        <f>(H28 + J28) - (L28 + N28) - R28</f>
        <v>0</v>
      </c>
      <c r="U28" s="2">
        <f>T28 * G28</f>
        <v>0</v>
      </c>
      <c r="V28" s="2">
        <f>I28 + K28 - S28</f>
        <v>0</v>
      </c>
      <c r="W28" s="2">
        <f>M28 - V28</f>
        <v>0</v>
      </c>
      <c r="X28" s="2">
        <f>IFERROR(W28 / M28 * 100, 0)</f>
        <v>0</v>
      </c>
    </row>
    <row r="29" spans="1:24">
      <c r="A29" t="s">
        <v>2693</v>
      </c>
      <c r="B29" t="s">
        <v>512</v>
      </c>
      <c r="C29" t="s">
        <v>3186</v>
      </c>
      <c r="D29" t="s">
        <v>1007</v>
      </c>
      <c r="E29" t="s">
        <v>3652</v>
      </c>
      <c r="F29" t="s">
        <v>3681</v>
      </c>
      <c r="G29">
        <v>4.2</v>
      </c>
      <c r="H29">
        <v>20</v>
      </c>
      <c r="I29">
        <v>65.23999999999999</v>
      </c>
      <c r="J29">
        <v>-39.27</v>
      </c>
      <c r="K29">
        <v>-137.09</v>
      </c>
      <c r="L29">
        <v>0</v>
      </c>
      <c r="M29">
        <v>0</v>
      </c>
      <c r="N29">
        <v>0</v>
      </c>
      <c r="O29">
        <v>0</v>
      </c>
      <c r="P29" s="2">
        <f>(H29 + J29) - (L29 + N29)</f>
        <v>0</v>
      </c>
      <c r="Q29" s="2">
        <f>P29 * G29</f>
        <v>0</v>
      </c>
      <c r="R29">
        <v>20</v>
      </c>
      <c r="S29" s="2">
        <f>R29 * G29</f>
        <v>0</v>
      </c>
      <c r="T29" s="2">
        <f>(H29 + J29) - (L29 + N29) - R29</f>
        <v>0</v>
      </c>
      <c r="U29" s="2">
        <f>T29 * G29</f>
        <v>0</v>
      </c>
      <c r="V29" s="2">
        <f>I29 + K29 - S29</f>
        <v>0</v>
      </c>
      <c r="W29" s="2">
        <f>M29 - V29</f>
        <v>0</v>
      </c>
      <c r="X29" s="2">
        <f>IFERROR(W29 / M29 * 100, 0)</f>
        <v>0</v>
      </c>
    </row>
    <row r="30" spans="1:24">
      <c r="A30" t="s">
        <v>2694</v>
      </c>
      <c r="B30" t="s">
        <v>512</v>
      </c>
      <c r="C30" t="s">
        <v>3187</v>
      </c>
      <c r="D30" t="s">
        <v>1007</v>
      </c>
      <c r="E30" t="s">
        <v>3652</v>
      </c>
      <c r="F30" t="s">
        <v>3682</v>
      </c>
      <c r="G30">
        <v>6</v>
      </c>
      <c r="H30">
        <v>2</v>
      </c>
      <c r="I30">
        <v>12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s="2">
        <f>(H30 + J30) - (L30 + N30)</f>
        <v>0</v>
      </c>
      <c r="Q30" s="2">
        <f>P30 * G30</f>
        <v>0</v>
      </c>
      <c r="R30">
        <v>2</v>
      </c>
      <c r="S30" s="2">
        <f>R30 * G30</f>
        <v>0</v>
      </c>
      <c r="T30" s="2">
        <f>(H30 + J30) - (L30 + N30) - R30</f>
        <v>0</v>
      </c>
      <c r="U30" s="2">
        <f>T30 * G30</f>
        <v>0</v>
      </c>
      <c r="V30" s="2">
        <f>I30 + K30 - S30</f>
        <v>0</v>
      </c>
      <c r="W30" s="2">
        <f>M30 - V30</f>
        <v>0</v>
      </c>
      <c r="X30" s="2">
        <f>IFERROR(W30 / M30 * 100, 0)</f>
        <v>0</v>
      </c>
    </row>
    <row r="31" spans="1:24">
      <c r="A31" t="s">
        <v>2695</v>
      </c>
      <c r="B31" t="s">
        <v>512</v>
      </c>
      <c r="C31" t="s">
        <v>3188</v>
      </c>
      <c r="D31" t="s">
        <v>1007</v>
      </c>
      <c r="E31" t="s">
        <v>3652</v>
      </c>
      <c r="F31" t="s">
        <v>3683</v>
      </c>
      <c r="G31">
        <v>4.76</v>
      </c>
      <c r="H31">
        <v>1</v>
      </c>
      <c r="I31">
        <v>4.82</v>
      </c>
      <c r="J31">
        <v>6</v>
      </c>
      <c r="K31">
        <v>28.5</v>
      </c>
      <c r="L31">
        <v>0</v>
      </c>
      <c r="M31">
        <v>0</v>
      </c>
      <c r="N31">
        <v>0</v>
      </c>
      <c r="O31">
        <v>0</v>
      </c>
      <c r="P31" s="2">
        <f>(H31 + J31) - (L31 + N31)</f>
        <v>0</v>
      </c>
      <c r="Q31" s="2">
        <f>P31 * G31</f>
        <v>0</v>
      </c>
      <c r="R31">
        <v>0</v>
      </c>
      <c r="S31" s="2">
        <f>R31 * G31</f>
        <v>0</v>
      </c>
      <c r="T31" s="2">
        <f>(H31 + J31) - (L31 + N31) - R31</f>
        <v>0</v>
      </c>
      <c r="U31" s="2">
        <f>T31 * G31</f>
        <v>0</v>
      </c>
      <c r="V31" s="2">
        <f>I31 + K31 - S31</f>
        <v>0</v>
      </c>
      <c r="W31" s="2">
        <f>M31 - V31</f>
        <v>0</v>
      </c>
      <c r="X31" s="2">
        <f>IFERROR(W31 / M31 * 100, 0)</f>
        <v>0</v>
      </c>
    </row>
    <row r="32" spans="1:24">
      <c r="A32" t="s">
        <v>2696</v>
      </c>
      <c r="B32" t="s">
        <v>512</v>
      </c>
      <c r="C32" t="s">
        <v>3189</v>
      </c>
      <c r="D32" t="s">
        <v>1007</v>
      </c>
      <c r="E32" t="s">
        <v>3652</v>
      </c>
      <c r="F32" t="s">
        <v>3684</v>
      </c>
      <c r="G32">
        <v>4.87</v>
      </c>
      <c r="H32">
        <v>0</v>
      </c>
      <c r="I32">
        <v>0</v>
      </c>
      <c r="J32">
        <v>-19.1</v>
      </c>
      <c r="K32">
        <v>-92.94</v>
      </c>
      <c r="L32">
        <v>0</v>
      </c>
      <c r="M32">
        <v>0</v>
      </c>
      <c r="N32">
        <v>0</v>
      </c>
      <c r="O32">
        <v>0</v>
      </c>
      <c r="P32" s="2">
        <f>(H32 + J32) - (L32 + N32)</f>
        <v>0</v>
      </c>
      <c r="Q32" s="2">
        <f>P32 * G32</f>
        <v>0</v>
      </c>
      <c r="R32">
        <v>0</v>
      </c>
      <c r="S32" s="2">
        <f>R32 * G32</f>
        <v>0</v>
      </c>
      <c r="T32" s="2">
        <f>(H32 + J32) - (L32 + N32) - R32</f>
        <v>0</v>
      </c>
      <c r="U32" s="2">
        <f>T32 * G32</f>
        <v>0</v>
      </c>
      <c r="V32" s="2">
        <f>I32 + K32 - S32</f>
        <v>0</v>
      </c>
      <c r="W32" s="2">
        <f>M32 - V32</f>
        <v>0</v>
      </c>
      <c r="X32" s="2">
        <f>IFERROR(W32 / M32 * 100, 0)</f>
        <v>0</v>
      </c>
    </row>
    <row r="33" spans="1:24">
      <c r="A33" t="s">
        <v>2697</v>
      </c>
      <c r="B33" t="s">
        <v>512</v>
      </c>
      <c r="C33" t="s">
        <v>3190</v>
      </c>
      <c r="D33" t="s">
        <v>1007</v>
      </c>
      <c r="E33" t="s">
        <v>3652</v>
      </c>
      <c r="F33" t="s">
        <v>3685</v>
      </c>
      <c r="G33">
        <v>10.44</v>
      </c>
      <c r="H33">
        <v>0</v>
      </c>
      <c r="I33">
        <v>0</v>
      </c>
      <c r="J33">
        <v>-99.53</v>
      </c>
      <c r="K33">
        <v>-1038.61</v>
      </c>
      <c r="L33">
        <v>0</v>
      </c>
      <c r="M33">
        <v>0</v>
      </c>
      <c r="N33">
        <v>0</v>
      </c>
      <c r="O33">
        <v>0</v>
      </c>
      <c r="P33" s="2">
        <f>(H33 + J33) - (L33 + N33)</f>
        <v>0</v>
      </c>
      <c r="Q33" s="2">
        <f>P33 * G33</f>
        <v>0</v>
      </c>
      <c r="R33">
        <v>0</v>
      </c>
      <c r="S33" s="2">
        <f>R33 * G33</f>
        <v>0</v>
      </c>
      <c r="T33" s="2">
        <f>(H33 + J33) - (L33 + N33) - R33</f>
        <v>0</v>
      </c>
      <c r="U33" s="2">
        <f>T33 * G33</f>
        <v>0</v>
      </c>
      <c r="V33" s="2">
        <f>I33 + K33 - S33</f>
        <v>0</v>
      </c>
      <c r="W33" s="2">
        <f>M33 - V33</f>
        <v>0</v>
      </c>
      <c r="X33" s="2">
        <f>IFERROR(W33 / M33 * 100, 0)</f>
        <v>0</v>
      </c>
    </row>
    <row r="34" spans="1:24">
      <c r="A34" t="s">
        <v>2698</v>
      </c>
      <c r="B34" t="s">
        <v>512</v>
      </c>
      <c r="C34" t="s">
        <v>3191</v>
      </c>
      <c r="D34" t="s">
        <v>1007</v>
      </c>
      <c r="E34" t="s">
        <v>3652</v>
      </c>
      <c r="F34" t="s">
        <v>3686</v>
      </c>
      <c r="G34">
        <v>7.6</v>
      </c>
      <c r="H34">
        <v>12</v>
      </c>
      <c r="I34">
        <v>83.06</v>
      </c>
      <c r="J34">
        <v>-11.74</v>
      </c>
      <c r="K34">
        <v>-81.06</v>
      </c>
      <c r="L34">
        <v>0</v>
      </c>
      <c r="M34">
        <v>0</v>
      </c>
      <c r="N34">
        <v>0</v>
      </c>
      <c r="O34">
        <v>0</v>
      </c>
      <c r="P34" s="2">
        <f>(H34 + J34) - (L34 + N34)</f>
        <v>0</v>
      </c>
      <c r="Q34" s="2">
        <f>P34 * G34</f>
        <v>0</v>
      </c>
      <c r="R34">
        <v>7</v>
      </c>
      <c r="S34" s="2">
        <f>R34 * G34</f>
        <v>0</v>
      </c>
      <c r="T34" s="2">
        <f>(H34 + J34) - (L34 + N34) - R34</f>
        <v>0</v>
      </c>
      <c r="U34" s="2">
        <f>T34 * G34</f>
        <v>0</v>
      </c>
      <c r="V34" s="2">
        <f>I34 + K34 - S34</f>
        <v>0</v>
      </c>
      <c r="W34" s="2">
        <f>M34 - V34</f>
        <v>0</v>
      </c>
      <c r="X34" s="2">
        <f>IFERROR(W34 / M34 * 100, 0)</f>
        <v>0</v>
      </c>
    </row>
    <row r="35" spans="1:24">
      <c r="A35" t="s">
        <v>2699</v>
      </c>
      <c r="B35" t="s">
        <v>512</v>
      </c>
      <c r="C35" t="s">
        <v>3192</v>
      </c>
      <c r="D35" t="s">
        <v>1007</v>
      </c>
      <c r="E35" t="s">
        <v>3652</v>
      </c>
      <c r="F35" t="s">
        <v>3687</v>
      </c>
      <c r="G35">
        <v>20</v>
      </c>
      <c r="H35">
        <v>0</v>
      </c>
      <c r="I35">
        <v>0</v>
      </c>
      <c r="J35">
        <v>-11.15</v>
      </c>
      <c r="K35">
        <v>-222.9</v>
      </c>
      <c r="L35">
        <v>0</v>
      </c>
      <c r="M35">
        <v>0</v>
      </c>
      <c r="N35">
        <v>0</v>
      </c>
      <c r="O35">
        <v>0</v>
      </c>
      <c r="P35" s="2">
        <f>(H35 + J35) - (L35 + N35)</f>
        <v>0</v>
      </c>
      <c r="Q35" s="2">
        <f>P35 * G35</f>
        <v>0</v>
      </c>
      <c r="R35">
        <v>0</v>
      </c>
      <c r="S35" s="2">
        <f>R35 * G35</f>
        <v>0</v>
      </c>
      <c r="T35" s="2">
        <f>(H35 + J35) - (L35 + N35) - R35</f>
        <v>0</v>
      </c>
      <c r="U35" s="2">
        <f>T35 * G35</f>
        <v>0</v>
      </c>
      <c r="V35" s="2">
        <f>I35 + K35 - S35</f>
        <v>0</v>
      </c>
      <c r="W35" s="2">
        <f>M35 - V35</f>
        <v>0</v>
      </c>
      <c r="X35" s="2">
        <f>IFERROR(W35 / M35 * 100, 0)</f>
        <v>0</v>
      </c>
    </row>
    <row r="36" spans="1:24">
      <c r="A36" t="s">
        <v>2700</v>
      </c>
      <c r="B36" t="s">
        <v>512</v>
      </c>
      <c r="C36" t="s">
        <v>3193</v>
      </c>
      <c r="D36" t="s">
        <v>1007</v>
      </c>
      <c r="E36" t="s">
        <v>3652</v>
      </c>
      <c r="F36" t="s">
        <v>3688</v>
      </c>
      <c r="G36">
        <v>12</v>
      </c>
      <c r="H36">
        <v>0</v>
      </c>
      <c r="I36">
        <v>0</v>
      </c>
      <c r="J36">
        <v>-12.88</v>
      </c>
      <c r="K36">
        <v>-142.05</v>
      </c>
      <c r="L36">
        <v>0</v>
      </c>
      <c r="M36">
        <v>0</v>
      </c>
      <c r="N36">
        <v>0</v>
      </c>
      <c r="O36">
        <v>0</v>
      </c>
      <c r="P36" s="2">
        <f>(H36 + J36) - (L36 + N36)</f>
        <v>0</v>
      </c>
      <c r="Q36" s="2">
        <f>P36 * G36</f>
        <v>0</v>
      </c>
      <c r="R36">
        <v>0</v>
      </c>
      <c r="S36" s="2">
        <f>R36 * G36</f>
        <v>0</v>
      </c>
      <c r="T36" s="2">
        <f>(H36 + J36) - (L36 + N36) - R36</f>
        <v>0</v>
      </c>
      <c r="U36" s="2">
        <f>T36 * G36</f>
        <v>0</v>
      </c>
      <c r="V36" s="2">
        <f>I36 + K36 - S36</f>
        <v>0</v>
      </c>
      <c r="W36" s="2">
        <f>M36 - V36</f>
        <v>0</v>
      </c>
      <c r="X36" s="2">
        <f>IFERROR(W36 / M36 * 100, 0)</f>
        <v>0</v>
      </c>
    </row>
    <row r="37" spans="1:24">
      <c r="A37" t="s">
        <v>2701</v>
      </c>
      <c r="B37" t="s">
        <v>512</v>
      </c>
      <c r="C37" t="s">
        <v>3194</v>
      </c>
      <c r="D37" t="s">
        <v>1007</v>
      </c>
      <c r="E37" t="s">
        <v>3652</v>
      </c>
      <c r="F37" t="s">
        <v>3689</v>
      </c>
      <c r="G37">
        <v>0</v>
      </c>
      <c r="H37">
        <v>0</v>
      </c>
      <c r="I37">
        <v>0</v>
      </c>
      <c r="J37">
        <v>-435.69</v>
      </c>
      <c r="K37">
        <v>0</v>
      </c>
      <c r="L37">
        <v>0</v>
      </c>
      <c r="M37">
        <v>0</v>
      </c>
      <c r="N37">
        <v>0</v>
      </c>
      <c r="O37">
        <v>0</v>
      </c>
      <c r="P37" s="2">
        <f>(H37 + J37) - (L37 + N37)</f>
        <v>0</v>
      </c>
      <c r="Q37" s="2">
        <f>P37 * G37</f>
        <v>0</v>
      </c>
      <c r="R37">
        <v>0</v>
      </c>
      <c r="S37" s="2">
        <f>R37 * G37</f>
        <v>0</v>
      </c>
      <c r="T37" s="2">
        <f>(H37 + J37) - (L37 + N37) - R37</f>
        <v>0</v>
      </c>
      <c r="U37" s="2">
        <f>T37 * G37</f>
        <v>0</v>
      </c>
      <c r="V37" s="2">
        <f>I37 + K37 - S37</f>
        <v>0</v>
      </c>
      <c r="W37" s="2">
        <f>M37 - V37</f>
        <v>0</v>
      </c>
      <c r="X37" s="2">
        <f>IFERROR(W37 / M37 * 100, 0)</f>
        <v>0</v>
      </c>
    </row>
    <row r="38" spans="1:24">
      <c r="A38" t="s">
        <v>2702</v>
      </c>
      <c r="B38" t="s">
        <v>512</v>
      </c>
      <c r="C38" t="s">
        <v>3195</v>
      </c>
      <c r="D38" t="s">
        <v>1007</v>
      </c>
      <c r="E38" t="s">
        <v>3652</v>
      </c>
      <c r="F38" t="s">
        <v>3690</v>
      </c>
      <c r="G38">
        <v>13.64</v>
      </c>
      <c r="H38">
        <v>13</v>
      </c>
      <c r="I38">
        <v>167.27</v>
      </c>
      <c r="J38">
        <v>33.14</v>
      </c>
      <c r="K38">
        <v>461.28</v>
      </c>
      <c r="L38">
        <v>0</v>
      </c>
      <c r="M38">
        <v>0</v>
      </c>
      <c r="N38">
        <v>0</v>
      </c>
      <c r="O38">
        <v>0</v>
      </c>
      <c r="P38" s="2">
        <f>(H38 + J38) - (L38 + N38)</f>
        <v>0</v>
      </c>
      <c r="Q38" s="2">
        <f>P38 * G38</f>
        <v>0</v>
      </c>
      <c r="R38">
        <v>13</v>
      </c>
      <c r="S38" s="2">
        <f>R38 * G38</f>
        <v>0</v>
      </c>
      <c r="T38" s="2">
        <f>(H38 + J38) - (L38 + N38) - R38</f>
        <v>0</v>
      </c>
      <c r="U38" s="2">
        <f>T38 * G38</f>
        <v>0</v>
      </c>
      <c r="V38" s="2">
        <f>I38 + K38 - S38</f>
        <v>0</v>
      </c>
      <c r="W38" s="2">
        <f>M38 - V38</f>
        <v>0</v>
      </c>
      <c r="X38" s="2">
        <f>IFERROR(W38 / M38 * 100, 0)</f>
        <v>0</v>
      </c>
    </row>
    <row r="39" spans="1:24">
      <c r="A39" t="s">
        <v>2703</v>
      </c>
      <c r="B39" t="s">
        <v>512</v>
      </c>
      <c r="C39" t="s">
        <v>3196</v>
      </c>
      <c r="D39" t="s">
        <v>1007</v>
      </c>
      <c r="E39" t="s">
        <v>3652</v>
      </c>
      <c r="F39" t="s">
        <v>3691</v>
      </c>
      <c r="G39">
        <v>8.869999999999999</v>
      </c>
      <c r="H39">
        <v>8</v>
      </c>
      <c r="I39">
        <v>68.45</v>
      </c>
      <c r="J39">
        <v>-2.07</v>
      </c>
      <c r="K39">
        <v>-15.8</v>
      </c>
      <c r="L39">
        <v>0</v>
      </c>
      <c r="M39">
        <v>0</v>
      </c>
      <c r="N39">
        <v>0</v>
      </c>
      <c r="O39">
        <v>0</v>
      </c>
      <c r="P39" s="2">
        <f>(H39 + J39) - (L39 + N39)</f>
        <v>0</v>
      </c>
      <c r="Q39" s="2">
        <f>P39 * G39</f>
        <v>0</v>
      </c>
      <c r="R39">
        <v>9</v>
      </c>
      <c r="S39" s="2">
        <f>R39 * G39</f>
        <v>0</v>
      </c>
      <c r="T39" s="2">
        <f>(H39 + J39) - (L39 + N39) - R39</f>
        <v>0</v>
      </c>
      <c r="U39" s="2">
        <f>T39 * G39</f>
        <v>0</v>
      </c>
      <c r="V39" s="2">
        <f>I39 + K39 - S39</f>
        <v>0</v>
      </c>
      <c r="W39" s="2">
        <f>M39 - V39</f>
        <v>0</v>
      </c>
      <c r="X39" s="2">
        <f>IFERROR(W39 / M39 * 100, 0)</f>
        <v>0</v>
      </c>
    </row>
    <row r="40" spans="1:24">
      <c r="A40" t="s">
        <v>2704</v>
      </c>
      <c r="B40" t="s">
        <v>512</v>
      </c>
      <c r="C40" t="s">
        <v>3197</v>
      </c>
      <c r="D40" t="s">
        <v>1007</v>
      </c>
      <c r="E40" t="s">
        <v>3652</v>
      </c>
      <c r="F40" t="s">
        <v>3692</v>
      </c>
      <c r="G40">
        <v>2.08</v>
      </c>
      <c r="H40">
        <v>2</v>
      </c>
      <c r="I40">
        <v>5.31</v>
      </c>
      <c r="J40">
        <v>42.44</v>
      </c>
      <c r="K40">
        <v>86.88</v>
      </c>
      <c r="L40">
        <v>0</v>
      </c>
      <c r="M40">
        <v>0</v>
      </c>
      <c r="N40">
        <v>0</v>
      </c>
      <c r="O40">
        <v>0</v>
      </c>
      <c r="P40" s="2">
        <f>(H40 + J40) - (L40 + N40)</f>
        <v>0</v>
      </c>
      <c r="Q40" s="2">
        <f>P40 * G40</f>
        <v>0</v>
      </c>
      <c r="R40">
        <v>2</v>
      </c>
      <c r="S40" s="2">
        <f>R40 * G40</f>
        <v>0</v>
      </c>
      <c r="T40" s="2">
        <f>(H40 + J40) - (L40 + N40) - R40</f>
        <v>0</v>
      </c>
      <c r="U40" s="2">
        <f>T40 * G40</f>
        <v>0</v>
      </c>
      <c r="V40" s="2">
        <f>I40 + K40 - S40</f>
        <v>0</v>
      </c>
      <c r="W40" s="2">
        <f>M40 - V40</f>
        <v>0</v>
      </c>
      <c r="X40" s="2">
        <f>IFERROR(W40 / M40 * 100, 0)</f>
        <v>0</v>
      </c>
    </row>
    <row r="41" spans="1:24">
      <c r="A41" t="s">
        <v>2705</v>
      </c>
      <c r="B41" t="s">
        <v>512</v>
      </c>
      <c r="C41" t="s">
        <v>3198</v>
      </c>
      <c r="D41" t="s">
        <v>1007</v>
      </c>
      <c r="E41" t="s">
        <v>3652</v>
      </c>
      <c r="F41" t="s">
        <v>3693</v>
      </c>
      <c r="G41">
        <v>48.03</v>
      </c>
      <c r="H41">
        <v>1</v>
      </c>
      <c r="I41">
        <v>55.74</v>
      </c>
      <c r="J41">
        <v>-1.05</v>
      </c>
      <c r="K41">
        <v>-57.63</v>
      </c>
      <c r="L41">
        <v>0</v>
      </c>
      <c r="M41">
        <v>0</v>
      </c>
      <c r="N41">
        <v>0</v>
      </c>
      <c r="O41">
        <v>0</v>
      </c>
      <c r="P41" s="2">
        <f>(H41 + J41) - (L41 + N41)</f>
        <v>0</v>
      </c>
      <c r="Q41" s="2">
        <f>P41 * G41</f>
        <v>0</v>
      </c>
      <c r="R41">
        <v>1</v>
      </c>
      <c r="S41" s="2">
        <f>R41 * G41</f>
        <v>0</v>
      </c>
      <c r="T41" s="2">
        <f>(H41 + J41) - (L41 + N41) - R41</f>
        <v>0</v>
      </c>
      <c r="U41" s="2">
        <f>T41 * G41</f>
        <v>0</v>
      </c>
      <c r="V41" s="2">
        <f>I41 + K41 - S41</f>
        <v>0</v>
      </c>
      <c r="W41" s="2">
        <f>M41 - V41</f>
        <v>0</v>
      </c>
      <c r="X41" s="2">
        <f>IFERROR(W41 / M41 * 100, 0)</f>
        <v>0</v>
      </c>
    </row>
    <row r="42" spans="1:24">
      <c r="A42" t="s">
        <v>2706</v>
      </c>
      <c r="B42" t="s">
        <v>512</v>
      </c>
      <c r="C42" t="s">
        <v>3199</v>
      </c>
      <c r="D42" t="s">
        <v>1007</v>
      </c>
      <c r="E42" t="s">
        <v>3652</v>
      </c>
      <c r="F42" t="s">
        <v>3694</v>
      </c>
      <c r="G42">
        <v>1.76</v>
      </c>
      <c r="H42">
        <v>2</v>
      </c>
      <c r="I42">
        <v>3.93</v>
      </c>
      <c r="J42">
        <v>35.41</v>
      </c>
      <c r="K42">
        <v>60.5</v>
      </c>
      <c r="L42">
        <v>0</v>
      </c>
      <c r="M42">
        <v>0</v>
      </c>
      <c r="N42">
        <v>0</v>
      </c>
      <c r="O42">
        <v>0</v>
      </c>
      <c r="P42" s="2">
        <f>(H42 + J42) - (L42 + N42)</f>
        <v>0</v>
      </c>
      <c r="Q42" s="2">
        <f>P42 * G42</f>
        <v>0</v>
      </c>
      <c r="R42">
        <v>2</v>
      </c>
      <c r="S42" s="2">
        <f>R42 * G42</f>
        <v>0</v>
      </c>
      <c r="T42" s="2">
        <f>(H42 + J42) - (L42 + N42) - R42</f>
        <v>0</v>
      </c>
      <c r="U42" s="2">
        <f>T42 * G42</f>
        <v>0</v>
      </c>
      <c r="V42" s="2">
        <f>I42 + K42 - S42</f>
        <v>0</v>
      </c>
      <c r="W42" s="2">
        <f>M42 - V42</f>
        <v>0</v>
      </c>
      <c r="X42" s="2">
        <f>IFERROR(W42 / M42 * 100, 0)</f>
        <v>0</v>
      </c>
    </row>
    <row r="43" spans="1:24">
      <c r="A43" t="s">
        <v>2707</v>
      </c>
      <c r="B43" t="s">
        <v>512</v>
      </c>
      <c r="C43" t="s">
        <v>3200</v>
      </c>
      <c r="D43" t="s">
        <v>1007</v>
      </c>
      <c r="E43" t="s">
        <v>3652</v>
      </c>
      <c r="F43" t="s">
        <v>3695</v>
      </c>
      <c r="G43">
        <v>5.5</v>
      </c>
      <c r="H43">
        <v>0</v>
      </c>
      <c r="I43">
        <v>0</v>
      </c>
      <c r="J43">
        <v>4</v>
      </c>
      <c r="K43">
        <v>22</v>
      </c>
      <c r="L43">
        <v>0</v>
      </c>
      <c r="M43">
        <v>0</v>
      </c>
      <c r="N43">
        <v>0</v>
      </c>
      <c r="O43">
        <v>0</v>
      </c>
      <c r="P43" s="2">
        <f>(H43 + J43) - (L43 + N43)</f>
        <v>0</v>
      </c>
      <c r="Q43" s="2">
        <f>P43 * G43</f>
        <v>0</v>
      </c>
      <c r="R43">
        <v>0</v>
      </c>
      <c r="S43" s="2">
        <f>R43 * G43</f>
        <v>0</v>
      </c>
      <c r="T43" s="2">
        <f>(H43 + J43) - (L43 + N43) - R43</f>
        <v>0</v>
      </c>
      <c r="U43" s="2">
        <f>T43 * G43</f>
        <v>0</v>
      </c>
      <c r="V43" s="2">
        <f>I43 + K43 - S43</f>
        <v>0</v>
      </c>
      <c r="W43" s="2">
        <f>M43 - V43</f>
        <v>0</v>
      </c>
      <c r="X43" s="2">
        <f>IFERROR(W43 / M43 * 100, 0)</f>
        <v>0</v>
      </c>
    </row>
    <row r="44" spans="1:24">
      <c r="A44" t="s">
        <v>2708</v>
      </c>
      <c r="B44" t="s">
        <v>512</v>
      </c>
      <c r="C44" t="s">
        <v>3201</v>
      </c>
      <c r="D44" t="s">
        <v>1007</v>
      </c>
      <c r="E44" t="s">
        <v>3652</v>
      </c>
      <c r="F44" t="s">
        <v>3696</v>
      </c>
      <c r="G44">
        <v>5.51</v>
      </c>
      <c r="H44">
        <v>30</v>
      </c>
      <c r="I44">
        <v>183</v>
      </c>
      <c r="J44">
        <v>19.12</v>
      </c>
      <c r="K44">
        <v>88.37</v>
      </c>
      <c r="L44">
        <v>0</v>
      </c>
      <c r="M44">
        <v>0</v>
      </c>
      <c r="N44">
        <v>0</v>
      </c>
      <c r="O44">
        <v>0</v>
      </c>
      <c r="P44" s="2">
        <f>(H44 + J44) - (L44 + N44)</f>
        <v>0</v>
      </c>
      <c r="Q44" s="2">
        <f>P44 * G44</f>
        <v>0</v>
      </c>
      <c r="R44">
        <v>10</v>
      </c>
      <c r="S44" s="2">
        <f>R44 * G44</f>
        <v>0</v>
      </c>
      <c r="T44" s="2">
        <f>(H44 + J44) - (L44 + N44) - R44</f>
        <v>0</v>
      </c>
      <c r="U44" s="2">
        <f>T44 * G44</f>
        <v>0</v>
      </c>
      <c r="V44" s="2">
        <f>I44 + K44 - S44</f>
        <v>0</v>
      </c>
      <c r="W44" s="2">
        <f>M44 - V44</f>
        <v>0</v>
      </c>
      <c r="X44" s="2">
        <f>IFERROR(W44 / M44 * 100, 0)</f>
        <v>0</v>
      </c>
    </row>
    <row r="45" spans="1:24">
      <c r="A45" t="s">
        <v>2709</v>
      </c>
      <c r="B45" t="s">
        <v>512</v>
      </c>
      <c r="C45" t="s">
        <v>3202</v>
      </c>
      <c r="D45" t="s">
        <v>1007</v>
      </c>
      <c r="E45" t="s">
        <v>3652</v>
      </c>
      <c r="F45" t="s">
        <v>3697</v>
      </c>
      <c r="G45">
        <v>19.67</v>
      </c>
      <c r="H45">
        <v>1</v>
      </c>
      <c r="I45">
        <v>20.81</v>
      </c>
      <c r="J45">
        <v>0.77</v>
      </c>
      <c r="K45">
        <v>14.65</v>
      </c>
      <c r="L45">
        <v>0</v>
      </c>
      <c r="M45">
        <v>0</v>
      </c>
      <c r="N45">
        <v>0</v>
      </c>
      <c r="O45">
        <v>0</v>
      </c>
      <c r="P45" s="2">
        <f>(H45 + J45) - (L45 + N45)</f>
        <v>0</v>
      </c>
      <c r="Q45" s="2">
        <f>P45 * G45</f>
        <v>0</v>
      </c>
      <c r="R45">
        <v>1</v>
      </c>
      <c r="S45" s="2">
        <f>R45 * G45</f>
        <v>0</v>
      </c>
      <c r="T45" s="2">
        <f>(H45 + J45) - (L45 + N45) - R45</f>
        <v>0</v>
      </c>
      <c r="U45" s="2">
        <f>T45 * G45</f>
        <v>0</v>
      </c>
      <c r="V45" s="2">
        <f>I45 + K45 - S45</f>
        <v>0</v>
      </c>
      <c r="W45" s="2">
        <f>M45 - V45</f>
        <v>0</v>
      </c>
      <c r="X45" s="2">
        <f>IFERROR(W45 / M45 * 100, 0)</f>
        <v>0</v>
      </c>
    </row>
    <row r="46" spans="1:24">
      <c r="A46" t="s">
        <v>2710</v>
      </c>
      <c r="B46" t="s">
        <v>512</v>
      </c>
      <c r="C46" t="s">
        <v>3203</v>
      </c>
      <c r="D46" t="s">
        <v>1007</v>
      </c>
      <c r="E46" t="s">
        <v>3652</v>
      </c>
      <c r="F46" t="s">
        <v>3698</v>
      </c>
      <c r="G46">
        <v>6.59</v>
      </c>
      <c r="H46">
        <v>0</v>
      </c>
      <c r="I46">
        <v>0</v>
      </c>
      <c r="J46">
        <v>-0.22</v>
      </c>
      <c r="K46">
        <v>-1.47</v>
      </c>
      <c r="L46">
        <v>0</v>
      </c>
      <c r="M46">
        <v>0</v>
      </c>
      <c r="N46">
        <v>0</v>
      </c>
      <c r="O46">
        <v>0</v>
      </c>
      <c r="P46" s="2">
        <f>(H46 + J46) - (L46 + N46)</f>
        <v>0</v>
      </c>
      <c r="Q46" s="2">
        <f>P46 * G46</f>
        <v>0</v>
      </c>
      <c r="R46">
        <v>0</v>
      </c>
      <c r="S46" s="2">
        <f>R46 * G46</f>
        <v>0</v>
      </c>
      <c r="T46" s="2">
        <f>(H46 + J46) - (L46 + N46) - R46</f>
        <v>0</v>
      </c>
      <c r="U46" s="2">
        <f>T46 * G46</f>
        <v>0</v>
      </c>
      <c r="V46" s="2">
        <f>I46 + K46 - S46</f>
        <v>0</v>
      </c>
      <c r="W46" s="2">
        <f>M46 - V46</f>
        <v>0</v>
      </c>
      <c r="X46" s="2">
        <f>IFERROR(W46 / M46 * 100, 0)</f>
        <v>0</v>
      </c>
    </row>
    <row r="47" spans="1:24">
      <c r="A47" t="s">
        <v>2711</v>
      </c>
      <c r="B47" t="s">
        <v>512</v>
      </c>
      <c r="C47" t="s">
        <v>3204</v>
      </c>
      <c r="D47" t="s">
        <v>1007</v>
      </c>
      <c r="E47" t="s">
        <v>3652</v>
      </c>
      <c r="F47" t="s">
        <v>3699</v>
      </c>
      <c r="G47">
        <v>28.85</v>
      </c>
      <c r="H47">
        <v>0</v>
      </c>
      <c r="I47">
        <v>0</v>
      </c>
      <c r="J47">
        <v>-31.8</v>
      </c>
      <c r="K47">
        <v>-917.62</v>
      </c>
      <c r="L47">
        <v>0</v>
      </c>
      <c r="M47">
        <v>0</v>
      </c>
      <c r="N47">
        <v>0</v>
      </c>
      <c r="O47">
        <v>0</v>
      </c>
      <c r="P47" s="2">
        <f>(H47 + J47) - (L47 + N47)</f>
        <v>0</v>
      </c>
      <c r="Q47" s="2">
        <f>P47 * G47</f>
        <v>0</v>
      </c>
      <c r="R47">
        <v>0</v>
      </c>
      <c r="S47" s="2">
        <f>R47 * G47</f>
        <v>0</v>
      </c>
      <c r="T47" s="2">
        <f>(H47 + J47) - (L47 + N47) - R47</f>
        <v>0</v>
      </c>
      <c r="U47" s="2">
        <f>T47 * G47</f>
        <v>0</v>
      </c>
      <c r="V47" s="2">
        <f>I47 + K47 - S47</f>
        <v>0</v>
      </c>
      <c r="W47" s="2">
        <f>M47 - V47</f>
        <v>0</v>
      </c>
      <c r="X47" s="2">
        <f>IFERROR(W47 / M47 * 100, 0)</f>
        <v>0</v>
      </c>
    </row>
    <row r="48" spans="1:24">
      <c r="A48" t="s">
        <v>2712</v>
      </c>
      <c r="B48" t="s">
        <v>512</v>
      </c>
      <c r="C48" t="s">
        <v>3205</v>
      </c>
      <c r="D48" t="s">
        <v>1007</v>
      </c>
      <c r="E48" t="s">
        <v>3652</v>
      </c>
      <c r="F48" t="s">
        <v>3700</v>
      </c>
      <c r="G48">
        <v>1.6</v>
      </c>
      <c r="H48">
        <v>1</v>
      </c>
      <c r="I48">
        <v>1.6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s="2">
        <f>(H48 + J48) - (L48 + N48)</f>
        <v>0</v>
      </c>
      <c r="Q48" s="2">
        <f>P48 * G48</f>
        <v>0</v>
      </c>
      <c r="R48">
        <v>1</v>
      </c>
      <c r="S48" s="2">
        <f>R48 * G48</f>
        <v>0</v>
      </c>
      <c r="T48" s="2">
        <f>(H48 + J48) - (L48 + N48) - R48</f>
        <v>0</v>
      </c>
      <c r="U48" s="2">
        <f>T48 * G48</f>
        <v>0</v>
      </c>
      <c r="V48" s="2">
        <f>I48 + K48 - S48</f>
        <v>0</v>
      </c>
      <c r="W48" s="2">
        <f>M48 - V48</f>
        <v>0</v>
      </c>
      <c r="X48" s="2">
        <f>IFERROR(W48 / M48 * 100, 0)</f>
        <v>0</v>
      </c>
    </row>
    <row r="49" spans="1:24">
      <c r="A49" t="s">
        <v>2713</v>
      </c>
      <c r="B49" t="s">
        <v>512</v>
      </c>
      <c r="C49" t="s">
        <v>3206</v>
      </c>
      <c r="D49" t="s">
        <v>1007</v>
      </c>
      <c r="E49" t="s">
        <v>3652</v>
      </c>
      <c r="F49" t="s">
        <v>3701</v>
      </c>
      <c r="G49">
        <v>15.25</v>
      </c>
      <c r="H49">
        <v>5</v>
      </c>
      <c r="I49">
        <v>84.79000000000001</v>
      </c>
      <c r="J49">
        <v>22.98</v>
      </c>
      <c r="K49">
        <v>345.05</v>
      </c>
      <c r="L49">
        <v>0</v>
      </c>
      <c r="M49">
        <v>0</v>
      </c>
      <c r="N49">
        <v>0</v>
      </c>
      <c r="O49">
        <v>0</v>
      </c>
      <c r="P49" s="2">
        <f>(H49 + J49) - (L49 + N49)</f>
        <v>0</v>
      </c>
      <c r="Q49" s="2">
        <f>P49 * G49</f>
        <v>0</v>
      </c>
      <c r="R49">
        <v>8</v>
      </c>
      <c r="S49" s="2">
        <f>R49 * G49</f>
        <v>0</v>
      </c>
      <c r="T49" s="2">
        <f>(H49 + J49) - (L49 + N49) - R49</f>
        <v>0</v>
      </c>
      <c r="U49" s="2">
        <f>T49 * G49</f>
        <v>0</v>
      </c>
      <c r="V49" s="2">
        <f>I49 + K49 - S49</f>
        <v>0</v>
      </c>
      <c r="W49" s="2">
        <f>M49 - V49</f>
        <v>0</v>
      </c>
      <c r="X49" s="2">
        <f>IFERROR(W49 / M49 * 100, 0)</f>
        <v>0</v>
      </c>
    </row>
    <row r="50" spans="1:24">
      <c r="A50" t="s">
        <v>2714</v>
      </c>
      <c r="B50" t="s">
        <v>512</v>
      </c>
      <c r="C50" t="s">
        <v>3207</v>
      </c>
      <c r="D50" t="s">
        <v>1007</v>
      </c>
      <c r="E50" t="s">
        <v>3652</v>
      </c>
      <c r="F50" t="s">
        <v>3702</v>
      </c>
      <c r="G50">
        <v>1.61</v>
      </c>
      <c r="H50">
        <v>0</v>
      </c>
      <c r="I50">
        <v>0</v>
      </c>
      <c r="J50">
        <v>-2.36</v>
      </c>
      <c r="K50">
        <v>-3.8</v>
      </c>
      <c r="L50">
        <v>0</v>
      </c>
      <c r="M50">
        <v>0</v>
      </c>
      <c r="N50">
        <v>0</v>
      </c>
      <c r="O50">
        <v>0</v>
      </c>
      <c r="P50" s="2">
        <f>(H50 + J50) - (L50 + N50)</f>
        <v>0</v>
      </c>
      <c r="Q50" s="2">
        <f>P50 * G50</f>
        <v>0</v>
      </c>
      <c r="R50">
        <v>0</v>
      </c>
      <c r="S50" s="2">
        <f>R50 * G50</f>
        <v>0</v>
      </c>
      <c r="T50" s="2">
        <f>(H50 + J50) - (L50 + N50) - R50</f>
        <v>0</v>
      </c>
      <c r="U50" s="2">
        <f>T50 * G50</f>
        <v>0</v>
      </c>
      <c r="V50" s="2">
        <f>I50 + K50 - S50</f>
        <v>0</v>
      </c>
      <c r="W50" s="2">
        <f>M50 - V50</f>
        <v>0</v>
      </c>
      <c r="X50" s="2">
        <f>IFERROR(W50 / M50 * 100, 0)</f>
        <v>0</v>
      </c>
    </row>
    <row r="51" spans="1:24">
      <c r="A51" t="s">
        <v>2715</v>
      </c>
      <c r="B51" t="s">
        <v>512</v>
      </c>
      <c r="C51" t="s">
        <v>3208</v>
      </c>
      <c r="D51" t="s">
        <v>1007</v>
      </c>
      <c r="E51" t="s">
        <v>3652</v>
      </c>
      <c r="F51" t="s">
        <v>3703</v>
      </c>
      <c r="G51">
        <v>9.17</v>
      </c>
      <c r="H51">
        <v>20</v>
      </c>
      <c r="I51">
        <v>183.33</v>
      </c>
      <c r="J51">
        <v>-350.61</v>
      </c>
      <c r="K51">
        <v>-3047.43</v>
      </c>
      <c r="L51">
        <v>0</v>
      </c>
      <c r="M51">
        <v>0</v>
      </c>
      <c r="N51">
        <v>0</v>
      </c>
      <c r="O51">
        <v>0</v>
      </c>
      <c r="P51" s="2">
        <f>(H51 + J51) - (L51 + N51)</f>
        <v>0</v>
      </c>
      <c r="Q51" s="2">
        <f>P51 * G51</f>
        <v>0</v>
      </c>
      <c r="R51">
        <v>20</v>
      </c>
      <c r="S51" s="2">
        <f>R51 * G51</f>
        <v>0</v>
      </c>
      <c r="T51" s="2">
        <f>(H51 + J51) - (L51 + N51) - R51</f>
        <v>0</v>
      </c>
      <c r="U51" s="2">
        <f>T51 * G51</f>
        <v>0</v>
      </c>
      <c r="V51" s="2">
        <f>I51 + K51 - S51</f>
        <v>0</v>
      </c>
      <c r="W51" s="2">
        <f>M51 - V51</f>
        <v>0</v>
      </c>
      <c r="X51" s="2">
        <f>IFERROR(W51 / M51 * 100, 0)</f>
        <v>0</v>
      </c>
    </row>
    <row r="52" spans="1:24">
      <c r="A52" t="s">
        <v>2716</v>
      </c>
      <c r="B52" t="s">
        <v>512</v>
      </c>
      <c r="C52" t="s">
        <v>3209</v>
      </c>
      <c r="D52" t="s">
        <v>1007</v>
      </c>
      <c r="E52" t="s">
        <v>3652</v>
      </c>
      <c r="F52" t="s">
        <v>3704</v>
      </c>
      <c r="G52">
        <v>3.78</v>
      </c>
      <c r="H52">
        <v>3</v>
      </c>
      <c r="I52">
        <v>9.109999999999999</v>
      </c>
      <c r="J52">
        <v>33.35</v>
      </c>
      <c r="K52">
        <v>141.65</v>
      </c>
      <c r="L52">
        <v>0</v>
      </c>
      <c r="M52">
        <v>0</v>
      </c>
      <c r="N52">
        <v>0</v>
      </c>
      <c r="O52">
        <v>0</v>
      </c>
      <c r="P52" s="2">
        <f>(H52 + J52) - (L52 + N52)</f>
        <v>0</v>
      </c>
      <c r="Q52" s="2">
        <f>P52 * G52</f>
        <v>0</v>
      </c>
      <c r="R52">
        <v>8</v>
      </c>
      <c r="S52" s="2">
        <f>R52 * G52</f>
        <v>0</v>
      </c>
      <c r="T52" s="2">
        <f>(H52 + J52) - (L52 + N52) - R52</f>
        <v>0</v>
      </c>
      <c r="U52" s="2">
        <f>T52 * G52</f>
        <v>0</v>
      </c>
      <c r="V52" s="2">
        <f>I52 + K52 - S52</f>
        <v>0</v>
      </c>
      <c r="W52" s="2">
        <f>M52 - V52</f>
        <v>0</v>
      </c>
      <c r="X52" s="2">
        <f>IFERROR(W52 / M52 * 100, 0)</f>
        <v>0</v>
      </c>
    </row>
    <row r="53" spans="1:24">
      <c r="A53" t="s">
        <v>2717</v>
      </c>
      <c r="B53" t="s">
        <v>512</v>
      </c>
      <c r="C53" t="s">
        <v>3210</v>
      </c>
      <c r="D53" t="s">
        <v>1007</v>
      </c>
      <c r="E53" t="s">
        <v>3652</v>
      </c>
      <c r="F53" t="s">
        <v>3705</v>
      </c>
      <c r="G53">
        <v>18.46</v>
      </c>
      <c r="H53">
        <v>140</v>
      </c>
      <c r="I53">
        <v>2451.54</v>
      </c>
      <c r="J53">
        <v>-122.88</v>
      </c>
      <c r="K53">
        <v>-2139.41</v>
      </c>
      <c r="L53">
        <v>0</v>
      </c>
      <c r="M53">
        <v>0</v>
      </c>
      <c r="N53">
        <v>0</v>
      </c>
      <c r="O53">
        <v>0</v>
      </c>
      <c r="P53" s="2">
        <f>(H53 + J53) - (L53 + N53)</f>
        <v>0</v>
      </c>
      <c r="Q53" s="2">
        <f>P53 * G53</f>
        <v>0</v>
      </c>
      <c r="R53">
        <v>70</v>
      </c>
      <c r="S53" s="2">
        <f>R53 * G53</f>
        <v>0</v>
      </c>
      <c r="T53" s="2">
        <f>(H53 + J53) - (L53 + N53) - R53</f>
        <v>0</v>
      </c>
      <c r="U53" s="2">
        <f>T53 * G53</f>
        <v>0</v>
      </c>
      <c r="V53" s="2">
        <f>I53 + K53 - S53</f>
        <v>0</v>
      </c>
      <c r="W53" s="2">
        <f>M53 - V53</f>
        <v>0</v>
      </c>
      <c r="X53" s="2">
        <f>IFERROR(W53 / M53 * 100, 0)</f>
        <v>0</v>
      </c>
    </row>
    <row r="54" spans="1:24">
      <c r="A54" t="s">
        <v>2718</v>
      </c>
      <c r="B54" t="s">
        <v>512</v>
      </c>
      <c r="C54" t="s">
        <v>3211</v>
      </c>
      <c r="D54" t="s">
        <v>1007</v>
      </c>
      <c r="E54" t="s">
        <v>3652</v>
      </c>
      <c r="F54" t="s">
        <v>3706</v>
      </c>
      <c r="G54">
        <v>4.29</v>
      </c>
      <c r="H54">
        <v>0</v>
      </c>
      <c r="I54">
        <v>0</v>
      </c>
      <c r="J54">
        <v>-29.26</v>
      </c>
      <c r="K54">
        <v>-125.4</v>
      </c>
      <c r="L54">
        <v>0</v>
      </c>
      <c r="M54">
        <v>0</v>
      </c>
      <c r="N54">
        <v>0</v>
      </c>
      <c r="O54">
        <v>0</v>
      </c>
      <c r="P54" s="2">
        <f>(H54 + J54) - (L54 + N54)</f>
        <v>0</v>
      </c>
      <c r="Q54" s="2">
        <f>P54 * G54</f>
        <v>0</v>
      </c>
      <c r="R54">
        <v>0</v>
      </c>
      <c r="S54" s="2">
        <f>R54 * G54</f>
        <v>0</v>
      </c>
      <c r="T54" s="2">
        <f>(H54 + J54) - (L54 + N54) - R54</f>
        <v>0</v>
      </c>
      <c r="U54" s="2">
        <f>T54 * G54</f>
        <v>0</v>
      </c>
      <c r="V54" s="2">
        <f>I54 + K54 - S54</f>
        <v>0</v>
      </c>
      <c r="W54" s="2">
        <f>M54 - V54</f>
        <v>0</v>
      </c>
      <c r="X54" s="2">
        <f>IFERROR(W54 / M54 * 100, 0)</f>
        <v>0</v>
      </c>
    </row>
    <row r="55" spans="1:24">
      <c r="A55" t="s">
        <v>2719</v>
      </c>
      <c r="B55" t="s">
        <v>513</v>
      </c>
      <c r="C55" t="s">
        <v>3212</v>
      </c>
      <c r="D55" t="s">
        <v>1007</v>
      </c>
      <c r="E55" t="s">
        <v>3652</v>
      </c>
      <c r="F55" t="s">
        <v>3707</v>
      </c>
      <c r="G55">
        <v>5.86</v>
      </c>
      <c r="H55">
        <v>0</v>
      </c>
      <c r="I55">
        <v>0</v>
      </c>
      <c r="J55">
        <v>74.59999999999999</v>
      </c>
      <c r="K55">
        <v>445.6</v>
      </c>
      <c r="L55">
        <v>55.3</v>
      </c>
      <c r="M55">
        <v>1658.85</v>
      </c>
      <c r="N55">
        <v>5.3</v>
      </c>
      <c r="O55">
        <v>31.99</v>
      </c>
      <c r="P55" s="2">
        <f>(H55 + J55) - (L55 + N55)</f>
        <v>0</v>
      </c>
      <c r="Q55" s="2">
        <f>P55 * G55</f>
        <v>0</v>
      </c>
      <c r="R55">
        <v>0</v>
      </c>
      <c r="S55" s="2">
        <f>R55 * G55</f>
        <v>0</v>
      </c>
      <c r="T55" s="2">
        <f>(H55 + J55) - (L55 + N55) - R55</f>
        <v>0</v>
      </c>
      <c r="U55" s="2">
        <f>T55 * G55</f>
        <v>0</v>
      </c>
      <c r="V55" s="2">
        <f>I55 + K55 - S55</f>
        <v>0</v>
      </c>
      <c r="W55" s="2">
        <f>M55 - V55</f>
        <v>0</v>
      </c>
      <c r="X55" s="2">
        <f>IFERROR(W55 / M55 * 100, 0)</f>
        <v>0</v>
      </c>
    </row>
    <row r="56" spans="1:24">
      <c r="A56" t="s">
        <v>2720</v>
      </c>
      <c r="B56" t="s">
        <v>513</v>
      </c>
      <c r="C56" t="s">
        <v>3213</v>
      </c>
      <c r="D56" t="s">
        <v>1007</v>
      </c>
      <c r="E56" t="s">
        <v>3652</v>
      </c>
      <c r="F56" t="s">
        <v>3708</v>
      </c>
      <c r="G56">
        <v>14.18</v>
      </c>
      <c r="H56">
        <v>9</v>
      </c>
      <c r="I56">
        <v>115.55</v>
      </c>
      <c r="J56">
        <v>5.58</v>
      </c>
      <c r="K56">
        <v>43.49</v>
      </c>
      <c r="L56">
        <v>25.23</v>
      </c>
      <c r="M56">
        <v>1009.2</v>
      </c>
      <c r="N56">
        <v>0</v>
      </c>
      <c r="O56">
        <v>0</v>
      </c>
      <c r="P56" s="2">
        <f>(H56 + J56) - (L56 + N56)</f>
        <v>0</v>
      </c>
      <c r="Q56" s="2">
        <f>P56 * G56</f>
        <v>0</v>
      </c>
      <c r="R56">
        <v>5</v>
      </c>
      <c r="S56" s="2">
        <f>R56 * G56</f>
        <v>0</v>
      </c>
      <c r="T56" s="2">
        <f>(H56 + J56) - (L56 + N56) - R56</f>
        <v>0</v>
      </c>
      <c r="U56" s="2">
        <f>T56 * G56</f>
        <v>0</v>
      </c>
      <c r="V56" s="2">
        <f>I56 + K56 - S56</f>
        <v>0</v>
      </c>
      <c r="W56" s="2">
        <f>M56 - V56</f>
        <v>0</v>
      </c>
      <c r="X56" s="2">
        <f>IFERROR(W56 / M56 * 100, 0)</f>
        <v>0</v>
      </c>
    </row>
    <row r="57" spans="1:24">
      <c r="A57" t="s">
        <v>2721</v>
      </c>
      <c r="B57" t="s">
        <v>513</v>
      </c>
      <c r="C57" t="s">
        <v>3214</v>
      </c>
      <c r="D57" t="s">
        <v>1008</v>
      </c>
      <c r="E57" t="s">
        <v>3652</v>
      </c>
      <c r="F57" t="s">
        <v>3709</v>
      </c>
      <c r="G57">
        <v>0.93</v>
      </c>
      <c r="H57">
        <v>0</v>
      </c>
      <c r="I57">
        <v>0</v>
      </c>
      <c r="J57">
        <v>37</v>
      </c>
      <c r="K57">
        <v>34.39</v>
      </c>
      <c r="L57">
        <v>33</v>
      </c>
      <c r="M57">
        <v>66</v>
      </c>
      <c r="N57">
        <v>5</v>
      </c>
      <c r="O57">
        <v>4.63</v>
      </c>
      <c r="P57" s="2">
        <f>(H57 + J57) - (L57 + N57)</f>
        <v>0</v>
      </c>
      <c r="Q57" s="2">
        <f>P57 * G57</f>
        <v>0</v>
      </c>
      <c r="R57">
        <v>0</v>
      </c>
      <c r="S57" s="2">
        <f>R57 * G57</f>
        <v>0</v>
      </c>
      <c r="T57" s="2">
        <f>(H57 + J57) - (L57 + N57) - R57</f>
        <v>0</v>
      </c>
      <c r="U57" s="2">
        <f>T57 * G57</f>
        <v>0</v>
      </c>
      <c r="V57" s="2">
        <f>I57 + K57 - S57</f>
        <v>0</v>
      </c>
      <c r="W57" s="2">
        <f>M57 - V57</f>
        <v>0</v>
      </c>
      <c r="X57" s="2">
        <f>IFERROR(W57 / M57 * 100, 0)</f>
        <v>0</v>
      </c>
    </row>
    <row r="58" spans="1:24">
      <c r="A58" t="s">
        <v>2722</v>
      </c>
      <c r="B58" t="s">
        <v>513</v>
      </c>
      <c r="C58" t="s">
        <v>3215</v>
      </c>
      <c r="D58" t="s">
        <v>1007</v>
      </c>
      <c r="E58" t="s">
        <v>3652</v>
      </c>
      <c r="F58" t="s">
        <v>3710</v>
      </c>
      <c r="G58">
        <v>4.35</v>
      </c>
      <c r="H58">
        <v>9</v>
      </c>
      <c r="I58">
        <v>35.21</v>
      </c>
      <c r="J58">
        <v>9.25</v>
      </c>
      <c r="K58">
        <v>15.71</v>
      </c>
      <c r="L58">
        <v>1.12</v>
      </c>
      <c r="M58">
        <v>44.8</v>
      </c>
      <c r="N58">
        <v>0</v>
      </c>
      <c r="O58">
        <v>0</v>
      </c>
      <c r="P58" s="2">
        <f>(H58 + J58) - (L58 + N58)</f>
        <v>0</v>
      </c>
      <c r="Q58" s="2">
        <f>P58 * G58</f>
        <v>0</v>
      </c>
      <c r="R58">
        <v>5</v>
      </c>
      <c r="S58" s="2">
        <f>R58 * G58</f>
        <v>0</v>
      </c>
      <c r="T58" s="2">
        <f>(H58 + J58) - (L58 + N58) - R58</f>
        <v>0</v>
      </c>
      <c r="U58" s="2">
        <f>T58 * G58</f>
        <v>0</v>
      </c>
      <c r="V58" s="2">
        <f>I58 + K58 - S58</f>
        <v>0</v>
      </c>
      <c r="W58" s="2">
        <f>M58 - V58</f>
        <v>0</v>
      </c>
      <c r="X58" s="2">
        <f>IFERROR(W58 / M58 * 100, 0)</f>
        <v>0</v>
      </c>
    </row>
    <row r="59" spans="1:24">
      <c r="A59" t="s">
        <v>2723</v>
      </c>
      <c r="B59" t="s">
        <v>513</v>
      </c>
      <c r="C59" t="s">
        <v>3216</v>
      </c>
      <c r="D59" t="s">
        <v>1007</v>
      </c>
      <c r="E59" t="s">
        <v>3652</v>
      </c>
      <c r="F59" t="s">
        <v>3711</v>
      </c>
      <c r="G59">
        <v>15.65</v>
      </c>
      <c r="H59">
        <v>0</v>
      </c>
      <c r="I59">
        <v>0</v>
      </c>
      <c r="J59">
        <v>235.7</v>
      </c>
      <c r="K59">
        <v>3637.79</v>
      </c>
      <c r="L59">
        <v>150.84</v>
      </c>
      <c r="M59">
        <v>4826.72</v>
      </c>
      <c r="N59">
        <v>35.4</v>
      </c>
      <c r="O59">
        <v>542.61</v>
      </c>
      <c r="P59" s="2">
        <f>(H59 + J59) - (L59 + N59)</f>
        <v>0</v>
      </c>
      <c r="Q59" s="2">
        <f>P59 * G59</f>
        <v>0</v>
      </c>
      <c r="R59">
        <v>0</v>
      </c>
      <c r="S59" s="2">
        <f>R59 * G59</f>
        <v>0</v>
      </c>
      <c r="T59" s="2">
        <f>(H59 + J59) - (L59 + N59) - R59</f>
        <v>0</v>
      </c>
      <c r="U59" s="2">
        <f>T59 * G59</f>
        <v>0</v>
      </c>
      <c r="V59" s="2">
        <f>I59 + K59 - S59</f>
        <v>0</v>
      </c>
      <c r="W59" s="2">
        <f>M59 - V59</f>
        <v>0</v>
      </c>
      <c r="X59" s="2">
        <f>IFERROR(W59 / M59 * 100, 0)</f>
        <v>0</v>
      </c>
    </row>
    <row r="60" spans="1:24">
      <c r="A60" t="s">
        <v>2724</v>
      </c>
      <c r="B60" t="s">
        <v>513</v>
      </c>
      <c r="C60" t="s">
        <v>3217</v>
      </c>
      <c r="D60" t="s">
        <v>1008</v>
      </c>
      <c r="E60" t="s">
        <v>3652</v>
      </c>
      <c r="F60" t="s">
        <v>3712</v>
      </c>
      <c r="G60">
        <v>0.27</v>
      </c>
      <c r="H60">
        <v>0</v>
      </c>
      <c r="I60">
        <v>0</v>
      </c>
      <c r="J60">
        <v>130</v>
      </c>
      <c r="K60">
        <v>33.39</v>
      </c>
      <c r="L60">
        <v>183</v>
      </c>
      <c r="M60">
        <v>228.75</v>
      </c>
      <c r="N60">
        <v>0</v>
      </c>
      <c r="O60">
        <v>0</v>
      </c>
      <c r="P60" s="2">
        <f>(H60 + J60) - (L60 + N60)</f>
        <v>0</v>
      </c>
      <c r="Q60" s="2">
        <f>P60 * G60</f>
        <v>0</v>
      </c>
      <c r="R60">
        <v>0</v>
      </c>
      <c r="S60" s="2">
        <f>R60 * G60</f>
        <v>0</v>
      </c>
      <c r="T60" s="2">
        <f>(H60 + J60) - (L60 + N60) - R60</f>
        <v>0</v>
      </c>
      <c r="U60" s="2">
        <f>T60 * G60</f>
        <v>0</v>
      </c>
      <c r="V60" s="2">
        <f>I60 + K60 - S60</f>
        <v>0</v>
      </c>
      <c r="W60" s="2">
        <f>M60 - V60</f>
        <v>0</v>
      </c>
      <c r="X60" s="2">
        <f>IFERROR(W60 / M60 * 100, 0)</f>
        <v>0</v>
      </c>
    </row>
    <row r="61" spans="1:24">
      <c r="A61" t="s">
        <v>2725</v>
      </c>
      <c r="B61" t="s">
        <v>513</v>
      </c>
      <c r="C61" t="s">
        <v>3218</v>
      </c>
      <c r="D61" t="s">
        <v>1008</v>
      </c>
      <c r="E61" t="s">
        <v>3652</v>
      </c>
      <c r="F61" t="s">
        <v>3713</v>
      </c>
      <c r="G61">
        <v>0.6</v>
      </c>
      <c r="H61">
        <v>0</v>
      </c>
      <c r="I61">
        <v>0</v>
      </c>
      <c r="J61">
        <v>242</v>
      </c>
      <c r="K61">
        <v>143.17</v>
      </c>
      <c r="L61">
        <v>280</v>
      </c>
      <c r="M61">
        <v>560</v>
      </c>
      <c r="N61">
        <v>0</v>
      </c>
      <c r="O61">
        <v>0</v>
      </c>
      <c r="P61" s="2">
        <f>(H61 + J61) - (L61 + N61)</f>
        <v>0</v>
      </c>
      <c r="Q61" s="2">
        <f>P61 * G61</f>
        <v>0</v>
      </c>
      <c r="R61">
        <v>0</v>
      </c>
      <c r="S61" s="2">
        <f>R61 * G61</f>
        <v>0</v>
      </c>
      <c r="T61" s="2">
        <f>(H61 + J61) - (L61 + N61) - R61</f>
        <v>0</v>
      </c>
      <c r="U61" s="2">
        <f>T61 * G61</f>
        <v>0</v>
      </c>
      <c r="V61" s="2">
        <f>I61 + K61 - S61</f>
        <v>0</v>
      </c>
      <c r="W61" s="2">
        <f>M61 - V61</f>
        <v>0</v>
      </c>
      <c r="X61" s="2">
        <f>IFERROR(W61 / M61 * 100, 0)</f>
        <v>0</v>
      </c>
    </row>
    <row r="62" spans="1:24">
      <c r="A62" t="s">
        <v>2726</v>
      </c>
      <c r="B62" t="s">
        <v>513</v>
      </c>
      <c r="C62" t="s">
        <v>3219</v>
      </c>
      <c r="D62" t="s">
        <v>1007</v>
      </c>
      <c r="E62" t="s">
        <v>3652</v>
      </c>
      <c r="F62" t="s">
        <v>3714</v>
      </c>
      <c r="G62">
        <v>8.26</v>
      </c>
      <c r="H62">
        <v>5</v>
      </c>
      <c r="I62">
        <v>38.69</v>
      </c>
      <c r="J62">
        <v>16.83</v>
      </c>
      <c r="K62">
        <v>140.47</v>
      </c>
      <c r="L62">
        <v>5.84</v>
      </c>
      <c r="M62">
        <v>233.6</v>
      </c>
      <c r="N62">
        <v>0</v>
      </c>
      <c r="O62">
        <v>0</v>
      </c>
      <c r="P62" s="2">
        <f>(H62 + J62) - (L62 + N62)</f>
        <v>0</v>
      </c>
      <c r="Q62" s="2">
        <f>P62 * G62</f>
        <v>0</v>
      </c>
      <c r="R62">
        <v>4</v>
      </c>
      <c r="S62" s="2">
        <f>R62 * G62</f>
        <v>0</v>
      </c>
      <c r="T62" s="2">
        <f>(H62 + J62) - (L62 + N62) - R62</f>
        <v>0</v>
      </c>
      <c r="U62" s="2">
        <f>T62 * G62</f>
        <v>0</v>
      </c>
      <c r="V62" s="2">
        <f>I62 + K62 - S62</f>
        <v>0</v>
      </c>
      <c r="W62" s="2">
        <f>M62 - V62</f>
        <v>0</v>
      </c>
      <c r="X62" s="2">
        <f>IFERROR(W62 / M62 * 100, 0)</f>
        <v>0</v>
      </c>
    </row>
    <row r="63" spans="1:24">
      <c r="A63" t="s">
        <v>2727</v>
      </c>
      <c r="B63" t="s">
        <v>513</v>
      </c>
      <c r="C63" t="s">
        <v>3220</v>
      </c>
      <c r="D63" t="s">
        <v>1007</v>
      </c>
      <c r="E63" t="s">
        <v>3652</v>
      </c>
      <c r="F63" t="s">
        <v>3715</v>
      </c>
      <c r="G63">
        <v>6.59</v>
      </c>
      <c r="H63">
        <v>0</v>
      </c>
      <c r="I63">
        <v>0</v>
      </c>
      <c r="J63">
        <v>202.3</v>
      </c>
      <c r="K63">
        <v>1346.16</v>
      </c>
      <c r="L63">
        <v>124.04</v>
      </c>
      <c r="M63">
        <v>4217.36</v>
      </c>
      <c r="N63">
        <v>46.4</v>
      </c>
      <c r="O63">
        <v>309.88</v>
      </c>
      <c r="P63" s="2">
        <f>(H63 + J63) - (L63 + N63)</f>
        <v>0</v>
      </c>
      <c r="Q63" s="2">
        <f>P63 * G63</f>
        <v>0</v>
      </c>
      <c r="R63">
        <v>0</v>
      </c>
      <c r="S63" s="2">
        <f>R63 * G63</f>
        <v>0</v>
      </c>
      <c r="T63" s="2">
        <f>(H63 + J63) - (L63 + N63) - R63</f>
        <v>0</v>
      </c>
      <c r="U63" s="2">
        <f>T63 * G63</f>
        <v>0</v>
      </c>
      <c r="V63" s="2">
        <f>I63 + K63 - S63</f>
        <v>0</v>
      </c>
      <c r="W63" s="2">
        <f>M63 - V63</f>
        <v>0</v>
      </c>
      <c r="X63" s="2">
        <f>IFERROR(W63 / M63 * 100, 0)</f>
        <v>0</v>
      </c>
    </row>
    <row r="64" spans="1:24">
      <c r="A64" t="s">
        <v>2728</v>
      </c>
      <c r="B64" t="s">
        <v>513</v>
      </c>
      <c r="C64" t="s">
        <v>3221</v>
      </c>
      <c r="D64" t="s">
        <v>1008</v>
      </c>
      <c r="E64" t="s">
        <v>3652</v>
      </c>
      <c r="F64" t="s">
        <v>3716</v>
      </c>
      <c r="G64">
        <v>4.13</v>
      </c>
      <c r="H64">
        <v>6</v>
      </c>
      <c r="I64">
        <v>24.68</v>
      </c>
      <c r="J64">
        <v>277</v>
      </c>
      <c r="K64">
        <v>1133.28</v>
      </c>
      <c r="L64">
        <v>281</v>
      </c>
      <c r="M64">
        <v>1826.5</v>
      </c>
      <c r="N64">
        <v>0</v>
      </c>
      <c r="O64">
        <v>0</v>
      </c>
      <c r="P64" s="2">
        <f>(H64 + J64) - (L64 + N64)</f>
        <v>0</v>
      </c>
      <c r="Q64" s="2">
        <f>P64 * G64</f>
        <v>0</v>
      </c>
      <c r="R64">
        <v>10</v>
      </c>
      <c r="S64" s="2">
        <f>R64 * G64</f>
        <v>0</v>
      </c>
      <c r="T64" s="2">
        <f>(H64 + J64) - (L64 + N64) - R64</f>
        <v>0</v>
      </c>
      <c r="U64" s="2">
        <f>T64 * G64</f>
        <v>0</v>
      </c>
      <c r="V64" s="2">
        <f>I64 + K64 - S64</f>
        <v>0</v>
      </c>
      <c r="W64" s="2">
        <f>M64 - V64</f>
        <v>0</v>
      </c>
      <c r="X64" s="2">
        <f>IFERROR(W64 / M64 * 100, 0)</f>
        <v>0</v>
      </c>
    </row>
    <row r="65" spans="1:24">
      <c r="A65" t="s">
        <v>2729</v>
      </c>
      <c r="B65" t="s">
        <v>513</v>
      </c>
      <c r="C65" t="s">
        <v>3222</v>
      </c>
      <c r="D65" t="s">
        <v>1007</v>
      </c>
      <c r="E65" t="s">
        <v>3652</v>
      </c>
      <c r="F65" t="s">
        <v>3717</v>
      </c>
      <c r="G65">
        <v>3.89</v>
      </c>
      <c r="H65">
        <v>15</v>
      </c>
      <c r="I65">
        <v>58.34</v>
      </c>
      <c r="J65">
        <v>5</v>
      </c>
      <c r="K65">
        <v>19.35</v>
      </c>
      <c r="L65">
        <v>5.44</v>
      </c>
      <c r="M65">
        <v>130.56</v>
      </c>
      <c r="N65">
        <v>0</v>
      </c>
      <c r="O65">
        <v>0</v>
      </c>
      <c r="P65" s="2">
        <f>(H65 + J65) - (L65 + N65)</f>
        <v>0</v>
      </c>
      <c r="Q65" s="2">
        <f>P65 * G65</f>
        <v>0</v>
      </c>
      <c r="R65">
        <v>4</v>
      </c>
      <c r="S65" s="2">
        <f>R65 * G65</f>
        <v>0</v>
      </c>
      <c r="T65" s="2">
        <f>(H65 + J65) - (L65 + N65) - R65</f>
        <v>0</v>
      </c>
      <c r="U65" s="2">
        <f>T65 * G65</f>
        <v>0</v>
      </c>
      <c r="V65" s="2">
        <f>I65 + K65 - S65</f>
        <v>0</v>
      </c>
      <c r="W65" s="2">
        <f>M65 - V65</f>
        <v>0</v>
      </c>
      <c r="X65" s="2">
        <f>IFERROR(W65 / M65 * 100, 0)</f>
        <v>0</v>
      </c>
    </row>
    <row r="66" spans="1:24">
      <c r="A66" t="s">
        <v>2730</v>
      </c>
      <c r="B66" t="s">
        <v>513</v>
      </c>
      <c r="C66" t="s">
        <v>3223</v>
      </c>
      <c r="D66" t="s">
        <v>1007</v>
      </c>
      <c r="E66" t="s">
        <v>3652</v>
      </c>
      <c r="F66" t="s">
        <v>3718</v>
      </c>
      <c r="G66">
        <v>9.029999999999999</v>
      </c>
      <c r="H66">
        <v>6</v>
      </c>
      <c r="I66">
        <v>52.25</v>
      </c>
      <c r="J66">
        <v>15.83</v>
      </c>
      <c r="K66">
        <v>111.18</v>
      </c>
      <c r="L66">
        <v>15.26</v>
      </c>
      <c r="M66">
        <v>381.61</v>
      </c>
      <c r="N66">
        <v>0</v>
      </c>
      <c r="O66">
        <v>0</v>
      </c>
      <c r="P66" s="2">
        <f>(H66 + J66) - (L66 + N66)</f>
        <v>0</v>
      </c>
      <c r="Q66" s="2">
        <f>P66 * G66</f>
        <v>0</v>
      </c>
      <c r="R66">
        <v>5</v>
      </c>
      <c r="S66" s="2">
        <f>R66 * G66</f>
        <v>0</v>
      </c>
      <c r="T66" s="2">
        <f>(H66 + J66) - (L66 + N66) - R66</f>
        <v>0</v>
      </c>
      <c r="U66" s="2">
        <f>T66 * G66</f>
        <v>0</v>
      </c>
      <c r="V66" s="2">
        <f>I66 + K66 - S66</f>
        <v>0</v>
      </c>
      <c r="W66" s="2">
        <f>M66 - V66</f>
        <v>0</v>
      </c>
      <c r="X66" s="2">
        <f>IFERROR(W66 / M66 * 100, 0)</f>
        <v>0</v>
      </c>
    </row>
    <row r="67" spans="1:24">
      <c r="A67" t="s">
        <v>2731</v>
      </c>
      <c r="B67" t="s">
        <v>513</v>
      </c>
      <c r="C67" t="s">
        <v>3224</v>
      </c>
      <c r="D67" t="s">
        <v>1007</v>
      </c>
      <c r="E67" t="s">
        <v>3652</v>
      </c>
      <c r="F67" t="s">
        <v>3719</v>
      </c>
      <c r="G67">
        <v>15.65</v>
      </c>
      <c r="H67">
        <v>4</v>
      </c>
      <c r="I67">
        <v>60.65</v>
      </c>
      <c r="J67">
        <v>4.58</v>
      </c>
      <c r="K67">
        <v>73.2</v>
      </c>
      <c r="L67">
        <v>1.99</v>
      </c>
      <c r="M67">
        <v>99.5</v>
      </c>
      <c r="N67">
        <v>0</v>
      </c>
      <c r="O67">
        <v>0</v>
      </c>
      <c r="P67" s="2">
        <f>(H67 + J67) - (L67 + N67)</f>
        <v>0</v>
      </c>
      <c r="Q67" s="2">
        <f>P67 * G67</f>
        <v>0</v>
      </c>
      <c r="R67">
        <v>7</v>
      </c>
      <c r="S67" s="2">
        <f>R67 * G67</f>
        <v>0</v>
      </c>
      <c r="T67" s="2">
        <f>(H67 + J67) - (L67 + N67) - R67</f>
        <v>0</v>
      </c>
      <c r="U67" s="2">
        <f>T67 * G67</f>
        <v>0</v>
      </c>
      <c r="V67" s="2">
        <f>I67 + K67 - S67</f>
        <v>0</v>
      </c>
      <c r="W67" s="2">
        <f>M67 - V67</f>
        <v>0</v>
      </c>
      <c r="X67" s="2">
        <f>IFERROR(W67 / M67 * 100, 0)</f>
        <v>0</v>
      </c>
    </row>
    <row r="68" spans="1:24">
      <c r="A68" t="s">
        <v>2732</v>
      </c>
      <c r="B68" t="s">
        <v>513</v>
      </c>
      <c r="C68" t="s">
        <v>3225</v>
      </c>
      <c r="D68" t="s">
        <v>1007</v>
      </c>
      <c r="E68" t="s">
        <v>3652</v>
      </c>
      <c r="F68" t="s">
        <v>3720</v>
      </c>
      <c r="G68">
        <v>0.66</v>
      </c>
      <c r="H68">
        <v>40</v>
      </c>
      <c r="I68">
        <v>26.56</v>
      </c>
      <c r="J68">
        <v>0</v>
      </c>
      <c r="K68">
        <v>0</v>
      </c>
      <c r="L68">
        <v>22.39</v>
      </c>
      <c r="M68">
        <v>626.92</v>
      </c>
      <c r="N68">
        <v>0</v>
      </c>
      <c r="O68">
        <v>0</v>
      </c>
      <c r="P68" s="2">
        <f>(H68 + J68) - (L68 + N68)</f>
        <v>0</v>
      </c>
      <c r="Q68" s="2">
        <f>P68 * G68</f>
        <v>0</v>
      </c>
      <c r="R68">
        <v>12</v>
      </c>
      <c r="S68" s="2">
        <f>R68 * G68</f>
        <v>0</v>
      </c>
      <c r="T68" s="2">
        <f>(H68 + J68) - (L68 + N68) - R68</f>
        <v>0</v>
      </c>
      <c r="U68" s="2">
        <f>T68 * G68</f>
        <v>0</v>
      </c>
      <c r="V68" s="2">
        <f>I68 + K68 - S68</f>
        <v>0</v>
      </c>
      <c r="W68" s="2">
        <f>M68 - V68</f>
        <v>0</v>
      </c>
      <c r="X68" s="2">
        <f>IFERROR(W68 / M68 * 100, 0)</f>
        <v>0</v>
      </c>
    </row>
    <row r="69" spans="1:24">
      <c r="A69" t="s">
        <v>2733</v>
      </c>
      <c r="B69" t="s">
        <v>512</v>
      </c>
      <c r="C69" t="s">
        <v>3226</v>
      </c>
      <c r="D69" t="s">
        <v>1007</v>
      </c>
      <c r="E69" t="s">
        <v>3652</v>
      </c>
      <c r="F69" t="s">
        <v>3721</v>
      </c>
      <c r="G69">
        <v>6.4</v>
      </c>
      <c r="H69">
        <v>30</v>
      </c>
      <c r="I69">
        <v>191.97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s="2">
        <f>(H69 + J69) - (L69 + N69)</f>
        <v>0</v>
      </c>
      <c r="Q69" s="2">
        <f>P69 * G69</f>
        <v>0</v>
      </c>
      <c r="R69">
        <v>36</v>
      </c>
      <c r="S69" s="2">
        <f>R69 * G69</f>
        <v>0</v>
      </c>
      <c r="T69" s="2">
        <f>(H69 + J69) - (L69 + N69) - R69</f>
        <v>0</v>
      </c>
      <c r="U69" s="2">
        <f>T69 * G69</f>
        <v>0</v>
      </c>
      <c r="V69" s="2">
        <f>I69 + K69 - S69</f>
        <v>0</v>
      </c>
      <c r="W69" s="2">
        <f>M69 - V69</f>
        <v>0</v>
      </c>
      <c r="X69" s="2">
        <f>IFERROR(W69 / M69 * 100, 0)</f>
        <v>0</v>
      </c>
    </row>
    <row r="70" spans="1:24">
      <c r="A70" t="s">
        <v>2734</v>
      </c>
      <c r="B70" t="s">
        <v>512</v>
      </c>
      <c r="C70" t="s">
        <v>3227</v>
      </c>
      <c r="D70" t="s">
        <v>1007</v>
      </c>
      <c r="E70" t="s">
        <v>3652</v>
      </c>
      <c r="F70" t="s">
        <v>3722</v>
      </c>
      <c r="G70">
        <v>11.66</v>
      </c>
      <c r="H70">
        <v>3</v>
      </c>
      <c r="I70">
        <v>32.92</v>
      </c>
      <c r="J70">
        <v>71.7</v>
      </c>
      <c r="K70">
        <v>842.87</v>
      </c>
      <c r="L70">
        <v>0</v>
      </c>
      <c r="M70">
        <v>0</v>
      </c>
      <c r="N70">
        <v>0</v>
      </c>
      <c r="O70">
        <v>0</v>
      </c>
      <c r="P70" s="2">
        <f>(H70 + J70) - (L70 + N70)</f>
        <v>0</v>
      </c>
      <c r="Q70" s="2">
        <f>P70 * G70</f>
        <v>0</v>
      </c>
      <c r="R70">
        <v>10</v>
      </c>
      <c r="S70" s="2">
        <f>R70 * G70</f>
        <v>0</v>
      </c>
      <c r="T70" s="2">
        <f>(H70 + J70) - (L70 + N70) - R70</f>
        <v>0</v>
      </c>
      <c r="U70" s="2">
        <f>T70 * G70</f>
        <v>0</v>
      </c>
      <c r="V70" s="2">
        <f>I70 + K70 - S70</f>
        <v>0</v>
      </c>
      <c r="W70" s="2">
        <f>M70 - V70</f>
        <v>0</v>
      </c>
      <c r="X70" s="2">
        <f>IFERROR(W70 / M70 * 100, 0)</f>
        <v>0</v>
      </c>
    </row>
    <row r="71" spans="1:24">
      <c r="A71" t="s">
        <v>2735</v>
      </c>
      <c r="B71" t="s">
        <v>512</v>
      </c>
      <c r="C71" t="s">
        <v>3228</v>
      </c>
      <c r="D71" t="s">
        <v>1008</v>
      </c>
      <c r="E71" t="s">
        <v>3652</v>
      </c>
      <c r="F71" t="s">
        <v>3723</v>
      </c>
      <c r="G71">
        <v>195</v>
      </c>
      <c r="H71">
        <v>1</v>
      </c>
      <c r="I71">
        <v>195</v>
      </c>
      <c r="J71">
        <v>2</v>
      </c>
      <c r="K71">
        <v>390</v>
      </c>
      <c r="L71">
        <v>0</v>
      </c>
      <c r="M71">
        <v>0</v>
      </c>
      <c r="N71">
        <v>0</v>
      </c>
      <c r="O71">
        <v>0</v>
      </c>
      <c r="P71" s="2">
        <f>(H71 + J71) - (L71 + N71)</f>
        <v>0</v>
      </c>
      <c r="Q71" s="2">
        <f>P71 * G71</f>
        <v>0</v>
      </c>
      <c r="R71">
        <v>1</v>
      </c>
      <c r="S71" s="2">
        <f>R71 * G71</f>
        <v>0</v>
      </c>
      <c r="T71" s="2">
        <f>(H71 + J71) - (L71 + N71) - R71</f>
        <v>0</v>
      </c>
      <c r="U71" s="2">
        <f>T71 * G71</f>
        <v>0</v>
      </c>
      <c r="V71" s="2">
        <f>I71 + K71 - S71</f>
        <v>0</v>
      </c>
      <c r="W71" s="2">
        <f>M71 - V71</f>
        <v>0</v>
      </c>
      <c r="X71" s="2">
        <f>IFERROR(W71 / M71 * 100, 0)</f>
        <v>0</v>
      </c>
    </row>
    <row r="72" spans="1:24">
      <c r="A72" t="s">
        <v>2736</v>
      </c>
      <c r="B72" t="s">
        <v>513</v>
      </c>
      <c r="C72" t="s">
        <v>3229</v>
      </c>
      <c r="D72" t="s">
        <v>1007</v>
      </c>
      <c r="E72" t="s">
        <v>3652</v>
      </c>
      <c r="F72" t="s">
        <v>3724</v>
      </c>
      <c r="G72">
        <v>13.25</v>
      </c>
      <c r="H72">
        <v>1</v>
      </c>
      <c r="I72">
        <v>14.57</v>
      </c>
      <c r="J72">
        <v>11.26</v>
      </c>
      <c r="K72">
        <v>151.43</v>
      </c>
      <c r="L72">
        <v>8.06</v>
      </c>
      <c r="M72">
        <v>241.65</v>
      </c>
      <c r="N72">
        <v>0</v>
      </c>
      <c r="O72">
        <v>0</v>
      </c>
      <c r="P72" s="2">
        <f>(H72 + J72) - (L72 + N72)</f>
        <v>0</v>
      </c>
      <c r="Q72" s="2">
        <f>P72 * G72</f>
        <v>0</v>
      </c>
      <c r="R72">
        <v>5</v>
      </c>
      <c r="S72" s="2">
        <f>R72 * G72</f>
        <v>0</v>
      </c>
      <c r="T72" s="2">
        <f>(H72 + J72) - (L72 + N72) - R72</f>
        <v>0</v>
      </c>
      <c r="U72" s="2">
        <f>T72 * G72</f>
        <v>0</v>
      </c>
      <c r="V72" s="2">
        <f>I72 + K72 - S72</f>
        <v>0</v>
      </c>
      <c r="W72" s="2">
        <f>M72 - V72</f>
        <v>0</v>
      </c>
      <c r="X72" s="2">
        <f>IFERROR(W72 / M72 * 100, 0)</f>
        <v>0</v>
      </c>
    </row>
    <row r="73" spans="1:24">
      <c r="A73" t="s">
        <v>2737</v>
      </c>
      <c r="B73" t="s">
        <v>513</v>
      </c>
      <c r="C73" t="s">
        <v>3230</v>
      </c>
      <c r="D73" t="s">
        <v>1007</v>
      </c>
      <c r="E73" t="s">
        <v>3652</v>
      </c>
      <c r="F73" t="s">
        <v>3725</v>
      </c>
      <c r="G73">
        <v>10.48</v>
      </c>
      <c r="H73">
        <v>0</v>
      </c>
      <c r="I73">
        <v>0</v>
      </c>
      <c r="J73">
        <v>21.2</v>
      </c>
      <c r="K73">
        <v>223.3</v>
      </c>
      <c r="L73">
        <v>10.87</v>
      </c>
      <c r="M73">
        <v>217.4</v>
      </c>
      <c r="N73">
        <v>1.2</v>
      </c>
      <c r="O73">
        <v>12.61</v>
      </c>
      <c r="P73" s="2">
        <f>(H73 + J73) - (L73 + N73)</f>
        <v>0</v>
      </c>
      <c r="Q73" s="2">
        <f>P73 * G73</f>
        <v>0</v>
      </c>
      <c r="R73">
        <v>0</v>
      </c>
      <c r="S73" s="2">
        <f>R73 * G73</f>
        <v>0</v>
      </c>
      <c r="T73" s="2">
        <f>(H73 + J73) - (L73 + N73) - R73</f>
        <v>0</v>
      </c>
      <c r="U73" s="2">
        <f>T73 * G73</f>
        <v>0</v>
      </c>
      <c r="V73" s="2">
        <f>I73 + K73 - S73</f>
        <v>0</v>
      </c>
      <c r="W73" s="2">
        <f>M73 - V73</f>
        <v>0</v>
      </c>
      <c r="X73" s="2">
        <f>IFERROR(W73 / M73 * 100, 0)</f>
        <v>0</v>
      </c>
    </row>
    <row r="74" spans="1:24">
      <c r="A74" t="s">
        <v>2738</v>
      </c>
      <c r="B74" t="s">
        <v>513</v>
      </c>
      <c r="C74" t="s">
        <v>3231</v>
      </c>
      <c r="D74" t="s">
        <v>1008</v>
      </c>
      <c r="E74" t="s">
        <v>3652</v>
      </c>
      <c r="F74" t="s">
        <v>3726</v>
      </c>
      <c r="G74">
        <v>5.31</v>
      </c>
      <c r="H74">
        <v>0</v>
      </c>
      <c r="I74">
        <v>0</v>
      </c>
      <c r="J74">
        <v>0</v>
      </c>
      <c r="K74">
        <v>0</v>
      </c>
      <c r="L74">
        <v>225</v>
      </c>
      <c r="M74">
        <v>1575</v>
      </c>
      <c r="N74">
        <v>0</v>
      </c>
      <c r="O74">
        <v>0</v>
      </c>
      <c r="P74" s="2">
        <f>(H74 + J74) - (L74 + N74)</f>
        <v>0</v>
      </c>
      <c r="Q74" s="2">
        <f>P74 * G74</f>
        <v>0</v>
      </c>
      <c r="R74">
        <v>0</v>
      </c>
      <c r="S74" s="2">
        <f>R74 * G74</f>
        <v>0</v>
      </c>
      <c r="T74" s="2">
        <f>(H74 + J74) - (L74 + N74) - R74</f>
        <v>0</v>
      </c>
      <c r="U74" s="2">
        <f>T74 * G74</f>
        <v>0</v>
      </c>
      <c r="V74" s="2">
        <f>I74 + K74 - S74</f>
        <v>0</v>
      </c>
      <c r="W74" s="2">
        <f>M74 - V74</f>
        <v>0</v>
      </c>
      <c r="X74" s="2">
        <f>IFERROR(W74 / M74 * 100, 0)</f>
        <v>0</v>
      </c>
    </row>
    <row r="75" spans="1:24">
      <c r="A75" t="s">
        <v>2739</v>
      </c>
      <c r="B75" t="s">
        <v>513</v>
      </c>
      <c r="C75" t="s">
        <v>3232</v>
      </c>
      <c r="D75" t="s">
        <v>1007</v>
      </c>
      <c r="E75" t="s">
        <v>3652</v>
      </c>
      <c r="F75" t="s">
        <v>3727</v>
      </c>
      <c r="G75">
        <v>4.16</v>
      </c>
      <c r="H75">
        <v>0</v>
      </c>
      <c r="I75">
        <v>0</v>
      </c>
      <c r="J75">
        <v>6.1</v>
      </c>
      <c r="K75">
        <v>26.48</v>
      </c>
      <c r="L75">
        <v>4.49</v>
      </c>
      <c r="M75">
        <v>89.8</v>
      </c>
      <c r="N75">
        <v>0</v>
      </c>
      <c r="O75">
        <v>0</v>
      </c>
      <c r="P75" s="2">
        <f>(H75 + J75) - (L75 + N75)</f>
        <v>0</v>
      </c>
      <c r="Q75" s="2">
        <f>P75 * G75</f>
        <v>0</v>
      </c>
      <c r="R75">
        <v>0</v>
      </c>
      <c r="S75" s="2">
        <f>R75 * G75</f>
        <v>0</v>
      </c>
      <c r="T75" s="2">
        <f>(H75 + J75) - (L75 + N75) - R75</f>
        <v>0</v>
      </c>
      <c r="U75" s="2">
        <f>T75 * G75</f>
        <v>0</v>
      </c>
      <c r="V75" s="2">
        <f>I75 + K75 - S75</f>
        <v>0</v>
      </c>
      <c r="W75" s="2">
        <f>M75 - V75</f>
        <v>0</v>
      </c>
      <c r="X75" s="2">
        <f>IFERROR(W75 / M75 * 100, 0)</f>
        <v>0</v>
      </c>
    </row>
    <row r="76" spans="1:24">
      <c r="A76" t="s">
        <v>2740</v>
      </c>
      <c r="B76" t="s">
        <v>512</v>
      </c>
      <c r="C76" t="s">
        <v>3233</v>
      </c>
      <c r="D76" t="s">
        <v>1008</v>
      </c>
      <c r="E76" t="s">
        <v>3652</v>
      </c>
      <c r="F76" t="s">
        <v>3728</v>
      </c>
      <c r="G76">
        <v>0.38</v>
      </c>
      <c r="H76">
        <v>0</v>
      </c>
      <c r="I76">
        <v>0</v>
      </c>
      <c r="J76">
        <v>971.75</v>
      </c>
      <c r="K76">
        <v>440.55</v>
      </c>
      <c r="L76">
        <v>0</v>
      </c>
      <c r="M76">
        <v>0</v>
      </c>
      <c r="N76">
        <v>0</v>
      </c>
      <c r="O76">
        <v>0</v>
      </c>
      <c r="P76" s="2">
        <f>(H76 + J76) - (L76 + N76)</f>
        <v>0</v>
      </c>
      <c r="Q76" s="2">
        <f>P76 * G76</f>
        <v>0</v>
      </c>
      <c r="R76">
        <v>0</v>
      </c>
      <c r="S76" s="2">
        <f>R76 * G76</f>
        <v>0</v>
      </c>
      <c r="T76" s="2">
        <f>(H76 + J76) - (L76 + N76) - R76</f>
        <v>0</v>
      </c>
      <c r="U76" s="2">
        <f>T76 * G76</f>
        <v>0</v>
      </c>
      <c r="V76" s="2">
        <f>I76 + K76 - S76</f>
        <v>0</v>
      </c>
      <c r="W76" s="2">
        <f>M76 - V76</f>
        <v>0</v>
      </c>
      <c r="X76" s="2">
        <f>IFERROR(W76 / M76 * 100, 0)</f>
        <v>0</v>
      </c>
    </row>
    <row r="77" spans="1:24">
      <c r="A77" t="s">
        <v>2741</v>
      </c>
      <c r="B77" t="s">
        <v>512</v>
      </c>
      <c r="C77" t="s">
        <v>3234</v>
      </c>
      <c r="D77" t="s">
        <v>1007</v>
      </c>
      <c r="E77" t="s">
        <v>3652</v>
      </c>
      <c r="F77" t="s">
        <v>3729</v>
      </c>
      <c r="G77">
        <v>4.39</v>
      </c>
      <c r="H77">
        <v>0</v>
      </c>
      <c r="I77">
        <v>0</v>
      </c>
      <c r="J77">
        <v>-0.02</v>
      </c>
      <c r="K77">
        <v>-0.07000000000000001</v>
      </c>
      <c r="L77">
        <v>0</v>
      </c>
      <c r="M77">
        <v>0</v>
      </c>
      <c r="N77">
        <v>0</v>
      </c>
      <c r="O77">
        <v>0</v>
      </c>
      <c r="P77" s="2">
        <f>(H77 + J77) - (L77 + N77)</f>
        <v>0</v>
      </c>
      <c r="Q77" s="2">
        <f>P77 * G77</f>
        <v>0</v>
      </c>
      <c r="R77">
        <v>0</v>
      </c>
      <c r="S77" s="2">
        <f>R77 * G77</f>
        <v>0</v>
      </c>
      <c r="T77" s="2">
        <f>(H77 + J77) - (L77 + N77) - R77</f>
        <v>0</v>
      </c>
      <c r="U77" s="2">
        <f>T77 * G77</f>
        <v>0</v>
      </c>
      <c r="V77" s="2">
        <f>I77 + K77 - S77</f>
        <v>0</v>
      </c>
      <c r="W77" s="2">
        <f>M77 - V77</f>
        <v>0</v>
      </c>
      <c r="X77" s="2">
        <f>IFERROR(W77 / M77 * 100, 0)</f>
        <v>0</v>
      </c>
    </row>
    <row r="78" spans="1:24">
      <c r="A78" t="s">
        <v>2742</v>
      </c>
      <c r="B78" t="s">
        <v>512</v>
      </c>
      <c r="C78" t="s">
        <v>3235</v>
      </c>
      <c r="D78" t="s">
        <v>1007</v>
      </c>
      <c r="E78" t="s">
        <v>3652</v>
      </c>
      <c r="F78" t="s">
        <v>3730</v>
      </c>
      <c r="G78">
        <v>1.72</v>
      </c>
      <c r="H78">
        <v>5</v>
      </c>
      <c r="I78">
        <v>8.52</v>
      </c>
      <c r="J78">
        <v>83.79000000000001</v>
      </c>
      <c r="K78">
        <v>144.3</v>
      </c>
      <c r="L78">
        <v>0</v>
      </c>
      <c r="M78">
        <v>0</v>
      </c>
      <c r="N78">
        <v>0</v>
      </c>
      <c r="O78">
        <v>0</v>
      </c>
      <c r="P78" s="2">
        <f>(H78 + J78) - (L78 + N78)</f>
        <v>0</v>
      </c>
      <c r="Q78" s="2">
        <f>P78 * G78</f>
        <v>0</v>
      </c>
      <c r="R78">
        <v>15</v>
      </c>
      <c r="S78" s="2">
        <f>R78 * G78</f>
        <v>0</v>
      </c>
      <c r="T78" s="2">
        <f>(H78 + J78) - (L78 + N78) - R78</f>
        <v>0</v>
      </c>
      <c r="U78" s="2">
        <f>T78 * G78</f>
        <v>0</v>
      </c>
      <c r="V78" s="2">
        <f>I78 + K78 - S78</f>
        <v>0</v>
      </c>
      <c r="W78" s="2">
        <f>M78 - V78</f>
        <v>0</v>
      </c>
      <c r="X78" s="2">
        <f>IFERROR(W78 / M78 * 100, 0)</f>
        <v>0</v>
      </c>
    </row>
    <row r="79" spans="1:24">
      <c r="A79" t="s">
        <v>2743</v>
      </c>
      <c r="B79" t="s">
        <v>512</v>
      </c>
      <c r="C79" t="s">
        <v>3236</v>
      </c>
      <c r="D79" t="s">
        <v>1007</v>
      </c>
      <c r="E79" t="s">
        <v>3652</v>
      </c>
      <c r="F79" t="s">
        <v>3731</v>
      </c>
      <c r="G79">
        <v>74.19</v>
      </c>
      <c r="H79">
        <v>0</v>
      </c>
      <c r="I79">
        <v>0</v>
      </c>
      <c r="J79">
        <v>0.79</v>
      </c>
      <c r="K79">
        <v>58.01</v>
      </c>
      <c r="L79">
        <v>0</v>
      </c>
      <c r="M79">
        <v>0</v>
      </c>
      <c r="N79">
        <v>0</v>
      </c>
      <c r="O79">
        <v>0</v>
      </c>
      <c r="P79" s="2">
        <f>(H79 + J79) - (L79 + N79)</f>
        <v>0</v>
      </c>
      <c r="Q79" s="2">
        <f>P79 * G79</f>
        <v>0</v>
      </c>
      <c r="R79">
        <v>0</v>
      </c>
      <c r="S79" s="2">
        <f>R79 * G79</f>
        <v>0</v>
      </c>
      <c r="T79" s="2">
        <f>(H79 + J79) - (L79 + N79) - R79</f>
        <v>0</v>
      </c>
      <c r="U79" s="2">
        <f>T79 * G79</f>
        <v>0</v>
      </c>
      <c r="V79" s="2">
        <f>I79 + K79 - S79</f>
        <v>0</v>
      </c>
      <c r="W79" s="2">
        <f>M79 - V79</f>
        <v>0</v>
      </c>
      <c r="X79" s="2">
        <f>IFERROR(W79 / M79 * 100, 0)</f>
        <v>0</v>
      </c>
    </row>
    <row r="80" spans="1:24">
      <c r="A80" t="s">
        <v>2744</v>
      </c>
      <c r="B80" t="s">
        <v>512</v>
      </c>
      <c r="C80" t="s">
        <v>3237</v>
      </c>
      <c r="D80" t="s">
        <v>1007</v>
      </c>
      <c r="E80" t="s">
        <v>3652</v>
      </c>
      <c r="F80" t="s">
        <v>3732</v>
      </c>
      <c r="G80">
        <v>3.2</v>
      </c>
      <c r="H80">
        <v>0</v>
      </c>
      <c r="I80">
        <v>0</v>
      </c>
      <c r="J80">
        <v>-102.79</v>
      </c>
      <c r="K80">
        <v>-328.92</v>
      </c>
      <c r="L80">
        <v>0</v>
      </c>
      <c r="M80">
        <v>0</v>
      </c>
      <c r="N80">
        <v>0</v>
      </c>
      <c r="O80">
        <v>0</v>
      </c>
      <c r="P80" s="2">
        <f>(H80 + J80) - (L80 + N80)</f>
        <v>0</v>
      </c>
      <c r="Q80" s="2">
        <f>P80 * G80</f>
        <v>0</v>
      </c>
      <c r="R80">
        <v>0</v>
      </c>
      <c r="S80" s="2">
        <f>R80 * G80</f>
        <v>0</v>
      </c>
      <c r="T80" s="2">
        <f>(H80 + J80) - (L80 + N80) - R80</f>
        <v>0</v>
      </c>
      <c r="U80" s="2">
        <f>T80 * G80</f>
        <v>0</v>
      </c>
      <c r="V80" s="2">
        <f>I80 + K80 - S80</f>
        <v>0</v>
      </c>
      <c r="W80" s="2">
        <f>M80 - V80</f>
        <v>0</v>
      </c>
      <c r="X80" s="2">
        <f>IFERROR(W80 / M80 * 100, 0)</f>
        <v>0</v>
      </c>
    </row>
    <row r="81" spans="1:24">
      <c r="A81" t="s">
        <v>2745</v>
      </c>
      <c r="B81" t="s">
        <v>512</v>
      </c>
      <c r="C81" t="s">
        <v>3238</v>
      </c>
      <c r="D81" t="s">
        <v>1007</v>
      </c>
      <c r="E81" t="s">
        <v>3652</v>
      </c>
      <c r="F81" t="s">
        <v>3733</v>
      </c>
      <c r="G81">
        <v>34.79</v>
      </c>
      <c r="H81">
        <v>15</v>
      </c>
      <c r="I81">
        <v>508.71</v>
      </c>
      <c r="J81">
        <v>-25.31</v>
      </c>
      <c r="K81">
        <v>-870.08</v>
      </c>
      <c r="L81">
        <v>0</v>
      </c>
      <c r="M81">
        <v>0</v>
      </c>
      <c r="N81">
        <v>0</v>
      </c>
      <c r="O81">
        <v>0</v>
      </c>
      <c r="P81" s="2">
        <f>(H81 + J81) - (L81 + N81)</f>
        <v>0</v>
      </c>
      <c r="Q81" s="2">
        <f>P81 * G81</f>
        <v>0</v>
      </c>
      <c r="R81">
        <v>5</v>
      </c>
      <c r="S81" s="2">
        <f>R81 * G81</f>
        <v>0</v>
      </c>
      <c r="T81" s="2">
        <f>(H81 + J81) - (L81 + N81) - R81</f>
        <v>0</v>
      </c>
      <c r="U81" s="2">
        <f>T81 * G81</f>
        <v>0</v>
      </c>
      <c r="V81" s="2">
        <f>I81 + K81 - S81</f>
        <v>0</v>
      </c>
      <c r="W81" s="2">
        <f>M81 - V81</f>
        <v>0</v>
      </c>
      <c r="X81" s="2">
        <f>IFERROR(W81 / M81 * 100, 0)</f>
        <v>0</v>
      </c>
    </row>
    <row r="82" spans="1:24">
      <c r="A82" t="s">
        <v>2746</v>
      </c>
      <c r="B82" t="s">
        <v>512</v>
      </c>
      <c r="C82" t="s">
        <v>3239</v>
      </c>
      <c r="D82" t="s">
        <v>1007</v>
      </c>
      <c r="E82" t="s">
        <v>3652</v>
      </c>
      <c r="F82" t="s">
        <v>3734</v>
      </c>
      <c r="G82">
        <v>6.33</v>
      </c>
      <c r="H82">
        <v>3</v>
      </c>
      <c r="I82">
        <v>19</v>
      </c>
      <c r="J82">
        <v>-68.5</v>
      </c>
      <c r="K82">
        <v>-433.81</v>
      </c>
      <c r="L82">
        <v>0</v>
      </c>
      <c r="M82">
        <v>0</v>
      </c>
      <c r="N82">
        <v>0</v>
      </c>
      <c r="O82">
        <v>0</v>
      </c>
      <c r="P82" s="2">
        <f>(H82 + J82) - (L82 + N82)</f>
        <v>0</v>
      </c>
      <c r="Q82" s="2">
        <f>P82 * G82</f>
        <v>0</v>
      </c>
      <c r="R82">
        <v>3</v>
      </c>
      <c r="S82" s="2">
        <f>R82 * G82</f>
        <v>0</v>
      </c>
      <c r="T82" s="2">
        <f>(H82 + J82) - (L82 + N82) - R82</f>
        <v>0</v>
      </c>
      <c r="U82" s="2">
        <f>T82 * G82</f>
        <v>0</v>
      </c>
      <c r="V82" s="2">
        <f>I82 + K82 - S82</f>
        <v>0</v>
      </c>
      <c r="W82" s="2">
        <f>M82 - V82</f>
        <v>0</v>
      </c>
      <c r="X82" s="2">
        <f>IFERROR(W82 / M82 * 100, 0)</f>
        <v>0</v>
      </c>
    </row>
    <row r="83" spans="1:24">
      <c r="A83" t="s">
        <v>2747</v>
      </c>
      <c r="B83" t="s">
        <v>512</v>
      </c>
      <c r="C83" t="s">
        <v>3240</v>
      </c>
      <c r="D83" t="s">
        <v>1007</v>
      </c>
      <c r="E83" t="s">
        <v>3652</v>
      </c>
      <c r="F83" t="s">
        <v>3735</v>
      </c>
      <c r="G83">
        <v>13.15</v>
      </c>
      <c r="H83">
        <v>0</v>
      </c>
      <c r="I83">
        <v>0</v>
      </c>
      <c r="J83">
        <v>-0.09</v>
      </c>
      <c r="K83">
        <v>-1.12</v>
      </c>
      <c r="L83">
        <v>0</v>
      </c>
      <c r="M83">
        <v>0</v>
      </c>
      <c r="N83">
        <v>0</v>
      </c>
      <c r="O83">
        <v>0</v>
      </c>
      <c r="P83" s="2">
        <f>(H83 + J83) - (L83 + N83)</f>
        <v>0</v>
      </c>
      <c r="Q83" s="2">
        <f>P83 * G83</f>
        <v>0</v>
      </c>
      <c r="R83">
        <v>0</v>
      </c>
      <c r="S83" s="2">
        <f>R83 * G83</f>
        <v>0</v>
      </c>
      <c r="T83" s="2">
        <f>(H83 + J83) - (L83 + N83) - R83</f>
        <v>0</v>
      </c>
      <c r="U83" s="2">
        <f>T83 * G83</f>
        <v>0</v>
      </c>
      <c r="V83" s="2">
        <f>I83 + K83 - S83</f>
        <v>0</v>
      </c>
      <c r="W83" s="2">
        <f>M83 - V83</f>
        <v>0</v>
      </c>
      <c r="X83" s="2">
        <f>IFERROR(W83 / M83 * 100, 0)</f>
        <v>0</v>
      </c>
    </row>
    <row r="84" spans="1:24">
      <c r="A84" t="s">
        <v>2748</v>
      </c>
      <c r="B84" t="s">
        <v>512</v>
      </c>
      <c r="C84" t="s">
        <v>3241</v>
      </c>
      <c r="D84" t="s">
        <v>1007</v>
      </c>
      <c r="E84" t="s">
        <v>3652</v>
      </c>
      <c r="F84" t="s">
        <v>3736</v>
      </c>
      <c r="G84">
        <v>18.47</v>
      </c>
      <c r="H84">
        <v>0</v>
      </c>
      <c r="I84">
        <v>0</v>
      </c>
      <c r="J84">
        <v>-0.14</v>
      </c>
      <c r="K84">
        <v>-2.54</v>
      </c>
      <c r="L84">
        <v>0</v>
      </c>
      <c r="M84">
        <v>0</v>
      </c>
      <c r="N84">
        <v>0</v>
      </c>
      <c r="O84">
        <v>0</v>
      </c>
      <c r="P84" s="2">
        <f>(H84 + J84) - (L84 + N84)</f>
        <v>0</v>
      </c>
      <c r="Q84" s="2">
        <f>P84 * G84</f>
        <v>0</v>
      </c>
      <c r="R84">
        <v>0</v>
      </c>
      <c r="S84" s="2">
        <f>R84 * G84</f>
        <v>0</v>
      </c>
      <c r="T84" s="2">
        <f>(H84 + J84) - (L84 + N84) - R84</f>
        <v>0</v>
      </c>
      <c r="U84" s="2">
        <f>T84 * G84</f>
        <v>0</v>
      </c>
      <c r="V84" s="2">
        <f>I84 + K84 - S84</f>
        <v>0</v>
      </c>
      <c r="W84" s="2">
        <f>M84 - V84</f>
        <v>0</v>
      </c>
      <c r="X84" s="2">
        <f>IFERROR(W84 / M84 * 100, 0)</f>
        <v>0</v>
      </c>
    </row>
    <row r="85" spans="1:24">
      <c r="A85" t="s">
        <v>2749</v>
      </c>
      <c r="B85" t="s">
        <v>512</v>
      </c>
      <c r="C85" t="s">
        <v>3242</v>
      </c>
      <c r="D85" t="s">
        <v>1007</v>
      </c>
      <c r="E85" t="s">
        <v>3652</v>
      </c>
      <c r="F85" t="s">
        <v>3737</v>
      </c>
      <c r="G85">
        <v>9.890000000000001</v>
      </c>
      <c r="H85">
        <v>5</v>
      </c>
      <c r="I85">
        <v>49.79</v>
      </c>
      <c r="J85">
        <v>47.86</v>
      </c>
      <c r="K85">
        <v>472.83</v>
      </c>
      <c r="L85">
        <v>0</v>
      </c>
      <c r="M85">
        <v>0</v>
      </c>
      <c r="N85">
        <v>0</v>
      </c>
      <c r="O85">
        <v>0</v>
      </c>
      <c r="P85" s="2">
        <f>(H85 + J85) - (L85 + N85)</f>
        <v>0</v>
      </c>
      <c r="Q85" s="2">
        <f>P85 * G85</f>
        <v>0</v>
      </c>
      <c r="R85">
        <v>5</v>
      </c>
      <c r="S85" s="2">
        <f>R85 * G85</f>
        <v>0</v>
      </c>
      <c r="T85" s="2">
        <f>(H85 + J85) - (L85 + N85) - R85</f>
        <v>0</v>
      </c>
      <c r="U85" s="2">
        <f>T85 * G85</f>
        <v>0</v>
      </c>
      <c r="V85" s="2">
        <f>I85 + K85 - S85</f>
        <v>0</v>
      </c>
      <c r="W85" s="2">
        <f>M85 - V85</f>
        <v>0</v>
      </c>
      <c r="X85" s="2">
        <f>IFERROR(W85 / M85 * 100, 0)</f>
        <v>0</v>
      </c>
    </row>
    <row r="86" spans="1:24">
      <c r="A86" t="s">
        <v>2750</v>
      </c>
      <c r="B86" t="s">
        <v>512</v>
      </c>
      <c r="C86" t="s">
        <v>3243</v>
      </c>
      <c r="D86" t="s">
        <v>1007</v>
      </c>
      <c r="E86" t="s">
        <v>3652</v>
      </c>
      <c r="F86" t="s">
        <v>3738</v>
      </c>
      <c r="G86">
        <v>46.28</v>
      </c>
      <c r="H86">
        <v>0</v>
      </c>
      <c r="I86">
        <v>0</v>
      </c>
      <c r="J86">
        <v>0.07000000000000001</v>
      </c>
      <c r="K86">
        <v>3.33</v>
      </c>
      <c r="L86">
        <v>0</v>
      </c>
      <c r="M86">
        <v>0</v>
      </c>
      <c r="N86">
        <v>0</v>
      </c>
      <c r="O86">
        <v>0</v>
      </c>
      <c r="P86" s="2">
        <f>(H86 + J86) - (L86 + N86)</f>
        <v>0</v>
      </c>
      <c r="Q86" s="2">
        <f>P86 * G86</f>
        <v>0</v>
      </c>
      <c r="R86">
        <v>0</v>
      </c>
      <c r="S86" s="2">
        <f>R86 * G86</f>
        <v>0</v>
      </c>
      <c r="T86" s="2">
        <f>(H86 + J86) - (L86 + N86) - R86</f>
        <v>0</v>
      </c>
      <c r="U86" s="2">
        <f>T86 * G86</f>
        <v>0</v>
      </c>
      <c r="V86" s="2">
        <f>I86 + K86 - S86</f>
        <v>0</v>
      </c>
      <c r="W86" s="2">
        <f>M86 - V86</f>
        <v>0</v>
      </c>
      <c r="X86" s="2">
        <f>IFERROR(W86 / M86 * 100, 0)</f>
        <v>0</v>
      </c>
    </row>
    <row r="87" spans="1:24">
      <c r="A87" t="s">
        <v>2751</v>
      </c>
      <c r="B87" t="s">
        <v>512</v>
      </c>
      <c r="C87" t="s">
        <v>3244</v>
      </c>
      <c r="D87" t="s">
        <v>1007</v>
      </c>
      <c r="E87" t="s">
        <v>3652</v>
      </c>
      <c r="F87" t="s">
        <v>3739</v>
      </c>
      <c r="G87">
        <v>12.51</v>
      </c>
      <c r="H87">
        <v>1</v>
      </c>
      <c r="I87">
        <v>11.5</v>
      </c>
      <c r="J87">
        <v>1.95</v>
      </c>
      <c r="K87">
        <v>27.23</v>
      </c>
      <c r="L87">
        <v>0</v>
      </c>
      <c r="M87">
        <v>0</v>
      </c>
      <c r="N87">
        <v>0</v>
      </c>
      <c r="O87">
        <v>0</v>
      </c>
      <c r="P87" s="2">
        <f>(H87 + J87) - (L87 + N87)</f>
        <v>0</v>
      </c>
      <c r="Q87" s="2">
        <f>P87 * G87</f>
        <v>0</v>
      </c>
      <c r="R87">
        <v>1</v>
      </c>
      <c r="S87" s="2">
        <f>R87 * G87</f>
        <v>0</v>
      </c>
      <c r="T87" s="2">
        <f>(H87 + J87) - (L87 + N87) - R87</f>
        <v>0</v>
      </c>
      <c r="U87" s="2">
        <f>T87 * G87</f>
        <v>0</v>
      </c>
      <c r="V87" s="2">
        <f>I87 + K87 - S87</f>
        <v>0</v>
      </c>
      <c r="W87" s="2">
        <f>M87 - V87</f>
        <v>0</v>
      </c>
      <c r="X87" s="2">
        <f>IFERROR(W87 / M87 * 100, 0)</f>
        <v>0</v>
      </c>
    </row>
    <row r="88" spans="1:24">
      <c r="A88" t="s">
        <v>2752</v>
      </c>
      <c r="B88" t="s">
        <v>512</v>
      </c>
      <c r="C88" t="s">
        <v>3245</v>
      </c>
      <c r="D88" t="s">
        <v>1007</v>
      </c>
      <c r="E88" t="s">
        <v>3652</v>
      </c>
      <c r="F88" t="s">
        <v>3740</v>
      </c>
      <c r="G88">
        <v>7.02</v>
      </c>
      <c r="H88">
        <v>0</v>
      </c>
      <c r="I88">
        <v>0</v>
      </c>
      <c r="J88">
        <v>-41.16</v>
      </c>
      <c r="K88">
        <v>-289.17</v>
      </c>
      <c r="L88">
        <v>0</v>
      </c>
      <c r="M88">
        <v>0</v>
      </c>
      <c r="N88">
        <v>0</v>
      </c>
      <c r="O88">
        <v>0</v>
      </c>
      <c r="P88" s="2">
        <f>(H88 + J88) - (L88 + N88)</f>
        <v>0</v>
      </c>
      <c r="Q88" s="2">
        <f>P88 * G88</f>
        <v>0</v>
      </c>
      <c r="R88">
        <v>0</v>
      </c>
      <c r="S88" s="2">
        <f>R88 * G88</f>
        <v>0</v>
      </c>
      <c r="T88" s="2">
        <f>(H88 + J88) - (L88 + N88) - R88</f>
        <v>0</v>
      </c>
      <c r="U88" s="2">
        <f>T88 * G88</f>
        <v>0</v>
      </c>
      <c r="V88" s="2">
        <f>I88 + K88 - S88</f>
        <v>0</v>
      </c>
      <c r="W88" s="2">
        <f>M88 - V88</f>
        <v>0</v>
      </c>
      <c r="X88" s="2">
        <f>IFERROR(W88 / M88 * 100, 0)</f>
        <v>0</v>
      </c>
    </row>
    <row r="89" spans="1:24">
      <c r="A89" t="s">
        <v>2753</v>
      </c>
      <c r="B89" t="s">
        <v>512</v>
      </c>
      <c r="C89" t="s">
        <v>3246</v>
      </c>
      <c r="D89" t="s">
        <v>1008</v>
      </c>
      <c r="E89" t="s">
        <v>3652</v>
      </c>
      <c r="F89" t="s">
        <v>3741</v>
      </c>
      <c r="G89">
        <v>0</v>
      </c>
      <c r="H89">
        <v>0</v>
      </c>
      <c r="I89">
        <v>0</v>
      </c>
      <c r="J89">
        <v>-932</v>
      </c>
      <c r="K89">
        <v>0</v>
      </c>
      <c r="L89">
        <v>0</v>
      </c>
      <c r="M89">
        <v>0</v>
      </c>
      <c r="N89">
        <v>0</v>
      </c>
      <c r="O89">
        <v>0</v>
      </c>
      <c r="P89" s="2">
        <f>(H89 + J89) - (L89 + N89)</f>
        <v>0</v>
      </c>
      <c r="Q89" s="2">
        <f>P89 * G89</f>
        <v>0</v>
      </c>
      <c r="R89">
        <v>0</v>
      </c>
      <c r="S89" s="2">
        <f>R89 * G89</f>
        <v>0</v>
      </c>
      <c r="T89" s="2">
        <f>(H89 + J89) - (L89 + N89) - R89</f>
        <v>0</v>
      </c>
      <c r="U89" s="2">
        <f>T89 * G89</f>
        <v>0</v>
      </c>
      <c r="V89" s="2">
        <f>I89 + K89 - S89</f>
        <v>0</v>
      </c>
      <c r="W89" s="2">
        <f>M89 - V89</f>
        <v>0</v>
      </c>
      <c r="X89" s="2">
        <f>IFERROR(W89 / M89 * 100, 0)</f>
        <v>0</v>
      </c>
    </row>
    <row r="90" spans="1:24">
      <c r="A90" t="s">
        <v>2754</v>
      </c>
      <c r="B90" t="s">
        <v>512</v>
      </c>
      <c r="C90" t="s">
        <v>3247</v>
      </c>
      <c r="D90" t="s">
        <v>1007</v>
      </c>
      <c r="E90" t="s">
        <v>3652</v>
      </c>
      <c r="F90" t="s">
        <v>3742</v>
      </c>
      <c r="G90">
        <v>14.29</v>
      </c>
      <c r="H90">
        <v>0</v>
      </c>
      <c r="I90">
        <v>0</v>
      </c>
      <c r="J90">
        <v>-0.1</v>
      </c>
      <c r="K90">
        <v>-1.39</v>
      </c>
      <c r="L90">
        <v>0</v>
      </c>
      <c r="M90">
        <v>0</v>
      </c>
      <c r="N90">
        <v>0</v>
      </c>
      <c r="O90">
        <v>0</v>
      </c>
      <c r="P90" s="2">
        <f>(H90 + J90) - (L90 + N90)</f>
        <v>0</v>
      </c>
      <c r="Q90" s="2">
        <f>P90 * G90</f>
        <v>0</v>
      </c>
      <c r="R90">
        <v>0</v>
      </c>
      <c r="S90" s="2">
        <f>R90 * G90</f>
        <v>0</v>
      </c>
      <c r="T90" s="2">
        <f>(H90 + J90) - (L90 + N90) - R90</f>
        <v>0</v>
      </c>
      <c r="U90" s="2">
        <f>T90 * G90</f>
        <v>0</v>
      </c>
      <c r="V90" s="2">
        <f>I90 + K90 - S90</f>
        <v>0</v>
      </c>
      <c r="W90" s="2">
        <f>M90 - V90</f>
        <v>0</v>
      </c>
      <c r="X90" s="2">
        <f>IFERROR(W90 / M90 * 100, 0)</f>
        <v>0</v>
      </c>
    </row>
    <row r="91" spans="1:24">
      <c r="A91" t="s">
        <v>2755</v>
      </c>
      <c r="B91" t="s">
        <v>512</v>
      </c>
      <c r="C91" t="s">
        <v>3248</v>
      </c>
      <c r="D91" t="s">
        <v>1007</v>
      </c>
      <c r="E91" t="s">
        <v>3652</v>
      </c>
      <c r="F91" t="s">
        <v>3743</v>
      </c>
      <c r="G91">
        <v>12.52</v>
      </c>
      <c r="H91">
        <v>0</v>
      </c>
      <c r="I91">
        <v>0</v>
      </c>
      <c r="J91">
        <v>-1265.93</v>
      </c>
      <c r="K91">
        <v>-15844.13</v>
      </c>
      <c r="L91">
        <v>0</v>
      </c>
      <c r="M91">
        <v>0</v>
      </c>
      <c r="N91">
        <v>0</v>
      </c>
      <c r="O91">
        <v>0</v>
      </c>
      <c r="P91" s="2">
        <f>(H91 + J91) - (L91 + N91)</f>
        <v>0</v>
      </c>
      <c r="Q91" s="2">
        <f>P91 * G91</f>
        <v>0</v>
      </c>
      <c r="R91">
        <v>0</v>
      </c>
      <c r="S91" s="2">
        <f>R91 * G91</f>
        <v>0</v>
      </c>
      <c r="T91" s="2">
        <f>(H91 + J91) - (L91 + N91) - R91</f>
        <v>0</v>
      </c>
      <c r="U91" s="2">
        <f>T91 * G91</f>
        <v>0</v>
      </c>
      <c r="V91" s="2">
        <f>I91 + K91 - S91</f>
        <v>0</v>
      </c>
      <c r="W91" s="2">
        <f>M91 - V91</f>
        <v>0</v>
      </c>
      <c r="X91" s="2">
        <f>IFERROR(W91 / M91 * 100, 0)</f>
        <v>0</v>
      </c>
    </row>
    <row r="92" spans="1:24">
      <c r="A92" t="s">
        <v>2756</v>
      </c>
      <c r="B92" t="s">
        <v>512</v>
      </c>
      <c r="C92" t="s">
        <v>3249</v>
      </c>
      <c r="D92" t="s">
        <v>1007</v>
      </c>
      <c r="E92" t="s">
        <v>3652</v>
      </c>
      <c r="F92" t="s">
        <v>3744</v>
      </c>
      <c r="G92">
        <v>3.24</v>
      </c>
      <c r="H92">
        <v>63</v>
      </c>
      <c r="I92">
        <v>202.23</v>
      </c>
      <c r="J92">
        <v>195.66</v>
      </c>
      <c r="K92">
        <v>637.8099999999999</v>
      </c>
      <c r="L92">
        <v>0</v>
      </c>
      <c r="M92">
        <v>0</v>
      </c>
      <c r="N92">
        <v>0</v>
      </c>
      <c r="O92">
        <v>0</v>
      </c>
      <c r="P92" s="2">
        <f>(H92 + J92) - (L92 + N92)</f>
        <v>0</v>
      </c>
      <c r="Q92" s="2">
        <f>P92 * G92</f>
        <v>0</v>
      </c>
      <c r="R92">
        <v>40</v>
      </c>
      <c r="S92" s="2">
        <f>R92 * G92</f>
        <v>0</v>
      </c>
      <c r="T92" s="2">
        <f>(H92 + J92) - (L92 + N92) - R92</f>
        <v>0</v>
      </c>
      <c r="U92" s="2">
        <f>T92 * G92</f>
        <v>0</v>
      </c>
      <c r="V92" s="2">
        <f>I92 + K92 - S92</f>
        <v>0</v>
      </c>
      <c r="W92" s="2">
        <f>M92 - V92</f>
        <v>0</v>
      </c>
      <c r="X92" s="2">
        <f>IFERROR(W92 / M92 * 100, 0)</f>
        <v>0</v>
      </c>
    </row>
    <row r="93" spans="1:24">
      <c r="A93" t="s">
        <v>2757</v>
      </c>
      <c r="B93" t="s">
        <v>512</v>
      </c>
      <c r="C93" t="s">
        <v>3250</v>
      </c>
      <c r="D93" t="s">
        <v>1007</v>
      </c>
      <c r="E93" t="s">
        <v>3652</v>
      </c>
      <c r="F93" t="s">
        <v>3745</v>
      </c>
      <c r="G93">
        <v>7.07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s="2">
        <f>(H93 + J93) - (L93 + N93)</f>
        <v>0</v>
      </c>
      <c r="Q93" s="2">
        <f>P93 * G93</f>
        <v>0</v>
      </c>
      <c r="R93">
        <v>10</v>
      </c>
      <c r="S93" s="2">
        <f>R93 * G93</f>
        <v>0</v>
      </c>
      <c r="T93" s="2">
        <f>(H93 + J93) - (L93 + N93) - R93</f>
        <v>0</v>
      </c>
      <c r="U93" s="2">
        <f>T93 * G93</f>
        <v>0</v>
      </c>
      <c r="V93" s="2">
        <f>I93 + K93 - S93</f>
        <v>0</v>
      </c>
      <c r="W93" s="2">
        <f>M93 - V93</f>
        <v>0</v>
      </c>
      <c r="X93" s="2">
        <f>IFERROR(W93 / M93 * 100, 0)</f>
        <v>0</v>
      </c>
    </row>
    <row r="94" spans="1:24">
      <c r="A94" t="s">
        <v>2758</v>
      </c>
      <c r="B94" t="s">
        <v>512</v>
      </c>
      <c r="C94" t="s">
        <v>3251</v>
      </c>
      <c r="D94" t="s">
        <v>1007</v>
      </c>
      <c r="E94" t="s">
        <v>3652</v>
      </c>
      <c r="F94" t="s">
        <v>3746</v>
      </c>
      <c r="G94">
        <v>5.96</v>
      </c>
      <c r="H94">
        <v>35</v>
      </c>
      <c r="I94">
        <v>217.62</v>
      </c>
      <c r="J94">
        <v>-35.1</v>
      </c>
      <c r="K94">
        <v>-216.82</v>
      </c>
      <c r="L94">
        <v>0</v>
      </c>
      <c r="M94">
        <v>0</v>
      </c>
      <c r="N94">
        <v>0</v>
      </c>
      <c r="O94">
        <v>0</v>
      </c>
      <c r="P94" s="2">
        <f>(H94 + J94) - (L94 + N94)</f>
        <v>0</v>
      </c>
      <c r="Q94" s="2">
        <f>P94 * G94</f>
        <v>0</v>
      </c>
      <c r="R94">
        <v>50</v>
      </c>
      <c r="S94" s="2">
        <f>R94 * G94</f>
        <v>0</v>
      </c>
      <c r="T94" s="2">
        <f>(H94 + J94) - (L94 + N94) - R94</f>
        <v>0</v>
      </c>
      <c r="U94" s="2">
        <f>T94 * G94</f>
        <v>0</v>
      </c>
      <c r="V94" s="2">
        <f>I94 + K94 - S94</f>
        <v>0</v>
      </c>
      <c r="W94" s="2">
        <f>M94 - V94</f>
        <v>0</v>
      </c>
      <c r="X94" s="2">
        <f>IFERROR(W94 / M94 * 100, 0)</f>
        <v>0</v>
      </c>
    </row>
    <row r="95" spans="1:24">
      <c r="A95" t="s">
        <v>2759</v>
      </c>
      <c r="B95" t="s">
        <v>512</v>
      </c>
      <c r="C95" t="s">
        <v>3252</v>
      </c>
      <c r="D95" t="s">
        <v>1007</v>
      </c>
      <c r="E95" t="s">
        <v>3652</v>
      </c>
      <c r="F95" t="s">
        <v>3747</v>
      </c>
      <c r="G95">
        <v>3.25</v>
      </c>
      <c r="H95">
        <v>20</v>
      </c>
      <c r="I95">
        <v>49.06</v>
      </c>
      <c r="J95">
        <v>186.5</v>
      </c>
      <c r="K95">
        <v>656.8</v>
      </c>
      <c r="L95">
        <v>0</v>
      </c>
      <c r="M95">
        <v>0</v>
      </c>
      <c r="N95">
        <v>0</v>
      </c>
      <c r="O95">
        <v>0</v>
      </c>
      <c r="P95" s="2">
        <f>(H95 + J95) - (L95 + N95)</f>
        <v>0</v>
      </c>
      <c r="Q95" s="2">
        <f>P95 * G95</f>
        <v>0</v>
      </c>
      <c r="R95">
        <v>40</v>
      </c>
      <c r="S95" s="2">
        <f>R95 * G95</f>
        <v>0</v>
      </c>
      <c r="T95" s="2">
        <f>(H95 + J95) - (L95 + N95) - R95</f>
        <v>0</v>
      </c>
      <c r="U95" s="2">
        <f>T95 * G95</f>
        <v>0</v>
      </c>
      <c r="V95" s="2">
        <f>I95 + K95 - S95</f>
        <v>0</v>
      </c>
      <c r="W95" s="2">
        <f>M95 - V95</f>
        <v>0</v>
      </c>
      <c r="X95" s="2">
        <f>IFERROR(W95 / M95 * 100, 0)</f>
        <v>0</v>
      </c>
    </row>
    <row r="96" spans="1:24">
      <c r="A96" t="s">
        <v>2760</v>
      </c>
      <c r="B96" t="s">
        <v>512</v>
      </c>
      <c r="C96" t="s">
        <v>3253</v>
      </c>
      <c r="D96" t="s">
        <v>1007</v>
      </c>
      <c r="E96" t="s">
        <v>3652</v>
      </c>
      <c r="F96" t="s">
        <v>3748</v>
      </c>
      <c r="G96">
        <v>5.33</v>
      </c>
      <c r="H96">
        <v>10</v>
      </c>
      <c r="I96">
        <v>49.21</v>
      </c>
      <c r="J96">
        <v>10.9</v>
      </c>
      <c r="K96">
        <v>64.37</v>
      </c>
      <c r="L96">
        <v>0</v>
      </c>
      <c r="M96">
        <v>0</v>
      </c>
      <c r="N96">
        <v>0</v>
      </c>
      <c r="O96">
        <v>0</v>
      </c>
      <c r="P96" s="2">
        <f>(H96 + J96) - (L96 + N96)</f>
        <v>0</v>
      </c>
      <c r="Q96" s="2">
        <f>P96 * G96</f>
        <v>0</v>
      </c>
      <c r="R96">
        <v>15</v>
      </c>
      <c r="S96" s="2">
        <f>R96 * G96</f>
        <v>0</v>
      </c>
      <c r="T96" s="2">
        <f>(H96 + J96) - (L96 + N96) - R96</f>
        <v>0</v>
      </c>
      <c r="U96" s="2">
        <f>T96 * G96</f>
        <v>0</v>
      </c>
      <c r="V96" s="2">
        <f>I96 + K96 - S96</f>
        <v>0</v>
      </c>
      <c r="W96" s="2">
        <f>M96 - V96</f>
        <v>0</v>
      </c>
      <c r="X96" s="2">
        <f>IFERROR(W96 / M96 * 100, 0)</f>
        <v>0</v>
      </c>
    </row>
    <row r="97" spans="1:24">
      <c r="A97" t="s">
        <v>2761</v>
      </c>
      <c r="B97" t="s">
        <v>512</v>
      </c>
      <c r="C97" t="s">
        <v>3254</v>
      </c>
      <c r="D97" t="s">
        <v>1007</v>
      </c>
      <c r="E97" t="s">
        <v>3652</v>
      </c>
      <c r="F97" t="s">
        <v>3749</v>
      </c>
      <c r="G97">
        <v>0</v>
      </c>
      <c r="H97">
        <v>0</v>
      </c>
      <c r="I97">
        <v>0</v>
      </c>
      <c r="J97">
        <v>-3.05</v>
      </c>
      <c r="K97">
        <v>0</v>
      </c>
      <c r="L97">
        <v>0</v>
      </c>
      <c r="M97">
        <v>0</v>
      </c>
      <c r="N97">
        <v>0</v>
      </c>
      <c r="O97">
        <v>0</v>
      </c>
      <c r="P97" s="2">
        <f>(H97 + J97) - (L97 + N97)</f>
        <v>0</v>
      </c>
      <c r="Q97" s="2">
        <f>P97 * G97</f>
        <v>0</v>
      </c>
      <c r="R97">
        <v>0</v>
      </c>
      <c r="S97" s="2">
        <f>R97 * G97</f>
        <v>0</v>
      </c>
      <c r="T97" s="2">
        <f>(H97 + J97) - (L97 + N97) - R97</f>
        <v>0</v>
      </c>
      <c r="U97" s="2">
        <f>T97 * G97</f>
        <v>0</v>
      </c>
      <c r="V97" s="2">
        <f>I97 + K97 - S97</f>
        <v>0</v>
      </c>
      <c r="W97" s="2">
        <f>M97 - V97</f>
        <v>0</v>
      </c>
      <c r="X97" s="2">
        <f>IFERROR(W97 / M97 * 100, 0)</f>
        <v>0</v>
      </c>
    </row>
    <row r="98" spans="1:24">
      <c r="A98" t="s">
        <v>2762</v>
      </c>
      <c r="B98" t="s">
        <v>512</v>
      </c>
      <c r="C98" t="s">
        <v>3255</v>
      </c>
      <c r="D98" t="s">
        <v>1007</v>
      </c>
      <c r="E98" t="s">
        <v>3652</v>
      </c>
      <c r="F98" t="s">
        <v>3750</v>
      </c>
      <c r="G98">
        <v>3.33</v>
      </c>
      <c r="H98">
        <v>4</v>
      </c>
      <c r="I98">
        <v>19.46</v>
      </c>
      <c r="J98">
        <v>9.029999999999999</v>
      </c>
      <c r="K98">
        <v>22.39</v>
      </c>
      <c r="L98">
        <v>0</v>
      </c>
      <c r="M98">
        <v>0</v>
      </c>
      <c r="N98">
        <v>0</v>
      </c>
      <c r="O98">
        <v>0</v>
      </c>
      <c r="P98" s="2">
        <f>(H98 + J98) - (L98 + N98)</f>
        <v>0</v>
      </c>
      <c r="Q98" s="2">
        <f>P98 * G98</f>
        <v>0</v>
      </c>
      <c r="R98">
        <v>4</v>
      </c>
      <c r="S98" s="2">
        <f>R98 * G98</f>
        <v>0</v>
      </c>
      <c r="T98" s="2">
        <f>(H98 + J98) - (L98 + N98) - R98</f>
        <v>0</v>
      </c>
      <c r="U98" s="2">
        <f>T98 * G98</f>
        <v>0</v>
      </c>
      <c r="V98" s="2">
        <f>I98 + K98 - S98</f>
        <v>0</v>
      </c>
      <c r="W98" s="2">
        <f>M98 - V98</f>
        <v>0</v>
      </c>
      <c r="X98" s="2">
        <f>IFERROR(W98 / M98 * 100, 0)</f>
        <v>0</v>
      </c>
    </row>
    <row r="99" spans="1:24">
      <c r="A99" t="s">
        <v>2763</v>
      </c>
      <c r="B99" t="s">
        <v>512</v>
      </c>
      <c r="C99" t="s">
        <v>3256</v>
      </c>
      <c r="D99" t="s">
        <v>1007</v>
      </c>
      <c r="E99" t="s">
        <v>3652</v>
      </c>
      <c r="F99" t="s">
        <v>3751</v>
      </c>
      <c r="G99">
        <v>27.95</v>
      </c>
      <c r="H99">
        <v>2</v>
      </c>
      <c r="I99">
        <v>56</v>
      </c>
      <c r="J99">
        <v>10.2</v>
      </c>
      <c r="K99">
        <v>285</v>
      </c>
      <c r="L99">
        <v>0</v>
      </c>
      <c r="M99">
        <v>0</v>
      </c>
      <c r="N99">
        <v>0</v>
      </c>
      <c r="O99">
        <v>0</v>
      </c>
      <c r="P99" s="2">
        <f>(H99 + J99) - (L99 + N99)</f>
        <v>0</v>
      </c>
      <c r="Q99" s="2">
        <f>P99 * G99</f>
        <v>0</v>
      </c>
      <c r="R99">
        <v>1</v>
      </c>
      <c r="S99" s="2">
        <f>R99 * G99</f>
        <v>0</v>
      </c>
      <c r="T99" s="2">
        <f>(H99 + J99) - (L99 + N99) - R99</f>
        <v>0</v>
      </c>
      <c r="U99" s="2">
        <f>T99 * G99</f>
        <v>0</v>
      </c>
      <c r="V99" s="2">
        <f>I99 + K99 - S99</f>
        <v>0</v>
      </c>
      <c r="W99" s="2">
        <f>M99 - V99</f>
        <v>0</v>
      </c>
      <c r="X99" s="2">
        <f>IFERROR(W99 / M99 * 100, 0)</f>
        <v>0</v>
      </c>
    </row>
    <row r="100" spans="1:24">
      <c r="A100" t="s">
        <v>2764</v>
      </c>
      <c r="B100" t="s">
        <v>512</v>
      </c>
      <c r="C100" t="s">
        <v>3257</v>
      </c>
      <c r="D100" t="s">
        <v>1007</v>
      </c>
      <c r="E100" t="s">
        <v>3652</v>
      </c>
      <c r="F100" t="s">
        <v>3752</v>
      </c>
      <c r="G100">
        <v>74.90000000000001</v>
      </c>
      <c r="H100">
        <v>0</v>
      </c>
      <c r="I100">
        <v>0</v>
      </c>
      <c r="J100">
        <v>-0.47</v>
      </c>
      <c r="K100">
        <v>-35.13</v>
      </c>
      <c r="L100">
        <v>0</v>
      </c>
      <c r="M100">
        <v>0</v>
      </c>
      <c r="N100">
        <v>0</v>
      </c>
      <c r="O100">
        <v>0</v>
      </c>
      <c r="P100" s="2">
        <f>(H100 + J100) - (L100 + N100)</f>
        <v>0</v>
      </c>
      <c r="Q100" s="2">
        <f>P100 * G100</f>
        <v>0</v>
      </c>
      <c r="R100">
        <v>0</v>
      </c>
      <c r="S100" s="2">
        <f>R100 * G100</f>
        <v>0</v>
      </c>
      <c r="T100" s="2">
        <f>(H100 + J100) - (L100 + N100) - R100</f>
        <v>0</v>
      </c>
      <c r="U100" s="2">
        <f>T100 * G100</f>
        <v>0</v>
      </c>
      <c r="V100" s="2">
        <f>I100 + K100 - S100</f>
        <v>0</v>
      </c>
      <c r="W100" s="2">
        <f>M100 - V100</f>
        <v>0</v>
      </c>
      <c r="X100" s="2">
        <f>IFERROR(W100 / M100 * 100, 0)</f>
        <v>0</v>
      </c>
    </row>
    <row r="101" spans="1:24">
      <c r="A101" t="s">
        <v>2765</v>
      </c>
      <c r="B101" t="s">
        <v>512</v>
      </c>
      <c r="C101" t="s">
        <v>3258</v>
      </c>
      <c r="D101" t="s">
        <v>1008</v>
      </c>
      <c r="E101" t="s">
        <v>3652</v>
      </c>
      <c r="F101" t="s">
        <v>3753</v>
      </c>
      <c r="G101">
        <v>1.01</v>
      </c>
      <c r="H101">
        <v>0</v>
      </c>
      <c r="I101">
        <v>0</v>
      </c>
      <c r="J101">
        <v>94</v>
      </c>
      <c r="K101">
        <v>95.44</v>
      </c>
      <c r="L101">
        <v>0</v>
      </c>
      <c r="M101">
        <v>0</v>
      </c>
      <c r="N101">
        <v>0</v>
      </c>
      <c r="O101">
        <v>0</v>
      </c>
      <c r="P101" s="2">
        <f>(H101 + J101) - (L101 + N101)</f>
        <v>0</v>
      </c>
      <c r="Q101" s="2">
        <f>P101 * G101</f>
        <v>0</v>
      </c>
      <c r="R101">
        <v>0</v>
      </c>
      <c r="S101" s="2">
        <f>R101 * G101</f>
        <v>0</v>
      </c>
      <c r="T101" s="2">
        <f>(H101 + J101) - (L101 + N101) - R101</f>
        <v>0</v>
      </c>
      <c r="U101" s="2">
        <f>T101 * G101</f>
        <v>0</v>
      </c>
      <c r="V101" s="2">
        <f>I101 + K101 - S101</f>
        <v>0</v>
      </c>
      <c r="W101" s="2">
        <f>M101 - V101</f>
        <v>0</v>
      </c>
      <c r="X101" s="2">
        <f>IFERROR(W101 / M101 * 100, 0)</f>
        <v>0</v>
      </c>
    </row>
    <row r="102" spans="1:24">
      <c r="A102" t="s">
        <v>2766</v>
      </c>
      <c r="B102" t="s">
        <v>512</v>
      </c>
      <c r="C102" t="s">
        <v>3259</v>
      </c>
      <c r="D102" t="s">
        <v>1007</v>
      </c>
      <c r="E102" t="s">
        <v>3652</v>
      </c>
      <c r="F102" t="s">
        <v>3754</v>
      </c>
      <c r="G102">
        <v>10.34</v>
      </c>
      <c r="H102">
        <v>2</v>
      </c>
      <c r="I102">
        <v>21.83</v>
      </c>
      <c r="J102">
        <v>7.64</v>
      </c>
      <c r="K102">
        <v>75.98</v>
      </c>
      <c r="L102">
        <v>0</v>
      </c>
      <c r="M102">
        <v>0</v>
      </c>
      <c r="N102">
        <v>0</v>
      </c>
      <c r="O102">
        <v>0</v>
      </c>
      <c r="P102" s="2">
        <f>(H102 + J102) - (L102 + N102)</f>
        <v>0</v>
      </c>
      <c r="Q102" s="2">
        <f>P102 * G102</f>
        <v>0</v>
      </c>
      <c r="R102">
        <v>5</v>
      </c>
      <c r="S102" s="2">
        <f>R102 * G102</f>
        <v>0</v>
      </c>
      <c r="T102" s="2">
        <f>(H102 + J102) - (L102 + N102) - R102</f>
        <v>0</v>
      </c>
      <c r="U102" s="2">
        <f>T102 * G102</f>
        <v>0</v>
      </c>
      <c r="V102" s="2">
        <f>I102 + K102 - S102</f>
        <v>0</v>
      </c>
      <c r="W102" s="2">
        <f>M102 - V102</f>
        <v>0</v>
      </c>
      <c r="X102" s="2">
        <f>IFERROR(W102 / M102 * 100, 0)</f>
        <v>0</v>
      </c>
    </row>
    <row r="103" spans="1:24">
      <c r="A103" t="s">
        <v>2767</v>
      </c>
      <c r="B103" t="s">
        <v>512</v>
      </c>
      <c r="C103" t="s">
        <v>3260</v>
      </c>
      <c r="D103" t="s">
        <v>1007</v>
      </c>
      <c r="E103" t="s">
        <v>3652</v>
      </c>
      <c r="F103" t="s">
        <v>3755</v>
      </c>
      <c r="G103">
        <v>30.7</v>
      </c>
      <c r="H103">
        <v>4</v>
      </c>
      <c r="I103">
        <v>123.89</v>
      </c>
      <c r="J103">
        <v>7.5</v>
      </c>
      <c r="K103">
        <v>228.21</v>
      </c>
      <c r="L103">
        <v>0</v>
      </c>
      <c r="M103">
        <v>0</v>
      </c>
      <c r="N103">
        <v>0</v>
      </c>
      <c r="O103">
        <v>0</v>
      </c>
      <c r="P103" s="2">
        <f>(H103 + J103) - (L103 + N103)</f>
        <v>0</v>
      </c>
      <c r="Q103" s="2">
        <f>P103 * G103</f>
        <v>0</v>
      </c>
      <c r="R103">
        <v>3</v>
      </c>
      <c r="S103" s="2">
        <f>R103 * G103</f>
        <v>0</v>
      </c>
      <c r="T103" s="2">
        <f>(H103 + J103) - (L103 + N103) - R103</f>
        <v>0</v>
      </c>
      <c r="U103" s="2">
        <f>T103 * G103</f>
        <v>0</v>
      </c>
      <c r="V103" s="2">
        <f>I103 + K103 - S103</f>
        <v>0</v>
      </c>
      <c r="W103" s="2">
        <f>M103 - V103</f>
        <v>0</v>
      </c>
      <c r="X103" s="2">
        <f>IFERROR(W103 / M103 * 100, 0)</f>
        <v>0</v>
      </c>
    </row>
    <row r="104" spans="1:24">
      <c r="A104" t="s">
        <v>2768</v>
      </c>
      <c r="B104" t="s">
        <v>512</v>
      </c>
      <c r="C104" t="s">
        <v>3261</v>
      </c>
      <c r="D104" t="s">
        <v>1007</v>
      </c>
      <c r="E104" t="s">
        <v>3652</v>
      </c>
      <c r="F104" t="s">
        <v>3756</v>
      </c>
      <c r="G104">
        <v>19.5</v>
      </c>
      <c r="H104">
        <v>2</v>
      </c>
      <c r="I104">
        <v>50</v>
      </c>
      <c r="J104">
        <v>-200.3</v>
      </c>
      <c r="K104">
        <v>-4186.35</v>
      </c>
      <c r="L104">
        <v>0</v>
      </c>
      <c r="M104">
        <v>0</v>
      </c>
      <c r="N104">
        <v>0</v>
      </c>
      <c r="O104">
        <v>0</v>
      </c>
      <c r="P104" s="2">
        <f>(H104 + J104) - (L104 + N104)</f>
        <v>0</v>
      </c>
      <c r="Q104" s="2">
        <f>P104 * G104</f>
        <v>0</v>
      </c>
      <c r="R104">
        <v>1</v>
      </c>
      <c r="S104" s="2">
        <f>R104 * G104</f>
        <v>0</v>
      </c>
      <c r="T104" s="2">
        <f>(H104 + J104) - (L104 + N104) - R104</f>
        <v>0</v>
      </c>
      <c r="U104" s="2">
        <f>T104 * G104</f>
        <v>0</v>
      </c>
      <c r="V104" s="2">
        <f>I104 + K104 - S104</f>
        <v>0</v>
      </c>
      <c r="W104" s="2">
        <f>M104 - V104</f>
        <v>0</v>
      </c>
      <c r="X104" s="2">
        <f>IFERROR(W104 / M104 * 100, 0)</f>
        <v>0</v>
      </c>
    </row>
    <row r="105" spans="1:24">
      <c r="A105" t="s">
        <v>2769</v>
      </c>
      <c r="B105" t="s">
        <v>512</v>
      </c>
      <c r="C105" t="s">
        <v>3262</v>
      </c>
      <c r="D105" t="s">
        <v>1007</v>
      </c>
      <c r="E105" t="s">
        <v>3652</v>
      </c>
      <c r="F105" t="s">
        <v>3757</v>
      </c>
      <c r="G105">
        <v>2.22</v>
      </c>
      <c r="H105">
        <v>0</v>
      </c>
      <c r="I105">
        <v>0</v>
      </c>
      <c r="J105">
        <v>-446.83</v>
      </c>
      <c r="K105">
        <v>-991.97</v>
      </c>
      <c r="L105">
        <v>0</v>
      </c>
      <c r="M105">
        <v>0</v>
      </c>
      <c r="N105">
        <v>0</v>
      </c>
      <c r="O105">
        <v>0</v>
      </c>
      <c r="P105" s="2">
        <f>(H105 + J105) - (L105 + N105)</f>
        <v>0</v>
      </c>
      <c r="Q105" s="2">
        <f>P105 * G105</f>
        <v>0</v>
      </c>
      <c r="R105">
        <v>0</v>
      </c>
      <c r="S105" s="2">
        <f>R105 * G105</f>
        <v>0</v>
      </c>
      <c r="T105" s="2">
        <f>(H105 + J105) - (L105 + N105) - R105</f>
        <v>0</v>
      </c>
      <c r="U105" s="2">
        <f>T105 * G105</f>
        <v>0</v>
      </c>
      <c r="V105" s="2">
        <f>I105 + K105 - S105</f>
        <v>0</v>
      </c>
      <c r="W105" s="2">
        <f>M105 - V105</f>
        <v>0</v>
      </c>
      <c r="X105" s="2">
        <f>IFERROR(W105 / M105 * 100, 0)</f>
        <v>0</v>
      </c>
    </row>
    <row r="106" spans="1:24">
      <c r="A106" t="s">
        <v>2770</v>
      </c>
      <c r="B106" t="s">
        <v>512</v>
      </c>
      <c r="C106" t="s">
        <v>3263</v>
      </c>
      <c r="D106" t="s">
        <v>1007</v>
      </c>
      <c r="E106" t="s">
        <v>3652</v>
      </c>
      <c r="F106" t="s">
        <v>3758</v>
      </c>
      <c r="G106">
        <v>7.7</v>
      </c>
      <c r="H106">
        <v>0</v>
      </c>
      <c r="I106">
        <v>0</v>
      </c>
      <c r="J106">
        <v>-16.15</v>
      </c>
      <c r="K106">
        <v>-124.34</v>
      </c>
      <c r="L106">
        <v>0</v>
      </c>
      <c r="M106">
        <v>0</v>
      </c>
      <c r="N106">
        <v>0</v>
      </c>
      <c r="O106">
        <v>0</v>
      </c>
      <c r="P106" s="2">
        <f>(H106 + J106) - (L106 + N106)</f>
        <v>0</v>
      </c>
      <c r="Q106" s="2">
        <f>P106 * G106</f>
        <v>0</v>
      </c>
      <c r="R106">
        <v>0</v>
      </c>
      <c r="S106" s="2">
        <f>R106 * G106</f>
        <v>0</v>
      </c>
      <c r="T106" s="2">
        <f>(H106 + J106) - (L106 + N106) - R106</f>
        <v>0</v>
      </c>
      <c r="U106" s="2">
        <f>T106 * G106</f>
        <v>0</v>
      </c>
      <c r="V106" s="2">
        <f>I106 + K106 - S106</f>
        <v>0</v>
      </c>
      <c r="W106" s="2">
        <f>M106 - V106</f>
        <v>0</v>
      </c>
      <c r="X106" s="2">
        <f>IFERROR(W106 / M106 * 100, 0)</f>
        <v>0</v>
      </c>
    </row>
    <row r="107" spans="1:24">
      <c r="A107" t="s">
        <v>2771</v>
      </c>
      <c r="B107" t="s">
        <v>512</v>
      </c>
      <c r="C107" t="s">
        <v>3264</v>
      </c>
      <c r="D107" t="s">
        <v>1007</v>
      </c>
      <c r="E107" t="s">
        <v>3652</v>
      </c>
      <c r="F107" t="s">
        <v>3759</v>
      </c>
      <c r="G107">
        <v>7.34</v>
      </c>
      <c r="H107">
        <v>5</v>
      </c>
      <c r="I107">
        <v>25.94</v>
      </c>
      <c r="J107">
        <v>129.92</v>
      </c>
      <c r="K107">
        <v>1019.39</v>
      </c>
      <c r="L107">
        <v>0</v>
      </c>
      <c r="M107">
        <v>0</v>
      </c>
      <c r="N107">
        <v>0</v>
      </c>
      <c r="O107">
        <v>0</v>
      </c>
      <c r="P107" s="2">
        <f>(H107 + J107) - (L107 + N107)</f>
        <v>0</v>
      </c>
      <c r="Q107" s="2">
        <f>P107 * G107</f>
        <v>0</v>
      </c>
      <c r="R107">
        <v>10</v>
      </c>
      <c r="S107" s="2">
        <f>R107 * G107</f>
        <v>0</v>
      </c>
      <c r="T107" s="2">
        <f>(H107 + J107) - (L107 + N107) - R107</f>
        <v>0</v>
      </c>
      <c r="U107" s="2">
        <f>T107 * G107</f>
        <v>0</v>
      </c>
      <c r="V107" s="2">
        <f>I107 + K107 - S107</f>
        <v>0</v>
      </c>
      <c r="W107" s="2">
        <f>M107 - V107</f>
        <v>0</v>
      </c>
      <c r="X107" s="2">
        <f>IFERROR(W107 / M107 * 100, 0)</f>
        <v>0</v>
      </c>
    </row>
    <row r="108" spans="1:24">
      <c r="A108" t="s">
        <v>2772</v>
      </c>
      <c r="B108" t="s">
        <v>512</v>
      </c>
      <c r="C108" t="s">
        <v>3265</v>
      </c>
      <c r="D108" t="s">
        <v>1007</v>
      </c>
      <c r="E108" t="s">
        <v>3652</v>
      </c>
      <c r="F108" t="s">
        <v>3760</v>
      </c>
      <c r="G108">
        <v>11.63</v>
      </c>
      <c r="H108">
        <v>10</v>
      </c>
      <c r="I108">
        <v>117.85</v>
      </c>
      <c r="J108">
        <v>190.3</v>
      </c>
      <c r="K108">
        <v>2290.43</v>
      </c>
      <c r="L108">
        <v>0</v>
      </c>
      <c r="M108">
        <v>0</v>
      </c>
      <c r="N108">
        <v>0</v>
      </c>
      <c r="O108">
        <v>0</v>
      </c>
      <c r="P108" s="2">
        <f>(H108 + J108) - (L108 + N108)</f>
        <v>0</v>
      </c>
      <c r="Q108" s="2">
        <f>P108 * G108</f>
        <v>0</v>
      </c>
      <c r="R108">
        <v>10</v>
      </c>
      <c r="S108" s="2">
        <f>R108 * G108</f>
        <v>0</v>
      </c>
      <c r="T108" s="2">
        <f>(H108 + J108) - (L108 + N108) - R108</f>
        <v>0</v>
      </c>
      <c r="U108" s="2">
        <f>T108 * G108</f>
        <v>0</v>
      </c>
      <c r="V108" s="2">
        <f>I108 + K108 - S108</f>
        <v>0</v>
      </c>
      <c r="W108" s="2">
        <f>M108 - V108</f>
        <v>0</v>
      </c>
      <c r="X108" s="2">
        <f>IFERROR(W108 / M108 * 100, 0)</f>
        <v>0</v>
      </c>
    </row>
    <row r="109" spans="1:24">
      <c r="A109" t="s">
        <v>2773</v>
      </c>
      <c r="B109" t="s">
        <v>512</v>
      </c>
      <c r="C109" t="s">
        <v>3266</v>
      </c>
      <c r="D109" t="s">
        <v>1007</v>
      </c>
      <c r="E109" t="s">
        <v>3652</v>
      </c>
      <c r="F109" t="s">
        <v>3761</v>
      </c>
      <c r="G109">
        <v>5</v>
      </c>
      <c r="H109">
        <v>0</v>
      </c>
      <c r="I109">
        <v>0</v>
      </c>
      <c r="J109">
        <v>-38.39</v>
      </c>
      <c r="K109">
        <v>-191.92</v>
      </c>
      <c r="L109">
        <v>0</v>
      </c>
      <c r="M109">
        <v>0</v>
      </c>
      <c r="N109">
        <v>0</v>
      </c>
      <c r="O109">
        <v>0</v>
      </c>
      <c r="P109" s="2">
        <f>(H109 + J109) - (L109 + N109)</f>
        <v>0</v>
      </c>
      <c r="Q109" s="2">
        <f>P109 * G109</f>
        <v>0</v>
      </c>
      <c r="R109">
        <v>0</v>
      </c>
      <c r="S109" s="2">
        <f>R109 * G109</f>
        <v>0</v>
      </c>
      <c r="T109" s="2">
        <f>(H109 + J109) - (L109 + N109) - R109</f>
        <v>0</v>
      </c>
      <c r="U109" s="2">
        <f>T109 * G109</f>
        <v>0</v>
      </c>
      <c r="V109" s="2">
        <f>I109 + K109 - S109</f>
        <v>0</v>
      </c>
      <c r="W109" s="2">
        <f>M109 - V109</f>
        <v>0</v>
      </c>
      <c r="X109" s="2">
        <f>IFERROR(W109 / M109 * 100, 0)</f>
        <v>0</v>
      </c>
    </row>
    <row r="110" spans="1:24">
      <c r="A110" t="s">
        <v>2774</v>
      </c>
      <c r="B110" t="s">
        <v>512</v>
      </c>
      <c r="C110" t="s">
        <v>3267</v>
      </c>
      <c r="D110" t="s">
        <v>1007</v>
      </c>
      <c r="E110" t="s">
        <v>3652</v>
      </c>
      <c r="F110" t="s">
        <v>3762</v>
      </c>
      <c r="G110">
        <v>4.75</v>
      </c>
      <c r="H110">
        <v>0</v>
      </c>
      <c r="I110">
        <v>0</v>
      </c>
      <c r="J110">
        <v>-130.59</v>
      </c>
      <c r="K110">
        <v>-620.3200000000001</v>
      </c>
      <c r="L110">
        <v>0</v>
      </c>
      <c r="M110">
        <v>0</v>
      </c>
      <c r="N110">
        <v>0</v>
      </c>
      <c r="O110">
        <v>0</v>
      </c>
      <c r="P110" s="2">
        <f>(H110 + J110) - (L110 + N110)</f>
        <v>0</v>
      </c>
      <c r="Q110" s="2">
        <f>P110 * G110</f>
        <v>0</v>
      </c>
      <c r="R110">
        <v>0</v>
      </c>
      <c r="S110" s="2">
        <f>R110 * G110</f>
        <v>0</v>
      </c>
      <c r="T110" s="2">
        <f>(H110 + J110) - (L110 + N110) - R110</f>
        <v>0</v>
      </c>
      <c r="U110" s="2">
        <f>T110 * G110</f>
        <v>0</v>
      </c>
      <c r="V110" s="2">
        <f>I110 + K110 - S110</f>
        <v>0</v>
      </c>
      <c r="W110" s="2">
        <f>M110 - V110</f>
        <v>0</v>
      </c>
      <c r="X110" s="2">
        <f>IFERROR(W110 / M110 * 100, 0)</f>
        <v>0</v>
      </c>
    </row>
    <row r="111" spans="1:24">
      <c r="A111" t="s">
        <v>2775</v>
      </c>
      <c r="B111" t="s">
        <v>512</v>
      </c>
      <c r="C111" t="s">
        <v>3268</v>
      </c>
      <c r="D111" t="s">
        <v>1007</v>
      </c>
      <c r="E111" t="s">
        <v>3652</v>
      </c>
      <c r="F111" t="s">
        <v>3763</v>
      </c>
      <c r="G111">
        <v>70</v>
      </c>
      <c r="H111">
        <v>0</v>
      </c>
      <c r="I111">
        <v>0</v>
      </c>
      <c r="J111">
        <v>-0.05</v>
      </c>
      <c r="K111">
        <v>-3.36</v>
      </c>
      <c r="L111">
        <v>0</v>
      </c>
      <c r="M111">
        <v>0</v>
      </c>
      <c r="N111">
        <v>0</v>
      </c>
      <c r="O111">
        <v>0</v>
      </c>
      <c r="P111" s="2">
        <f>(H111 + J111) - (L111 + N111)</f>
        <v>0</v>
      </c>
      <c r="Q111" s="2">
        <f>P111 * G111</f>
        <v>0</v>
      </c>
      <c r="R111">
        <v>0</v>
      </c>
      <c r="S111" s="2">
        <f>R111 * G111</f>
        <v>0</v>
      </c>
      <c r="T111" s="2">
        <f>(H111 + J111) - (L111 + N111) - R111</f>
        <v>0</v>
      </c>
      <c r="U111" s="2">
        <f>T111 * G111</f>
        <v>0</v>
      </c>
      <c r="V111" s="2">
        <f>I111 + K111 - S111</f>
        <v>0</v>
      </c>
      <c r="W111" s="2">
        <f>M111 - V111</f>
        <v>0</v>
      </c>
      <c r="X111" s="2">
        <f>IFERROR(W111 / M111 * 100, 0)</f>
        <v>0</v>
      </c>
    </row>
    <row r="112" spans="1:24">
      <c r="A112" t="s">
        <v>2776</v>
      </c>
      <c r="B112" t="s">
        <v>512</v>
      </c>
      <c r="C112" t="s">
        <v>3269</v>
      </c>
      <c r="D112" t="s">
        <v>1007</v>
      </c>
      <c r="E112" t="s">
        <v>3652</v>
      </c>
      <c r="F112" t="s">
        <v>3764</v>
      </c>
      <c r="G112">
        <v>16</v>
      </c>
      <c r="H112">
        <v>0</v>
      </c>
      <c r="I112">
        <v>0</v>
      </c>
      <c r="J112">
        <v>-22.38</v>
      </c>
      <c r="K112">
        <v>0</v>
      </c>
      <c r="L112">
        <v>0</v>
      </c>
      <c r="M112">
        <v>0</v>
      </c>
      <c r="N112">
        <v>0</v>
      </c>
      <c r="O112">
        <v>0</v>
      </c>
      <c r="P112" s="2">
        <f>(H112 + J112) - (L112 + N112)</f>
        <v>0</v>
      </c>
      <c r="Q112" s="2">
        <f>P112 * G112</f>
        <v>0</v>
      </c>
      <c r="R112">
        <v>0</v>
      </c>
      <c r="S112" s="2">
        <f>R112 * G112</f>
        <v>0</v>
      </c>
      <c r="T112" s="2">
        <f>(H112 + J112) - (L112 + N112) - R112</f>
        <v>0</v>
      </c>
      <c r="U112" s="2">
        <f>T112 * G112</f>
        <v>0</v>
      </c>
      <c r="V112" s="2">
        <f>I112 + K112 - S112</f>
        <v>0</v>
      </c>
      <c r="W112" s="2">
        <f>M112 - V112</f>
        <v>0</v>
      </c>
      <c r="X112" s="2">
        <f>IFERROR(W112 / M112 * 100, 0)</f>
        <v>0</v>
      </c>
    </row>
    <row r="113" spans="1:24">
      <c r="A113" t="s">
        <v>2777</v>
      </c>
      <c r="B113" t="s">
        <v>512</v>
      </c>
      <c r="C113" t="s">
        <v>3270</v>
      </c>
      <c r="D113" t="s">
        <v>1007</v>
      </c>
      <c r="E113" t="s">
        <v>3652</v>
      </c>
      <c r="F113" t="s">
        <v>3765</v>
      </c>
      <c r="G113">
        <v>125.63</v>
      </c>
      <c r="H113">
        <v>0</v>
      </c>
      <c r="I113">
        <v>0</v>
      </c>
      <c r="J113">
        <v>0.5600000000000001</v>
      </c>
      <c r="K113">
        <v>70.73999999999999</v>
      </c>
      <c r="L113">
        <v>0</v>
      </c>
      <c r="M113">
        <v>0</v>
      </c>
      <c r="N113">
        <v>0</v>
      </c>
      <c r="O113">
        <v>0</v>
      </c>
      <c r="P113" s="2">
        <f>(H113 + J113) - (L113 + N113)</f>
        <v>0</v>
      </c>
      <c r="Q113" s="2">
        <f>P113 * G113</f>
        <v>0</v>
      </c>
      <c r="R113">
        <v>0</v>
      </c>
      <c r="S113" s="2">
        <f>R113 * G113</f>
        <v>0</v>
      </c>
      <c r="T113" s="2">
        <f>(H113 + J113) - (L113 + N113) - R113</f>
        <v>0</v>
      </c>
      <c r="U113" s="2">
        <f>T113 * G113</f>
        <v>0</v>
      </c>
      <c r="V113" s="2">
        <f>I113 + K113 - S113</f>
        <v>0</v>
      </c>
      <c r="W113" s="2">
        <f>M113 - V113</f>
        <v>0</v>
      </c>
      <c r="X113" s="2">
        <f>IFERROR(W113 / M113 * 100, 0)</f>
        <v>0</v>
      </c>
    </row>
    <row r="114" spans="1:24">
      <c r="A114" t="s">
        <v>2778</v>
      </c>
      <c r="B114" t="s">
        <v>513</v>
      </c>
      <c r="C114" t="s">
        <v>3271</v>
      </c>
      <c r="D114" t="s">
        <v>1008</v>
      </c>
      <c r="E114" t="s">
        <v>3652</v>
      </c>
      <c r="F114" t="s">
        <v>3766</v>
      </c>
      <c r="G114">
        <v>1</v>
      </c>
      <c r="H114">
        <v>0</v>
      </c>
      <c r="I114">
        <v>0</v>
      </c>
      <c r="J114">
        <v>1147</v>
      </c>
      <c r="K114">
        <v>1019.27</v>
      </c>
      <c r="L114">
        <v>1247</v>
      </c>
      <c r="M114">
        <v>3741</v>
      </c>
      <c r="N114">
        <v>12</v>
      </c>
      <c r="O114">
        <v>12.33</v>
      </c>
      <c r="P114" s="2">
        <f>(H114 + J114) - (L114 + N114)</f>
        <v>0</v>
      </c>
      <c r="Q114" s="2">
        <f>P114 * G114</f>
        <v>0</v>
      </c>
      <c r="R114">
        <v>0</v>
      </c>
      <c r="S114" s="2">
        <f>R114 * G114</f>
        <v>0</v>
      </c>
      <c r="T114" s="2">
        <f>(H114 + J114) - (L114 + N114) - R114</f>
        <v>0</v>
      </c>
      <c r="U114" s="2">
        <f>T114 * G114</f>
        <v>0</v>
      </c>
      <c r="V114" s="2">
        <f>I114 + K114 - S114</f>
        <v>0</v>
      </c>
      <c r="W114" s="2">
        <f>M114 - V114</f>
        <v>0</v>
      </c>
      <c r="X114" s="2">
        <f>IFERROR(W114 / M114 * 100, 0)</f>
        <v>0</v>
      </c>
    </row>
    <row r="115" spans="1:24">
      <c r="A115" t="s">
        <v>2779</v>
      </c>
      <c r="B115" t="s">
        <v>513</v>
      </c>
      <c r="C115" t="s">
        <v>3272</v>
      </c>
      <c r="D115" t="s">
        <v>1008</v>
      </c>
      <c r="E115" t="s">
        <v>3652</v>
      </c>
      <c r="F115" t="s">
        <v>3767</v>
      </c>
      <c r="G115">
        <v>4.13</v>
      </c>
      <c r="H115">
        <v>0</v>
      </c>
      <c r="I115">
        <v>0</v>
      </c>
      <c r="J115">
        <v>1182</v>
      </c>
      <c r="K115">
        <v>4107.54</v>
      </c>
      <c r="L115">
        <v>2093</v>
      </c>
      <c r="M115">
        <v>12009</v>
      </c>
      <c r="N115">
        <v>0</v>
      </c>
      <c r="O115">
        <v>0</v>
      </c>
      <c r="P115" s="2">
        <f>(H115 + J115) - (L115 + N115)</f>
        <v>0</v>
      </c>
      <c r="Q115" s="2">
        <f>P115 * G115</f>
        <v>0</v>
      </c>
      <c r="R115">
        <v>0</v>
      </c>
      <c r="S115" s="2">
        <f>R115 * G115</f>
        <v>0</v>
      </c>
      <c r="T115" s="2">
        <f>(H115 + J115) - (L115 + N115) - R115</f>
        <v>0</v>
      </c>
      <c r="U115" s="2">
        <f>T115 * G115</f>
        <v>0</v>
      </c>
      <c r="V115" s="2">
        <f>I115 + K115 - S115</f>
        <v>0</v>
      </c>
      <c r="W115" s="2">
        <f>M115 - V115</f>
        <v>0</v>
      </c>
      <c r="X115" s="2">
        <f>IFERROR(W115 / M115 * 100, 0)</f>
        <v>0</v>
      </c>
    </row>
    <row r="116" spans="1:24">
      <c r="A116" t="s">
        <v>2780</v>
      </c>
      <c r="B116" t="s">
        <v>513</v>
      </c>
      <c r="C116" t="s">
        <v>3273</v>
      </c>
      <c r="D116" t="s">
        <v>1007</v>
      </c>
      <c r="E116" t="s">
        <v>3652</v>
      </c>
      <c r="F116" t="s">
        <v>3768</v>
      </c>
      <c r="G116">
        <v>16.05</v>
      </c>
      <c r="H116">
        <v>0</v>
      </c>
      <c r="I116">
        <v>0</v>
      </c>
      <c r="J116">
        <v>2.9</v>
      </c>
      <c r="K116">
        <v>46.54</v>
      </c>
      <c r="L116">
        <v>1.16</v>
      </c>
      <c r="M116">
        <v>41.58</v>
      </c>
      <c r="N116">
        <v>0</v>
      </c>
      <c r="O116">
        <v>0</v>
      </c>
      <c r="P116" s="2">
        <f>(H116 + J116) - (L116 + N116)</f>
        <v>0</v>
      </c>
      <c r="Q116" s="2">
        <f>P116 * G116</f>
        <v>0</v>
      </c>
      <c r="R116">
        <v>0</v>
      </c>
      <c r="S116" s="2">
        <f>R116 * G116</f>
        <v>0</v>
      </c>
      <c r="T116" s="2">
        <f>(H116 + J116) - (L116 + N116) - R116</f>
        <v>0</v>
      </c>
      <c r="U116" s="2">
        <f>T116 * G116</f>
        <v>0</v>
      </c>
      <c r="V116" s="2">
        <f>I116 + K116 - S116</f>
        <v>0</v>
      </c>
      <c r="W116" s="2">
        <f>M116 - V116</f>
        <v>0</v>
      </c>
      <c r="X116" s="2">
        <f>IFERROR(W116 / M116 * 100, 0)</f>
        <v>0</v>
      </c>
    </row>
    <row r="117" spans="1:24">
      <c r="A117" t="s">
        <v>2781</v>
      </c>
      <c r="B117" t="s">
        <v>513</v>
      </c>
      <c r="C117" t="s">
        <v>3274</v>
      </c>
      <c r="D117" t="s">
        <v>1007</v>
      </c>
      <c r="E117" t="s">
        <v>3652</v>
      </c>
      <c r="F117" t="s">
        <v>3769</v>
      </c>
      <c r="G117">
        <v>5.71</v>
      </c>
      <c r="H117">
        <v>24</v>
      </c>
      <c r="I117">
        <v>131.18</v>
      </c>
      <c r="J117">
        <v>422.01</v>
      </c>
      <c r="K117">
        <v>2411.11</v>
      </c>
      <c r="L117">
        <v>354.5</v>
      </c>
      <c r="M117">
        <v>7089.9</v>
      </c>
      <c r="N117">
        <v>0</v>
      </c>
      <c r="O117">
        <v>0</v>
      </c>
      <c r="P117" s="2">
        <f>(H117 + J117) - (L117 + N117)</f>
        <v>0</v>
      </c>
      <c r="Q117" s="2">
        <f>P117 * G117</f>
        <v>0</v>
      </c>
      <c r="R117">
        <v>12</v>
      </c>
      <c r="S117" s="2">
        <f>R117 * G117</f>
        <v>0</v>
      </c>
      <c r="T117" s="2">
        <f>(H117 + J117) - (L117 + N117) - R117</f>
        <v>0</v>
      </c>
      <c r="U117" s="2">
        <f>T117 * G117</f>
        <v>0</v>
      </c>
      <c r="V117" s="2">
        <f>I117 + K117 - S117</f>
        <v>0</v>
      </c>
      <c r="W117" s="2">
        <f>M117 - V117</f>
        <v>0</v>
      </c>
      <c r="X117" s="2">
        <f>IFERROR(W117 / M117 * 100, 0)</f>
        <v>0</v>
      </c>
    </row>
    <row r="118" spans="1:24">
      <c r="A118" t="s">
        <v>2782</v>
      </c>
      <c r="B118" t="s">
        <v>513</v>
      </c>
      <c r="C118" t="s">
        <v>3275</v>
      </c>
      <c r="D118" t="s">
        <v>1008</v>
      </c>
      <c r="E118" t="s">
        <v>3652</v>
      </c>
      <c r="F118" t="s">
        <v>3770</v>
      </c>
      <c r="G118">
        <v>1.52</v>
      </c>
      <c r="H118">
        <v>0</v>
      </c>
      <c r="I118">
        <v>0</v>
      </c>
      <c r="J118">
        <v>4</v>
      </c>
      <c r="K118">
        <v>6.07</v>
      </c>
      <c r="L118">
        <v>8</v>
      </c>
      <c r="M118">
        <v>24</v>
      </c>
      <c r="N118">
        <v>0</v>
      </c>
      <c r="O118">
        <v>0</v>
      </c>
      <c r="P118" s="2">
        <f>(H118 + J118) - (L118 + N118)</f>
        <v>0</v>
      </c>
      <c r="Q118" s="2">
        <f>P118 * G118</f>
        <v>0</v>
      </c>
      <c r="R118">
        <v>0</v>
      </c>
      <c r="S118" s="2">
        <f>R118 * G118</f>
        <v>0</v>
      </c>
      <c r="T118" s="2">
        <f>(H118 + J118) - (L118 + N118) - R118</f>
        <v>0</v>
      </c>
      <c r="U118" s="2">
        <f>T118 * G118</f>
        <v>0</v>
      </c>
      <c r="V118" s="2">
        <f>I118 + K118 - S118</f>
        <v>0</v>
      </c>
      <c r="W118" s="2">
        <f>M118 - V118</f>
        <v>0</v>
      </c>
      <c r="X118" s="2">
        <f>IFERROR(W118 / M118 * 100, 0)</f>
        <v>0</v>
      </c>
    </row>
    <row r="119" spans="1:24">
      <c r="A119" t="s">
        <v>2783</v>
      </c>
      <c r="B119" t="s">
        <v>513</v>
      </c>
      <c r="C119" t="s">
        <v>3276</v>
      </c>
      <c r="D119" t="s">
        <v>1007</v>
      </c>
      <c r="E119" t="s">
        <v>3652</v>
      </c>
      <c r="F119" t="s">
        <v>3771</v>
      </c>
      <c r="G119">
        <v>7.35</v>
      </c>
      <c r="H119">
        <v>0</v>
      </c>
      <c r="I119">
        <v>0</v>
      </c>
      <c r="J119">
        <v>4.1</v>
      </c>
      <c r="K119">
        <v>30.13</v>
      </c>
      <c r="L119">
        <v>1.44</v>
      </c>
      <c r="M119">
        <v>43.05</v>
      </c>
      <c r="N119">
        <v>2</v>
      </c>
      <c r="O119">
        <v>14.7</v>
      </c>
      <c r="P119" s="2">
        <f>(H119 + J119) - (L119 + N119)</f>
        <v>0</v>
      </c>
      <c r="Q119" s="2">
        <f>P119 * G119</f>
        <v>0</v>
      </c>
      <c r="R119">
        <v>0</v>
      </c>
      <c r="S119" s="2">
        <f>R119 * G119</f>
        <v>0</v>
      </c>
      <c r="T119" s="2">
        <f>(H119 + J119) - (L119 + N119) - R119</f>
        <v>0</v>
      </c>
      <c r="U119" s="2">
        <f>T119 * G119</f>
        <v>0</v>
      </c>
      <c r="V119" s="2">
        <f>I119 + K119 - S119</f>
        <v>0</v>
      </c>
      <c r="W119" s="2">
        <f>M119 - V119</f>
        <v>0</v>
      </c>
      <c r="X119" s="2">
        <f>IFERROR(W119 / M119 * 100, 0)</f>
        <v>0</v>
      </c>
    </row>
    <row r="120" spans="1:24">
      <c r="A120" t="s">
        <v>2784</v>
      </c>
      <c r="B120" t="s">
        <v>513</v>
      </c>
      <c r="C120" t="s">
        <v>3277</v>
      </c>
      <c r="D120" t="s">
        <v>1007</v>
      </c>
      <c r="E120" t="s">
        <v>3652</v>
      </c>
      <c r="F120" t="s">
        <v>3772</v>
      </c>
      <c r="G120">
        <v>7.71</v>
      </c>
      <c r="H120">
        <v>0</v>
      </c>
      <c r="I120">
        <v>0</v>
      </c>
      <c r="J120">
        <v>3.4</v>
      </c>
      <c r="K120">
        <v>26.22</v>
      </c>
      <c r="L120">
        <v>1.12</v>
      </c>
      <c r="M120">
        <v>22.3</v>
      </c>
      <c r="N120">
        <v>0.8</v>
      </c>
      <c r="O120">
        <v>6.17</v>
      </c>
      <c r="P120" s="2">
        <f>(H120 + J120) - (L120 + N120)</f>
        <v>0</v>
      </c>
      <c r="Q120" s="2">
        <f>P120 * G120</f>
        <v>0</v>
      </c>
      <c r="R120">
        <v>0</v>
      </c>
      <c r="S120" s="2">
        <f>R120 * G120</f>
        <v>0</v>
      </c>
      <c r="T120" s="2">
        <f>(H120 + J120) - (L120 + N120) - R120</f>
        <v>0</v>
      </c>
      <c r="U120" s="2">
        <f>T120 * G120</f>
        <v>0</v>
      </c>
      <c r="V120" s="2">
        <f>I120 + K120 - S120</f>
        <v>0</v>
      </c>
      <c r="W120" s="2">
        <f>M120 - V120</f>
        <v>0</v>
      </c>
      <c r="X120" s="2">
        <f>IFERROR(W120 / M120 * 100, 0)</f>
        <v>0</v>
      </c>
    </row>
    <row r="121" spans="1:24">
      <c r="A121" t="s">
        <v>2785</v>
      </c>
      <c r="B121" t="s">
        <v>513</v>
      </c>
      <c r="C121" t="s">
        <v>3278</v>
      </c>
      <c r="D121" t="s">
        <v>1007</v>
      </c>
      <c r="E121" t="s">
        <v>3652</v>
      </c>
      <c r="F121" t="s">
        <v>3773</v>
      </c>
      <c r="G121">
        <v>17.64</v>
      </c>
      <c r="H121">
        <v>0</v>
      </c>
      <c r="I121">
        <v>0</v>
      </c>
      <c r="J121">
        <v>23.2</v>
      </c>
      <c r="K121">
        <v>409.46</v>
      </c>
      <c r="L121">
        <v>12.42</v>
      </c>
      <c r="M121">
        <v>447.12</v>
      </c>
      <c r="N121">
        <v>3.4</v>
      </c>
      <c r="O121">
        <v>60</v>
      </c>
      <c r="P121" s="2">
        <f>(H121 + J121) - (L121 + N121)</f>
        <v>0</v>
      </c>
      <c r="Q121" s="2">
        <f>P121 * G121</f>
        <v>0</v>
      </c>
      <c r="R121">
        <v>0</v>
      </c>
      <c r="S121" s="2">
        <f>R121 * G121</f>
        <v>0</v>
      </c>
      <c r="T121" s="2">
        <f>(H121 + J121) - (L121 + N121) - R121</f>
        <v>0</v>
      </c>
      <c r="U121" s="2">
        <f>T121 * G121</f>
        <v>0</v>
      </c>
      <c r="V121" s="2">
        <f>I121 + K121 - S121</f>
        <v>0</v>
      </c>
      <c r="W121" s="2">
        <f>M121 - V121</f>
        <v>0</v>
      </c>
      <c r="X121" s="2">
        <f>IFERROR(W121 / M121 * 100, 0)</f>
        <v>0</v>
      </c>
    </row>
    <row r="122" spans="1:24">
      <c r="A122" t="s">
        <v>2786</v>
      </c>
      <c r="B122" t="s">
        <v>512</v>
      </c>
      <c r="C122" t="s">
        <v>3279</v>
      </c>
      <c r="D122" t="s">
        <v>1008</v>
      </c>
      <c r="E122" t="s">
        <v>3652</v>
      </c>
      <c r="F122" t="s">
        <v>3774</v>
      </c>
      <c r="G122">
        <v>7</v>
      </c>
      <c r="H122">
        <v>0</v>
      </c>
      <c r="I122">
        <v>0</v>
      </c>
      <c r="J122">
        <v>60</v>
      </c>
      <c r="K122">
        <v>420</v>
      </c>
      <c r="L122">
        <v>0</v>
      </c>
      <c r="M122">
        <v>0</v>
      </c>
      <c r="N122">
        <v>0</v>
      </c>
      <c r="O122">
        <v>0</v>
      </c>
      <c r="P122" s="2">
        <f>(H122 + J122) - (L122 + N122)</f>
        <v>0</v>
      </c>
      <c r="Q122" s="2">
        <f>P122 * G122</f>
        <v>0</v>
      </c>
      <c r="R122">
        <v>0</v>
      </c>
      <c r="S122" s="2">
        <f>R122 * G122</f>
        <v>0</v>
      </c>
      <c r="T122" s="2">
        <f>(H122 + J122) - (L122 + N122) - R122</f>
        <v>0</v>
      </c>
      <c r="U122" s="2">
        <f>T122 * G122</f>
        <v>0</v>
      </c>
      <c r="V122" s="2">
        <f>I122 + K122 - S122</f>
        <v>0</v>
      </c>
      <c r="W122" s="2">
        <f>M122 - V122</f>
        <v>0</v>
      </c>
      <c r="X122" s="2">
        <f>IFERROR(W122 / M122 * 100, 0)</f>
        <v>0</v>
      </c>
    </row>
    <row r="123" spans="1:24">
      <c r="A123" t="s">
        <v>2787</v>
      </c>
      <c r="B123" t="s">
        <v>512</v>
      </c>
      <c r="C123" t="s">
        <v>3280</v>
      </c>
      <c r="D123" t="s">
        <v>1007</v>
      </c>
      <c r="E123" t="s">
        <v>3652</v>
      </c>
      <c r="F123" t="s">
        <v>3775</v>
      </c>
      <c r="G123">
        <v>20.73</v>
      </c>
      <c r="H123">
        <v>0</v>
      </c>
      <c r="I123">
        <v>0</v>
      </c>
      <c r="J123">
        <v>3</v>
      </c>
      <c r="K123">
        <v>66</v>
      </c>
      <c r="L123">
        <v>0</v>
      </c>
      <c r="M123">
        <v>0</v>
      </c>
      <c r="N123">
        <v>0</v>
      </c>
      <c r="O123">
        <v>0</v>
      </c>
      <c r="P123" s="2">
        <f>(H123 + J123) - (L123 + N123)</f>
        <v>0</v>
      </c>
      <c r="Q123" s="2">
        <f>P123 * G123</f>
        <v>0</v>
      </c>
      <c r="R123">
        <v>1</v>
      </c>
      <c r="S123" s="2">
        <f>R123 * G123</f>
        <v>0</v>
      </c>
      <c r="T123" s="2">
        <f>(H123 + J123) - (L123 + N123) - R123</f>
        <v>0</v>
      </c>
      <c r="U123" s="2">
        <f>T123 * G123</f>
        <v>0</v>
      </c>
      <c r="V123" s="2">
        <f>I123 + K123 - S123</f>
        <v>0</v>
      </c>
      <c r="W123" s="2">
        <f>M123 - V123</f>
        <v>0</v>
      </c>
      <c r="X123" s="2">
        <f>IFERROR(W123 / M123 * 100, 0)</f>
        <v>0</v>
      </c>
    </row>
    <row r="124" spans="1:24">
      <c r="A124" t="s">
        <v>2788</v>
      </c>
      <c r="B124" t="s">
        <v>512</v>
      </c>
      <c r="C124" t="s">
        <v>3281</v>
      </c>
      <c r="D124" t="s">
        <v>1007</v>
      </c>
      <c r="E124" t="s">
        <v>3652</v>
      </c>
      <c r="F124" t="s">
        <v>3776</v>
      </c>
      <c r="G124">
        <v>25.96</v>
      </c>
      <c r="H124">
        <v>2</v>
      </c>
      <c r="I124">
        <v>51.78</v>
      </c>
      <c r="J124">
        <v>12</v>
      </c>
      <c r="K124">
        <v>312</v>
      </c>
      <c r="L124">
        <v>0</v>
      </c>
      <c r="M124">
        <v>0</v>
      </c>
      <c r="N124">
        <v>0</v>
      </c>
      <c r="O124">
        <v>0</v>
      </c>
      <c r="P124" s="2">
        <f>(H124 + J124) - (L124 + N124)</f>
        <v>0</v>
      </c>
      <c r="Q124" s="2">
        <f>P124 * G124</f>
        <v>0</v>
      </c>
      <c r="R124">
        <v>2</v>
      </c>
      <c r="S124" s="2">
        <f>R124 * G124</f>
        <v>0</v>
      </c>
      <c r="T124" s="2">
        <f>(H124 + J124) - (L124 + N124) - R124</f>
        <v>0</v>
      </c>
      <c r="U124" s="2">
        <f>T124 * G124</f>
        <v>0</v>
      </c>
      <c r="V124" s="2">
        <f>I124 + K124 - S124</f>
        <v>0</v>
      </c>
      <c r="W124" s="2">
        <f>M124 - V124</f>
        <v>0</v>
      </c>
      <c r="X124" s="2">
        <f>IFERROR(W124 / M124 * 100, 0)</f>
        <v>0</v>
      </c>
    </row>
    <row r="125" spans="1:24">
      <c r="A125" t="s">
        <v>2789</v>
      </c>
      <c r="B125" t="s">
        <v>513</v>
      </c>
      <c r="C125" t="s">
        <v>3282</v>
      </c>
      <c r="D125" t="s">
        <v>1008</v>
      </c>
      <c r="E125" t="s">
        <v>3652</v>
      </c>
      <c r="F125" t="s">
        <v>3777</v>
      </c>
      <c r="G125">
        <v>9</v>
      </c>
      <c r="H125">
        <v>0</v>
      </c>
      <c r="I125">
        <v>0</v>
      </c>
      <c r="J125">
        <v>-9</v>
      </c>
      <c r="K125">
        <v>-86.5</v>
      </c>
      <c r="L125">
        <v>0</v>
      </c>
      <c r="M125">
        <v>0</v>
      </c>
      <c r="N125">
        <v>0</v>
      </c>
      <c r="O125">
        <v>0</v>
      </c>
      <c r="P125" s="2">
        <f>(H125 + J125) - (L125 + N125)</f>
        <v>0</v>
      </c>
      <c r="Q125" s="2">
        <f>P125 * G125</f>
        <v>0</v>
      </c>
      <c r="R125">
        <v>0</v>
      </c>
      <c r="S125" s="2">
        <f>R125 * G125</f>
        <v>0</v>
      </c>
      <c r="T125" s="2">
        <f>(H125 + J125) - (L125 + N125) - R125</f>
        <v>0</v>
      </c>
      <c r="U125" s="2">
        <f>T125 * G125</f>
        <v>0</v>
      </c>
      <c r="V125" s="2">
        <f>I125 + K125 - S125</f>
        <v>0</v>
      </c>
      <c r="W125" s="2">
        <f>M125 - V125</f>
        <v>0</v>
      </c>
      <c r="X125" s="2">
        <f>IFERROR(W125 / M125 * 100, 0)</f>
        <v>0</v>
      </c>
    </row>
    <row r="126" spans="1:24">
      <c r="A126" t="s">
        <v>2790</v>
      </c>
      <c r="B126" t="s">
        <v>512</v>
      </c>
      <c r="C126" t="s">
        <v>3283</v>
      </c>
      <c r="D126" t="s">
        <v>1007</v>
      </c>
      <c r="E126" t="s">
        <v>3652</v>
      </c>
      <c r="F126" t="s">
        <v>3778</v>
      </c>
      <c r="G126">
        <v>15</v>
      </c>
      <c r="H126">
        <v>2</v>
      </c>
      <c r="I126">
        <v>79.98999999999999</v>
      </c>
      <c r="J126">
        <v>-6.54</v>
      </c>
      <c r="K126">
        <v>-101.92</v>
      </c>
      <c r="L126">
        <v>0</v>
      </c>
      <c r="M126">
        <v>0</v>
      </c>
      <c r="N126">
        <v>0</v>
      </c>
      <c r="O126">
        <v>0</v>
      </c>
      <c r="P126" s="2">
        <f>(H126 + J126) - (L126 + N126)</f>
        <v>0</v>
      </c>
      <c r="Q126" s="2">
        <f>P126 * G126</f>
        <v>0</v>
      </c>
      <c r="R126">
        <v>5</v>
      </c>
      <c r="S126" s="2">
        <f>R126 * G126</f>
        <v>0</v>
      </c>
      <c r="T126" s="2">
        <f>(H126 + J126) - (L126 + N126) - R126</f>
        <v>0</v>
      </c>
      <c r="U126" s="2">
        <f>T126 * G126</f>
        <v>0</v>
      </c>
      <c r="V126" s="2">
        <f>I126 + K126 - S126</f>
        <v>0</v>
      </c>
      <c r="W126" s="2">
        <f>M126 - V126</f>
        <v>0</v>
      </c>
      <c r="X126" s="2">
        <f>IFERROR(W126 / M126 * 100, 0)</f>
        <v>0</v>
      </c>
    </row>
    <row r="127" spans="1:24">
      <c r="A127" t="s">
        <v>2791</v>
      </c>
      <c r="B127" t="s">
        <v>512</v>
      </c>
      <c r="C127" t="s">
        <v>3284</v>
      </c>
      <c r="D127" t="s">
        <v>1008</v>
      </c>
      <c r="E127" t="s">
        <v>3652</v>
      </c>
      <c r="F127" t="s">
        <v>3779</v>
      </c>
      <c r="G127">
        <v>0.87</v>
      </c>
      <c r="H127">
        <v>0</v>
      </c>
      <c r="I127">
        <v>0</v>
      </c>
      <c r="J127">
        <v>-1345</v>
      </c>
      <c r="K127">
        <v>-1170.15</v>
      </c>
      <c r="L127">
        <v>0</v>
      </c>
      <c r="M127">
        <v>0</v>
      </c>
      <c r="N127">
        <v>0</v>
      </c>
      <c r="O127">
        <v>0</v>
      </c>
      <c r="P127" s="2">
        <f>(H127 + J127) - (L127 + N127)</f>
        <v>0</v>
      </c>
      <c r="Q127" s="2">
        <f>P127 * G127</f>
        <v>0</v>
      </c>
      <c r="R127">
        <v>0</v>
      </c>
      <c r="S127" s="2">
        <f>R127 * G127</f>
        <v>0</v>
      </c>
      <c r="T127" s="2">
        <f>(H127 + J127) - (L127 + N127) - R127</f>
        <v>0</v>
      </c>
      <c r="U127" s="2">
        <f>T127 * G127</f>
        <v>0</v>
      </c>
      <c r="V127" s="2">
        <f>I127 + K127 - S127</f>
        <v>0</v>
      </c>
      <c r="W127" s="2">
        <f>M127 - V127</f>
        <v>0</v>
      </c>
      <c r="X127" s="2">
        <f>IFERROR(W127 / M127 * 100, 0)</f>
        <v>0</v>
      </c>
    </row>
    <row r="128" spans="1:24">
      <c r="A128" t="s">
        <v>2792</v>
      </c>
      <c r="B128" t="s">
        <v>512</v>
      </c>
      <c r="C128" t="s">
        <v>3285</v>
      </c>
      <c r="D128" t="s">
        <v>1007</v>
      </c>
      <c r="E128" t="s">
        <v>3652</v>
      </c>
      <c r="F128" t="s">
        <v>3780</v>
      </c>
      <c r="G128">
        <v>17.82</v>
      </c>
      <c r="H128">
        <v>50</v>
      </c>
      <c r="I128">
        <v>894.66</v>
      </c>
      <c r="J128">
        <v>38.12</v>
      </c>
      <c r="K128">
        <v>675.61</v>
      </c>
      <c r="L128">
        <v>0</v>
      </c>
      <c r="M128">
        <v>0</v>
      </c>
      <c r="N128">
        <v>0</v>
      </c>
      <c r="O128">
        <v>0</v>
      </c>
      <c r="P128" s="2">
        <f>(H128 + J128) - (L128 + N128)</f>
        <v>0</v>
      </c>
      <c r="Q128" s="2">
        <f>P128 * G128</f>
        <v>0</v>
      </c>
      <c r="R128">
        <v>35</v>
      </c>
      <c r="S128" s="2">
        <f>R128 * G128</f>
        <v>0</v>
      </c>
      <c r="T128" s="2">
        <f>(H128 + J128) - (L128 + N128) - R128</f>
        <v>0</v>
      </c>
      <c r="U128" s="2">
        <f>T128 * G128</f>
        <v>0</v>
      </c>
      <c r="V128" s="2">
        <f>I128 + K128 - S128</f>
        <v>0</v>
      </c>
      <c r="W128" s="2">
        <f>M128 - V128</f>
        <v>0</v>
      </c>
      <c r="X128" s="2">
        <f>IFERROR(W128 / M128 * 100, 0)</f>
        <v>0</v>
      </c>
    </row>
    <row r="129" spans="1:24">
      <c r="A129" t="s">
        <v>2793</v>
      </c>
      <c r="B129" t="s">
        <v>512</v>
      </c>
      <c r="C129" t="s">
        <v>3286</v>
      </c>
      <c r="D129" t="s">
        <v>1007</v>
      </c>
      <c r="E129" t="s">
        <v>3652</v>
      </c>
      <c r="F129" t="s">
        <v>3781</v>
      </c>
      <c r="G129">
        <v>0</v>
      </c>
      <c r="H129">
        <v>0</v>
      </c>
      <c r="I129">
        <v>0</v>
      </c>
      <c r="J129">
        <v>-104.9</v>
      </c>
      <c r="K129">
        <v>0</v>
      </c>
      <c r="L129">
        <v>0</v>
      </c>
      <c r="M129">
        <v>0</v>
      </c>
      <c r="N129">
        <v>0</v>
      </c>
      <c r="O129">
        <v>0</v>
      </c>
      <c r="P129" s="2">
        <f>(H129 + J129) - (L129 + N129)</f>
        <v>0</v>
      </c>
      <c r="Q129" s="2">
        <f>P129 * G129</f>
        <v>0</v>
      </c>
      <c r="R129">
        <v>0</v>
      </c>
      <c r="S129" s="2">
        <f>R129 * G129</f>
        <v>0</v>
      </c>
      <c r="T129" s="2">
        <f>(H129 + J129) - (L129 + N129) - R129</f>
        <v>0</v>
      </c>
      <c r="U129" s="2">
        <f>T129 * G129</f>
        <v>0</v>
      </c>
      <c r="V129" s="2">
        <f>I129 + K129 - S129</f>
        <v>0</v>
      </c>
      <c r="W129" s="2">
        <f>M129 - V129</f>
        <v>0</v>
      </c>
      <c r="X129" s="2">
        <f>IFERROR(W129 / M129 * 100, 0)</f>
        <v>0</v>
      </c>
    </row>
    <row r="130" spans="1:24">
      <c r="A130" t="s">
        <v>2794</v>
      </c>
      <c r="B130" t="s">
        <v>512</v>
      </c>
      <c r="C130" t="s">
        <v>3287</v>
      </c>
      <c r="D130" t="s">
        <v>1007</v>
      </c>
      <c r="E130" t="s">
        <v>3652</v>
      </c>
      <c r="F130" t="s">
        <v>3782</v>
      </c>
      <c r="G130">
        <v>0</v>
      </c>
      <c r="H130">
        <v>0</v>
      </c>
      <c r="I130">
        <v>0</v>
      </c>
      <c r="J130">
        <v>-5.6</v>
      </c>
      <c r="K130">
        <v>0</v>
      </c>
      <c r="L130">
        <v>0</v>
      </c>
      <c r="M130">
        <v>0</v>
      </c>
      <c r="N130">
        <v>0</v>
      </c>
      <c r="O130">
        <v>0</v>
      </c>
      <c r="P130" s="2">
        <f>(H130 + J130) - (L130 + N130)</f>
        <v>0</v>
      </c>
      <c r="Q130" s="2">
        <f>P130 * G130</f>
        <v>0</v>
      </c>
      <c r="R130">
        <v>0</v>
      </c>
      <c r="S130" s="2">
        <f>R130 * G130</f>
        <v>0</v>
      </c>
      <c r="T130" s="2">
        <f>(H130 + J130) - (L130 + N130) - R130</f>
        <v>0</v>
      </c>
      <c r="U130" s="2">
        <f>T130 * G130</f>
        <v>0</v>
      </c>
      <c r="V130" s="2">
        <f>I130 + K130 - S130</f>
        <v>0</v>
      </c>
      <c r="W130" s="2">
        <f>M130 - V130</f>
        <v>0</v>
      </c>
      <c r="X130" s="2">
        <f>IFERROR(W130 / M130 * 100, 0)</f>
        <v>0</v>
      </c>
    </row>
    <row r="131" spans="1:24">
      <c r="A131" t="s">
        <v>2795</v>
      </c>
      <c r="B131" t="s">
        <v>512</v>
      </c>
      <c r="C131" t="s">
        <v>3288</v>
      </c>
      <c r="D131" t="s">
        <v>1008</v>
      </c>
      <c r="E131" t="s">
        <v>3652</v>
      </c>
      <c r="F131" t="s">
        <v>3783</v>
      </c>
      <c r="G131">
        <v>1.63</v>
      </c>
      <c r="H131">
        <v>0</v>
      </c>
      <c r="I131">
        <v>0</v>
      </c>
      <c r="J131">
        <v>-17.83</v>
      </c>
      <c r="K131">
        <v>-29.11</v>
      </c>
      <c r="L131">
        <v>0</v>
      </c>
      <c r="M131">
        <v>0</v>
      </c>
      <c r="N131">
        <v>0</v>
      </c>
      <c r="O131">
        <v>0</v>
      </c>
      <c r="P131" s="2">
        <f>(H131 + J131) - (L131 + N131)</f>
        <v>0</v>
      </c>
      <c r="Q131" s="2">
        <f>P131 * G131</f>
        <v>0</v>
      </c>
      <c r="R131">
        <v>0</v>
      </c>
      <c r="S131" s="2">
        <f>R131 * G131</f>
        <v>0</v>
      </c>
      <c r="T131" s="2">
        <f>(H131 + J131) - (L131 + N131) - R131</f>
        <v>0</v>
      </c>
      <c r="U131" s="2">
        <f>T131 * G131</f>
        <v>0</v>
      </c>
      <c r="V131" s="2">
        <f>I131 + K131 - S131</f>
        <v>0</v>
      </c>
      <c r="W131" s="2">
        <f>M131 - V131</f>
        <v>0</v>
      </c>
      <c r="X131" s="2">
        <f>IFERROR(W131 / M131 * 100, 0)</f>
        <v>0</v>
      </c>
    </row>
    <row r="132" spans="1:24">
      <c r="A132" t="s">
        <v>2796</v>
      </c>
      <c r="B132" t="s">
        <v>512</v>
      </c>
      <c r="C132" t="s">
        <v>3289</v>
      </c>
      <c r="D132" t="s">
        <v>1007</v>
      </c>
      <c r="E132" t="s">
        <v>3652</v>
      </c>
      <c r="F132" t="s">
        <v>3784</v>
      </c>
      <c r="G132">
        <v>14.99</v>
      </c>
      <c r="H132">
        <v>0</v>
      </c>
      <c r="I132">
        <v>0</v>
      </c>
      <c r="J132">
        <v>-3.32</v>
      </c>
      <c r="K132">
        <v>-49.41</v>
      </c>
      <c r="L132">
        <v>0</v>
      </c>
      <c r="M132">
        <v>0</v>
      </c>
      <c r="N132">
        <v>0</v>
      </c>
      <c r="O132">
        <v>0</v>
      </c>
      <c r="P132" s="2">
        <f>(H132 + J132) - (L132 + N132)</f>
        <v>0</v>
      </c>
      <c r="Q132" s="2">
        <f>P132 * G132</f>
        <v>0</v>
      </c>
      <c r="R132">
        <v>0</v>
      </c>
      <c r="S132" s="2">
        <f>R132 * G132</f>
        <v>0</v>
      </c>
      <c r="T132" s="2">
        <f>(H132 + J132) - (L132 + N132) - R132</f>
        <v>0</v>
      </c>
      <c r="U132" s="2">
        <f>T132 * G132</f>
        <v>0</v>
      </c>
      <c r="V132" s="2">
        <f>I132 + K132 - S132</f>
        <v>0</v>
      </c>
      <c r="W132" s="2">
        <f>M132 - V132</f>
        <v>0</v>
      </c>
      <c r="X132" s="2">
        <f>IFERROR(W132 / M132 * 100, 0)</f>
        <v>0</v>
      </c>
    </row>
    <row r="133" spans="1:24">
      <c r="A133" t="s">
        <v>2797</v>
      </c>
      <c r="B133" t="s">
        <v>512</v>
      </c>
      <c r="C133" t="s">
        <v>3290</v>
      </c>
      <c r="D133" t="s">
        <v>1007</v>
      </c>
      <c r="E133" t="s">
        <v>3652</v>
      </c>
      <c r="F133" t="s">
        <v>3785</v>
      </c>
      <c r="G133">
        <v>23.5</v>
      </c>
      <c r="H133">
        <v>5</v>
      </c>
      <c r="I133">
        <v>121.13</v>
      </c>
      <c r="J133">
        <v>-9.619999999999999</v>
      </c>
      <c r="K133">
        <v>-236.44</v>
      </c>
      <c r="L133">
        <v>0</v>
      </c>
      <c r="M133">
        <v>0</v>
      </c>
      <c r="N133">
        <v>0</v>
      </c>
      <c r="O133">
        <v>0</v>
      </c>
      <c r="P133" s="2">
        <f>(H133 + J133) - (L133 + N133)</f>
        <v>0</v>
      </c>
      <c r="Q133" s="2">
        <f>P133 * G133</f>
        <v>0</v>
      </c>
      <c r="R133">
        <v>5</v>
      </c>
      <c r="S133" s="2">
        <f>R133 * G133</f>
        <v>0</v>
      </c>
      <c r="T133" s="2">
        <f>(H133 + J133) - (L133 + N133) - R133</f>
        <v>0</v>
      </c>
      <c r="U133" s="2">
        <f>T133 * G133</f>
        <v>0</v>
      </c>
      <c r="V133" s="2">
        <f>I133 + K133 - S133</f>
        <v>0</v>
      </c>
      <c r="W133" s="2">
        <f>M133 - V133</f>
        <v>0</v>
      </c>
      <c r="X133" s="2">
        <f>IFERROR(W133 / M133 * 100, 0)</f>
        <v>0</v>
      </c>
    </row>
    <row r="134" spans="1:24">
      <c r="A134" t="s">
        <v>2798</v>
      </c>
      <c r="B134" t="s">
        <v>512</v>
      </c>
      <c r="C134" t="s">
        <v>3291</v>
      </c>
      <c r="D134" t="s">
        <v>1007</v>
      </c>
      <c r="E134" t="s">
        <v>3652</v>
      </c>
      <c r="F134" t="s">
        <v>3786</v>
      </c>
      <c r="G134">
        <v>33.98</v>
      </c>
      <c r="H134">
        <v>3</v>
      </c>
      <c r="I134">
        <v>101.63</v>
      </c>
      <c r="J134">
        <v>4.32</v>
      </c>
      <c r="K134">
        <v>147.15</v>
      </c>
      <c r="L134">
        <v>0</v>
      </c>
      <c r="M134">
        <v>0</v>
      </c>
      <c r="N134">
        <v>0</v>
      </c>
      <c r="O134">
        <v>0</v>
      </c>
      <c r="P134" s="2">
        <f>(H134 + J134) - (L134 + N134)</f>
        <v>0</v>
      </c>
      <c r="Q134" s="2">
        <f>P134 * G134</f>
        <v>0</v>
      </c>
      <c r="R134">
        <v>3</v>
      </c>
      <c r="S134" s="2">
        <f>R134 * G134</f>
        <v>0</v>
      </c>
      <c r="T134" s="2">
        <f>(H134 + J134) - (L134 + N134) - R134</f>
        <v>0</v>
      </c>
      <c r="U134" s="2">
        <f>T134 * G134</f>
        <v>0</v>
      </c>
      <c r="V134" s="2">
        <f>I134 + K134 - S134</f>
        <v>0</v>
      </c>
      <c r="W134" s="2">
        <f>M134 - V134</f>
        <v>0</v>
      </c>
      <c r="X134" s="2">
        <f>IFERROR(W134 / M134 * 100, 0)</f>
        <v>0</v>
      </c>
    </row>
    <row r="135" spans="1:24">
      <c r="A135" t="s">
        <v>2799</v>
      </c>
      <c r="B135" t="s">
        <v>513</v>
      </c>
      <c r="C135" t="s">
        <v>3292</v>
      </c>
      <c r="D135" t="s">
        <v>1008</v>
      </c>
      <c r="E135" t="s">
        <v>3652</v>
      </c>
      <c r="F135" t="s">
        <v>3787</v>
      </c>
      <c r="G135">
        <v>1.1</v>
      </c>
      <c r="H135">
        <v>0</v>
      </c>
      <c r="I135">
        <v>0</v>
      </c>
      <c r="J135">
        <v>419</v>
      </c>
      <c r="K135">
        <v>469.05</v>
      </c>
      <c r="L135">
        <v>450</v>
      </c>
      <c r="M135">
        <v>1800</v>
      </c>
      <c r="N135">
        <v>0</v>
      </c>
      <c r="O135">
        <v>0</v>
      </c>
      <c r="P135" s="2">
        <f>(H135 + J135) - (L135 + N135)</f>
        <v>0</v>
      </c>
      <c r="Q135" s="2">
        <f>P135 * G135</f>
        <v>0</v>
      </c>
      <c r="R135">
        <v>0</v>
      </c>
      <c r="S135" s="2">
        <f>R135 * G135</f>
        <v>0</v>
      </c>
      <c r="T135" s="2">
        <f>(H135 + J135) - (L135 + N135) - R135</f>
        <v>0</v>
      </c>
      <c r="U135" s="2">
        <f>T135 * G135</f>
        <v>0</v>
      </c>
      <c r="V135" s="2">
        <f>I135 + K135 - S135</f>
        <v>0</v>
      </c>
      <c r="W135" s="2">
        <f>M135 - V135</f>
        <v>0</v>
      </c>
      <c r="X135" s="2">
        <f>IFERROR(W135 / M135 * 100, 0)</f>
        <v>0</v>
      </c>
    </row>
    <row r="136" spans="1:24">
      <c r="A136" t="s">
        <v>2800</v>
      </c>
      <c r="B136" t="s">
        <v>513</v>
      </c>
      <c r="C136" t="s">
        <v>3293</v>
      </c>
      <c r="D136" t="s">
        <v>1008</v>
      </c>
      <c r="E136" t="s">
        <v>3652</v>
      </c>
      <c r="F136" t="s">
        <v>3788</v>
      </c>
      <c r="G136">
        <v>2.92</v>
      </c>
      <c r="H136">
        <v>0</v>
      </c>
      <c r="I136">
        <v>0</v>
      </c>
      <c r="J136">
        <v>2103</v>
      </c>
      <c r="K136">
        <v>6140.41</v>
      </c>
      <c r="L136">
        <v>2252</v>
      </c>
      <c r="M136">
        <v>6756</v>
      </c>
      <c r="N136">
        <v>0</v>
      </c>
      <c r="O136">
        <v>0</v>
      </c>
      <c r="P136" s="2">
        <f>(H136 + J136) - (L136 + N136)</f>
        <v>0</v>
      </c>
      <c r="Q136" s="2">
        <f>P136 * G136</f>
        <v>0</v>
      </c>
      <c r="R136">
        <v>0</v>
      </c>
      <c r="S136" s="2">
        <f>R136 * G136</f>
        <v>0</v>
      </c>
      <c r="T136" s="2">
        <f>(H136 + J136) - (L136 + N136) - R136</f>
        <v>0</v>
      </c>
      <c r="U136" s="2">
        <f>T136 * G136</f>
        <v>0</v>
      </c>
      <c r="V136" s="2">
        <f>I136 + K136 - S136</f>
        <v>0</v>
      </c>
      <c r="W136" s="2">
        <f>M136 - V136</f>
        <v>0</v>
      </c>
      <c r="X136" s="2">
        <f>IFERROR(W136 / M136 * 100, 0)</f>
        <v>0</v>
      </c>
    </row>
    <row r="137" spans="1:24">
      <c r="A137" t="s">
        <v>2801</v>
      </c>
      <c r="B137" t="s">
        <v>512</v>
      </c>
      <c r="C137" t="s">
        <v>3294</v>
      </c>
      <c r="D137" t="s">
        <v>1008</v>
      </c>
      <c r="E137" t="s">
        <v>3652</v>
      </c>
      <c r="F137" t="s">
        <v>3789</v>
      </c>
      <c r="G137">
        <v>56.93</v>
      </c>
      <c r="H137">
        <v>2</v>
      </c>
      <c r="I137">
        <v>113.85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s="2">
        <f>(H137 + J137) - (L137 + N137)</f>
        <v>0</v>
      </c>
      <c r="Q137" s="2">
        <f>P137 * G137</f>
        <v>0</v>
      </c>
      <c r="R137">
        <v>1</v>
      </c>
      <c r="S137" s="2">
        <f>R137 * G137</f>
        <v>0</v>
      </c>
      <c r="T137" s="2">
        <f>(H137 + J137) - (L137 + N137) - R137</f>
        <v>0</v>
      </c>
      <c r="U137" s="2">
        <f>T137 * G137</f>
        <v>0</v>
      </c>
      <c r="V137" s="2">
        <f>I137 + K137 - S137</f>
        <v>0</v>
      </c>
      <c r="W137" s="2">
        <f>M137 - V137</f>
        <v>0</v>
      </c>
      <c r="X137" s="2">
        <f>IFERROR(W137 / M137 * 100, 0)</f>
        <v>0</v>
      </c>
    </row>
    <row r="138" spans="1:24">
      <c r="A138" t="s">
        <v>2802</v>
      </c>
      <c r="B138" t="s">
        <v>512</v>
      </c>
      <c r="C138" t="s">
        <v>3295</v>
      </c>
      <c r="D138" t="s">
        <v>1008</v>
      </c>
      <c r="E138" t="s">
        <v>3652</v>
      </c>
      <c r="F138" t="s">
        <v>3790</v>
      </c>
      <c r="G138">
        <v>2.95</v>
      </c>
      <c r="H138">
        <v>0</v>
      </c>
      <c r="I138">
        <v>0</v>
      </c>
      <c r="J138">
        <v>240</v>
      </c>
      <c r="K138">
        <v>691.88</v>
      </c>
      <c r="L138">
        <v>0</v>
      </c>
      <c r="M138">
        <v>0</v>
      </c>
      <c r="N138">
        <v>0</v>
      </c>
      <c r="O138">
        <v>0</v>
      </c>
      <c r="P138" s="2">
        <f>(H138 + J138) - (L138 + N138)</f>
        <v>0</v>
      </c>
      <c r="Q138" s="2">
        <f>P138 * G138</f>
        <v>0</v>
      </c>
      <c r="R138">
        <v>2</v>
      </c>
      <c r="S138" s="2">
        <f>R138 * G138</f>
        <v>0</v>
      </c>
      <c r="T138" s="2">
        <f>(H138 + J138) - (L138 + N138) - R138</f>
        <v>0</v>
      </c>
      <c r="U138" s="2">
        <f>T138 * G138</f>
        <v>0</v>
      </c>
      <c r="V138" s="2">
        <f>I138 + K138 - S138</f>
        <v>0</v>
      </c>
      <c r="W138" s="2">
        <f>M138 - V138</f>
        <v>0</v>
      </c>
      <c r="X138" s="2">
        <f>IFERROR(W138 / M138 * 100, 0)</f>
        <v>0</v>
      </c>
    </row>
    <row r="139" spans="1:24">
      <c r="A139" t="s">
        <v>2803</v>
      </c>
      <c r="B139" t="s">
        <v>512</v>
      </c>
      <c r="C139" t="s">
        <v>3296</v>
      </c>
      <c r="D139" t="s">
        <v>1007</v>
      </c>
      <c r="E139" t="s">
        <v>3652</v>
      </c>
      <c r="F139" t="s">
        <v>3791</v>
      </c>
      <c r="G139">
        <v>6.55</v>
      </c>
      <c r="H139">
        <v>0</v>
      </c>
      <c r="I139">
        <v>0</v>
      </c>
      <c r="J139">
        <v>55.42</v>
      </c>
      <c r="K139">
        <v>355.11</v>
      </c>
      <c r="L139">
        <v>0</v>
      </c>
      <c r="M139">
        <v>0</v>
      </c>
      <c r="N139">
        <v>0</v>
      </c>
      <c r="O139">
        <v>0</v>
      </c>
      <c r="P139" s="2">
        <f>(H139 + J139) - (L139 + N139)</f>
        <v>0</v>
      </c>
      <c r="Q139" s="2">
        <f>P139 * G139</f>
        <v>0</v>
      </c>
      <c r="R139">
        <v>0</v>
      </c>
      <c r="S139" s="2">
        <f>R139 * G139</f>
        <v>0</v>
      </c>
      <c r="T139" s="2">
        <f>(H139 + J139) - (L139 + N139) - R139</f>
        <v>0</v>
      </c>
      <c r="U139" s="2">
        <f>T139 * G139</f>
        <v>0</v>
      </c>
      <c r="V139" s="2">
        <f>I139 + K139 - S139</f>
        <v>0</v>
      </c>
      <c r="W139" s="2">
        <f>M139 - V139</f>
        <v>0</v>
      </c>
      <c r="X139" s="2">
        <f>IFERROR(W139 / M139 * 100, 0)</f>
        <v>0</v>
      </c>
    </row>
    <row r="140" spans="1:24">
      <c r="A140" t="s">
        <v>2804</v>
      </c>
      <c r="B140" t="s">
        <v>512</v>
      </c>
      <c r="C140" t="s">
        <v>3297</v>
      </c>
      <c r="D140" t="s">
        <v>1008</v>
      </c>
      <c r="E140" t="s">
        <v>3652</v>
      </c>
      <c r="F140" t="s">
        <v>3792</v>
      </c>
      <c r="G140">
        <v>53.75</v>
      </c>
      <c r="H140">
        <v>0</v>
      </c>
      <c r="I140">
        <v>0</v>
      </c>
      <c r="J140">
        <v>2</v>
      </c>
      <c r="K140">
        <v>111.32</v>
      </c>
      <c r="L140">
        <v>0</v>
      </c>
      <c r="M140">
        <v>0</v>
      </c>
      <c r="N140">
        <v>0</v>
      </c>
      <c r="O140">
        <v>0</v>
      </c>
      <c r="P140" s="2">
        <f>(H140 + J140) - (L140 + N140)</f>
        <v>0</v>
      </c>
      <c r="Q140" s="2">
        <f>P140 * G140</f>
        <v>0</v>
      </c>
      <c r="R140">
        <v>1</v>
      </c>
      <c r="S140" s="2">
        <f>R140 * G140</f>
        <v>0</v>
      </c>
      <c r="T140" s="2">
        <f>(H140 + J140) - (L140 + N140) - R140</f>
        <v>0</v>
      </c>
      <c r="U140" s="2">
        <f>T140 * G140</f>
        <v>0</v>
      </c>
      <c r="V140" s="2">
        <f>I140 + K140 - S140</f>
        <v>0</v>
      </c>
      <c r="W140" s="2">
        <f>M140 - V140</f>
        <v>0</v>
      </c>
      <c r="X140" s="2">
        <f>IFERROR(W140 / M140 * 100, 0)</f>
        <v>0</v>
      </c>
    </row>
    <row r="141" spans="1:24">
      <c r="A141" t="s">
        <v>2805</v>
      </c>
      <c r="B141" t="s">
        <v>513</v>
      </c>
      <c r="C141" t="s">
        <v>3298</v>
      </c>
      <c r="D141" t="s">
        <v>1007</v>
      </c>
      <c r="E141" t="s">
        <v>3652</v>
      </c>
      <c r="F141" t="s">
        <v>3793</v>
      </c>
      <c r="G141">
        <v>4.12</v>
      </c>
      <c r="H141">
        <v>0</v>
      </c>
      <c r="I141">
        <v>0</v>
      </c>
      <c r="J141">
        <v>178.6</v>
      </c>
      <c r="K141">
        <v>798.76</v>
      </c>
      <c r="L141">
        <v>103.42</v>
      </c>
      <c r="M141">
        <v>2481.96</v>
      </c>
      <c r="N141">
        <v>33.1</v>
      </c>
      <c r="O141">
        <v>147.59</v>
      </c>
      <c r="P141" s="2">
        <f>(H141 + J141) - (L141 + N141)</f>
        <v>0</v>
      </c>
      <c r="Q141" s="2">
        <f>P141 * G141</f>
        <v>0</v>
      </c>
      <c r="R141">
        <v>0</v>
      </c>
      <c r="S141" s="2">
        <f>R141 * G141</f>
        <v>0</v>
      </c>
      <c r="T141" s="2">
        <f>(H141 + J141) - (L141 + N141) - R141</f>
        <v>0</v>
      </c>
      <c r="U141" s="2">
        <f>T141 * G141</f>
        <v>0</v>
      </c>
      <c r="V141" s="2">
        <f>I141 + K141 - S141</f>
        <v>0</v>
      </c>
      <c r="W141" s="2">
        <f>M141 - V141</f>
        <v>0</v>
      </c>
      <c r="X141" s="2">
        <f>IFERROR(W141 / M141 * 100, 0)</f>
        <v>0</v>
      </c>
    </row>
    <row r="142" spans="1:24">
      <c r="A142" t="s">
        <v>2806</v>
      </c>
      <c r="B142" t="s">
        <v>513</v>
      </c>
      <c r="C142" t="s">
        <v>3299</v>
      </c>
      <c r="D142" t="s">
        <v>1007</v>
      </c>
      <c r="E142" t="s">
        <v>3652</v>
      </c>
      <c r="F142" t="s">
        <v>3794</v>
      </c>
      <c r="G142">
        <v>5.72</v>
      </c>
      <c r="H142">
        <v>0</v>
      </c>
      <c r="I142">
        <v>0</v>
      </c>
      <c r="J142">
        <v>76.8</v>
      </c>
      <c r="K142">
        <v>441.77</v>
      </c>
      <c r="L142">
        <v>63.41</v>
      </c>
      <c r="M142">
        <v>1268.2</v>
      </c>
      <c r="N142">
        <v>3.4</v>
      </c>
      <c r="O142">
        <v>19.57</v>
      </c>
      <c r="P142" s="2">
        <f>(H142 + J142) - (L142 + N142)</f>
        <v>0</v>
      </c>
      <c r="Q142" s="2">
        <f>P142 * G142</f>
        <v>0</v>
      </c>
      <c r="R142">
        <v>0</v>
      </c>
      <c r="S142" s="2">
        <f>R142 * G142</f>
        <v>0</v>
      </c>
      <c r="T142" s="2">
        <f>(H142 + J142) - (L142 + N142) - R142</f>
        <v>0</v>
      </c>
      <c r="U142" s="2">
        <f>T142 * G142</f>
        <v>0</v>
      </c>
      <c r="V142" s="2">
        <f>I142 + K142 - S142</f>
        <v>0</v>
      </c>
      <c r="W142" s="2">
        <f>M142 - V142</f>
        <v>0</v>
      </c>
      <c r="X142" s="2">
        <f>IFERROR(W142 / M142 * 100, 0)</f>
        <v>0</v>
      </c>
    </row>
    <row r="143" spans="1:24">
      <c r="A143" t="s">
        <v>2807</v>
      </c>
      <c r="B143" t="s">
        <v>513</v>
      </c>
      <c r="C143" t="s">
        <v>3300</v>
      </c>
      <c r="D143" t="s">
        <v>1008</v>
      </c>
      <c r="E143" t="s">
        <v>3652</v>
      </c>
      <c r="F143" t="s">
        <v>3795</v>
      </c>
      <c r="G143">
        <v>0.17</v>
      </c>
      <c r="H143">
        <v>0</v>
      </c>
      <c r="I143">
        <v>0</v>
      </c>
      <c r="J143">
        <v>713</v>
      </c>
      <c r="K143">
        <v>118.67</v>
      </c>
      <c r="L143">
        <v>612</v>
      </c>
      <c r="M143">
        <v>612</v>
      </c>
      <c r="N143">
        <v>127</v>
      </c>
      <c r="O143">
        <v>21.14</v>
      </c>
      <c r="P143" s="2">
        <f>(H143 + J143) - (L143 + N143)</f>
        <v>0</v>
      </c>
      <c r="Q143" s="2">
        <f>P143 * G143</f>
        <v>0</v>
      </c>
      <c r="R143">
        <v>0</v>
      </c>
      <c r="S143" s="2">
        <f>R143 * G143</f>
        <v>0</v>
      </c>
      <c r="T143" s="2">
        <f>(H143 + J143) - (L143 + N143) - R143</f>
        <v>0</v>
      </c>
      <c r="U143" s="2">
        <f>T143 * G143</f>
        <v>0</v>
      </c>
      <c r="V143" s="2">
        <f>I143 + K143 - S143</f>
        <v>0</v>
      </c>
      <c r="W143" s="2">
        <f>M143 - V143</f>
        <v>0</v>
      </c>
      <c r="X143" s="2">
        <f>IFERROR(W143 / M143 * 100, 0)</f>
        <v>0</v>
      </c>
    </row>
    <row r="144" spans="1:24">
      <c r="A144" t="s">
        <v>2808</v>
      </c>
      <c r="B144" t="s">
        <v>513</v>
      </c>
      <c r="C144" t="s">
        <v>3301</v>
      </c>
      <c r="D144" t="s">
        <v>1007</v>
      </c>
      <c r="E144" t="s">
        <v>3652</v>
      </c>
      <c r="F144" t="s">
        <v>3796</v>
      </c>
      <c r="G144">
        <v>13.57</v>
      </c>
      <c r="H144">
        <v>0</v>
      </c>
      <c r="I144">
        <v>0</v>
      </c>
      <c r="J144">
        <v>46.5</v>
      </c>
      <c r="K144">
        <v>621.2</v>
      </c>
      <c r="L144">
        <v>36.14</v>
      </c>
      <c r="M144">
        <v>1301.04</v>
      </c>
      <c r="N144">
        <v>7.7</v>
      </c>
      <c r="O144">
        <v>109.21</v>
      </c>
      <c r="P144" s="2">
        <f>(H144 + J144) - (L144 + N144)</f>
        <v>0</v>
      </c>
      <c r="Q144" s="2">
        <f>P144 * G144</f>
        <v>0</v>
      </c>
      <c r="R144">
        <v>0</v>
      </c>
      <c r="S144" s="2">
        <f>R144 * G144</f>
        <v>0</v>
      </c>
      <c r="T144" s="2">
        <f>(H144 + J144) - (L144 + N144) - R144</f>
        <v>0</v>
      </c>
      <c r="U144" s="2">
        <f>T144 * G144</f>
        <v>0</v>
      </c>
      <c r="V144" s="2">
        <f>I144 + K144 - S144</f>
        <v>0</v>
      </c>
      <c r="W144" s="2">
        <f>M144 - V144</f>
        <v>0</v>
      </c>
      <c r="X144" s="2">
        <f>IFERROR(W144 / M144 * 100, 0)</f>
        <v>0</v>
      </c>
    </row>
    <row r="145" spans="1:24">
      <c r="A145" t="s">
        <v>2809</v>
      </c>
      <c r="B145" t="s">
        <v>512</v>
      </c>
      <c r="C145" t="s">
        <v>3302</v>
      </c>
      <c r="D145" t="s">
        <v>1007</v>
      </c>
      <c r="E145" t="s">
        <v>3652</v>
      </c>
      <c r="F145" t="s">
        <v>3797</v>
      </c>
      <c r="G145">
        <v>5.5</v>
      </c>
      <c r="H145">
        <v>0</v>
      </c>
      <c r="I145">
        <v>0</v>
      </c>
      <c r="J145">
        <v>-1.82</v>
      </c>
      <c r="K145">
        <v>-9.99</v>
      </c>
      <c r="L145">
        <v>0</v>
      </c>
      <c r="M145">
        <v>0</v>
      </c>
      <c r="N145">
        <v>0</v>
      </c>
      <c r="O145">
        <v>0</v>
      </c>
      <c r="P145" s="2">
        <f>(H145 + J145) - (L145 + N145)</f>
        <v>0</v>
      </c>
      <c r="Q145" s="2">
        <f>P145 * G145</f>
        <v>0</v>
      </c>
      <c r="R145">
        <v>0</v>
      </c>
      <c r="S145" s="2">
        <f>R145 * G145</f>
        <v>0</v>
      </c>
      <c r="T145" s="2">
        <f>(H145 + J145) - (L145 + N145) - R145</f>
        <v>0</v>
      </c>
      <c r="U145" s="2">
        <f>T145 * G145</f>
        <v>0</v>
      </c>
      <c r="V145" s="2">
        <f>I145 + K145 - S145</f>
        <v>0</v>
      </c>
      <c r="W145" s="2">
        <f>M145 - V145</f>
        <v>0</v>
      </c>
      <c r="X145" s="2">
        <f>IFERROR(W145 / M145 * 100, 0)</f>
        <v>0</v>
      </c>
    </row>
    <row r="146" spans="1:24">
      <c r="A146" t="s">
        <v>2810</v>
      </c>
      <c r="B146" t="s">
        <v>512</v>
      </c>
      <c r="C146" t="s">
        <v>3303</v>
      </c>
      <c r="D146" t="s">
        <v>1007</v>
      </c>
      <c r="E146" t="s">
        <v>3652</v>
      </c>
      <c r="F146" t="s">
        <v>3798</v>
      </c>
      <c r="G146">
        <v>0</v>
      </c>
      <c r="H146">
        <v>0</v>
      </c>
      <c r="I146">
        <v>0</v>
      </c>
      <c r="J146">
        <v>-2.31</v>
      </c>
      <c r="K146">
        <v>0</v>
      </c>
      <c r="L146">
        <v>0</v>
      </c>
      <c r="M146">
        <v>0</v>
      </c>
      <c r="N146">
        <v>0</v>
      </c>
      <c r="O146">
        <v>0</v>
      </c>
      <c r="P146" s="2">
        <f>(H146 + J146) - (L146 + N146)</f>
        <v>0</v>
      </c>
      <c r="Q146" s="2">
        <f>P146 * G146</f>
        <v>0</v>
      </c>
      <c r="R146">
        <v>0</v>
      </c>
      <c r="S146" s="2">
        <f>R146 * G146</f>
        <v>0</v>
      </c>
      <c r="T146" s="2">
        <f>(H146 + J146) - (L146 + N146) - R146</f>
        <v>0</v>
      </c>
      <c r="U146" s="2">
        <f>T146 * G146</f>
        <v>0</v>
      </c>
      <c r="V146" s="2">
        <f>I146 + K146 - S146</f>
        <v>0</v>
      </c>
      <c r="W146" s="2">
        <f>M146 - V146</f>
        <v>0</v>
      </c>
      <c r="X146" s="2">
        <f>IFERROR(W146 / M146 * 100, 0)</f>
        <v>0</v>
      </c>
    </row>
    <row r="147" spans="1:24">
      <c r="A147" t="s">
        <v>2811</v>
      </c>
      <c r="B147" t="s">
        <v>512</v>
      </c>
      <c r="C147" t="s">
        <v>3304</v>
      </c>
      <c r="D147" t="s">
        <v>1008</v>
      </c>
      <c r="E147" t="s">
        <v>3652</v>
      </c>
      <c r="F147" t="s">
        <v>3799</v>
      </c>
      <c r="G147">
        <v>200</v>
      </c>
      <c r="H147">
        <v>0</v>
      </c>
      <c r="I147">
        <v>0</v>
      </c>
      <c r="J147">
        <v>3</v>
      </c>
      <c r="K147">
        <v>600</v>
      </c>
      <c r="L147">
        <v>0</v>
      </c>
      <c r="M147">
        <v>0</v>
      </c>
      <c r="N147">
        <v>0</v>
      </c>
      <c r="O147">
        <v>0</v>
      </c>
      <c r="P147" s="2">
        <f>(H147 + J147) - (L147 + N147)</f>
        <v>0</v>
      </c>
      <c r="Q147" s="2">
        <f>P147 * G147</f>
        <v>0</v>
      </c>
      <c r="R147">
        <v>1</v>
      </c>
      <c r="S147" s="2">
        <f>R147 * G147</f>
        <v>0</v>
      </c>
      <c r="T147" s="2">
        <f>(H147 + J147) - (L147 + N147) - R147</f>
        <v>0</v>
      </c>
      <c r="U147" s="2">
        <f>T147 * G147</f>
        <v>0</v>
      </c>
      <c r="V147" s="2">
        <f>I147 + K147 - S147</f>
        <v>0</v>
      </c>
      <c r="W147" s="2">
        <f>M147 - V147</f>
        <v>0</v>
      </c>
      <c r="X147" s="2">
        <f>IFERROR(W147 / M147 * 100, 0)</f>
        <v>0</v>
      </c>
    </row>
    <row r="148" spans="1:24">
      <c r="A148" t="s">
        <v>2812</v>
      </c>
      <c r="B148" t="s">
        <v>512</v>
      </c>
      <c r="C148" t="s">
        <v>3305</v>
      </c>
      <c r="D148" t="s">
        <v>1008</v>
      </c>
      <c r="E148" t="s">
        <v>3652</v>
      </c>
      <c r="F148" t="s">
        <v>3800</v>
      </c>
      <c r="G148">
        <v>133.03</v>
      </c>
      <c r="H148">
        <v>1</v>
      </c>
      <c r="I148">
        <v>134.4</v>
      </c>
      <c r="J148">
        <v>4</v>
      </c>
      <c r="K148">
        <v>528</v>
      </c>
      <c r="L148">
        <v>0</v>
      </c>
      <c r="M148">
        <v>0</v>
      </c>
      <c r="N148">
        <v>0</v>
      </c>
      <c r="O148">
        <v>0</v>
      </c>
      <c r="P148" s="2">
        <f>(H148 + J148) - (L148 + N148)</f>
        <v>0</v>
      </c>
      <c r="Q148" s="2">
        <f>P148 * G148</f>
        <v>0</v>
      </c>
      <c r="R148">
        <v>1</v>
      </c>
      <c r="S148" s="2">
        <f>R148 * G148</f>
        <v>0</v>
      </c>
      <c r="T148" s="2">
        <f>(H148 + J148) - (L148 + N148) - R148</f>
        <v>0</v>
      </c>
      <c r="U148" s="2">
        <f>T148 * G148</f>
        <v>0</v>
      </c>
      <c r="V148" s="2">
        <f>I148 + K148 - S148</f>
        <v>0</v>
      </c>
      <c r="W148" s="2">
        <f>M148 - V148</f>
        <v>0</v>
      </c>
      <c r="X148" s="2">
        <f>IFERROR(W148 / M148 * 100, 0)</f>
        <v>0</v>
      </c>
    </row>
    <row r="149" spans="1:24">
      <c r="A149" t="s">
        <v>2813</v>
      </c>
      <c r="B149" t="s">
        <v>512</v>
      </c>
      <c r="C149" t="s">
        <v>3306</v>
      </c>
      <c r="D149" t="s">
        <v>1008</v>
      </c>
      <c r="E149" t="s">
        <v>3652</v>
      </c>
      <c r="F149" t="s">
        <v>3801</v>
      </c>
      <c r="G149">
        <v>50</v>
      </c>
      <c r="H149">
        <v>0</v>
      </c>
      <c r="I149">
        <v>0</v>
      </c>
      <c r="J149">
        <v>2</v>
      </c>
      <c r="K149">
        <v>100</v>
      </c>
      <c r="L149">
        <v>0</v>
      </c>
      <c r="M149">
        <v>0</v>
      </c>
      <c r="N149">
        <v>0</v>
      </c>
      <c r="O149">
        <v>0</v>
      </c>
      <c r="P149" s="2">
        <f>(H149 + J149) - (L149 + N149)</f>
        <v>0</v>
      </c>
      <c r="Q149" s="2">
        <f>P149 * G149</f>
        <v>0</v>
      </c>
      <c r="R149">
        <v>0</v>
      </c>
      <c r="S149" s="2">
        <f>R149 * G149</f>
        <v>0</v>
      </c>
      <c r="T149" s="2">
        <f>(H149 + J149) - (L149 + N149) - R149</f>
        <v>0</v>
      </c>
      <c r="U149" s="2">
        <f>T149 * G149</f>
        <v>0</v>
      </c>
      <c r="V149" s="2">
        <f>I149 + K149 - S149</f>
        <v>0</v>
      </c>
      <c r="W149" s="2">
        <f>M149 - V149</f>
        <v>0</v>
      </c>
      <c r="X149" s="2">
        <f>IFERROR(W149 / M149 * 100, 0)</f>
        <v>0</v>
      </c>
    </row>
    <row r="150" spans="1:24">
      <c r="A150" t="s">
        <v>2814</v>
      </c>
      <c r="B150" t="s">
        <v>512</v>
      </c>
      <c r="C150" t="s">
        <v>3307</v>
      </c>
      <c r="D150" t="s">
        <v>1008</v>
      </c>
      <c r="E150" t="s">
        <v>3652</v>
      </c>
      <c r="F150" t="s">
        <v>3802</v>
      </c>
      <c r="G150">
        <v>54</v>
      </c>
      <c r="H150">
        <v>0</v>
      </c>
      <c r="I150">
        <v>0</v>
      </c>
      <c r="J150">
        <v>40</v>
      </c>
      <c r="K150">
        <v>2160</v>
      </c>
      <c r="L150">
        <v>0</v>
      </c>
      <c r="M150">
        <v>0</v>
      </c>
      <c r="N150">
        <v>0</v>
      </c>
      <c r="O150">
        <v>0</v>
      </c>
      <c r="P150" s="2">
        <f>(H150 + J150) - (L150 + N150)</f>
        <v>0</v>
      </c>
      <c r="Q150" s="2">
        <f>P150 * G150</f>
        <v>0</v>
      </c>
      <c r="R150">
        <v>0</v>
      </c>
      <c r="S150" s="2">
        <f>R150 * G150</f>
        <v>0</v>
      </c>
      <c r="T150" s="2">
        <f>(H150 + J150) - (L150 + N150) - R150</f>
        <v>0</v>
      </c>
      <c r="U150" s="2">
        <f>T150 * G150</f>
        <v>0</v>
      </c>
      <c r="V150" s="2">
        <f>I150 + K150 - S150</f>
        <v>0</v>
      </c>
      <c r="W150" s="2">
        <f>M150 - V150</f>
        <v>0</v>
      </c>
      <c r="X150" s="2">
        <f>IFERROR(W150 / M150 * 100, 0)</f>
        <v>0</v>
      </c>
    </row>
    <row r="151" spans="1:24">
      <c r="A151" t="s">
        <v>2815</v>
      </c>
      <c r="B151" t="s">
        <v>512</v>
      </c>
      <c r="C151" t="s">
        <v>3308</v>
      </c>
      <c r="D151" t="s">
        <v>1008</v>
      </c>
      <c r="E151" t="s">
        <v>3652</v>
      </c>
      <c r="F151" t="s">
        <v>3803</v>
      </c>
      <c r="G151">
        <v>59</v>
      </c>
      <c r="H151">
        <v>0</v>
      </c>
      <c r="I151">
        <v>0</v>
      </c>
      <c r="J151">
        <v>38</v>
      </c>
      <c r="K151">
        <v>2242</v>
      </c>
      <c r="L151">
        <v>0</v>
      </c>
      <c r="M151">
        <v>0</v>
      </c>
      <c r="N151">
        <v>0</v>
      </c>
      <c r="O151">
        <v>0</v>
      </c>
      <c r="P151" s="2">
        <f>(H151 + J151) - (L151 + N151)</f>
        <v>0</v>
      </c>
      <c r="Q151" s="2">
        <f>P151 * G151</f>
        <v>0</v>
      </c>
      <c r="R151">
        <v>0</v>
      </c>
      <c r="S151" s="2">
        <f>R151 * G151</f>
        <v>0</v>
      </c>
      <c r="T151" s="2">
        <f>(H151 + J151) - (L151 + N151) - R151</f>
        <v>0</v>
      </c>
      <c r="U151" s="2">
        <f>T151 * G151</f>
        <v>0</v>
      </c>
      <c r="V151" s="2">
        <f>I151 + K151 - S151</f>
        <v>0</v>
      </c>
      <c r="W151" s="2">
        <f>M151 - V151</f>
        <v>0</v>
      </c>
      <c r="X151" s="2">
        <f>IFERROR(W151 / M151 * 100, 0)</f>
        <v>0</v>
      </c>
    </row>
    <row r="152" spans="1:24">
      <c r="A152" t="s">
        <v>2816</v>
      </c>
      <c r="B152" t="s">
        <v>512</v>
      </c>
      <c r="C152" t="s">
        <v>3309</v>
      </c>
      <c r="D152" t="s">
        <v>1007</v>
      </c>
      <c r="E152" t="s">
        <v>3652</v>
      </c>
      <c r="F152" t="s">
        <v>3804</v>
      </c>
      <c r="G152">
        <v>4.51</v>
      </c>
      <c r="H152">
        <v>0</v>
      </c>
      <c r="I152">
        <v>0</v>
      </c>
      <c r="J152">
        <v>308.03</v>
      </c>
      <c r="K152">
        <v>1410.05</v>
      </c>
      <c r="L152">
        <v>0</v>
      </c>
      <c r="M152">
        <v>0</v>
      </c>
      <c r="N152">
        <v>0</v>
      </c>
      <c r="O152">
        <v>0</v>
      </c>
      <c r="P152" s="2">
        <f>(H152 + J152) - (L152 + N152)</f>
        <v>0</v>
      </c>
      <c r="Q152" s="2">
        <f>P152 * G152</f>
        <v>0</v>
      </c>
      <c r="R152">
        <v>0</v>
      </c>
      <c r="S152" s="2">
        <f>R152 * G152</f>
        <v>0</v>
      </c>
      <c r="T152" s="2">
        <f>(H152 + J152) - (L152 + N152) - R152</f>
        <v>0</v>
      </c>
      <c r="U152" s="2">
        <f>T152 * G152</f>
        <v>0</v>
      </c>
      <c r="V152" s="2">
        <f>I152 + K152 - S152</f>
        <v>0</v>
      </c>
      <c r="W152" s="2">
        <f>M152 - V152</f>
        <v>0</v>
      </c>
      <c r="X152" s="2">
        <f>IFERROR(W152 / M152 * 100, 0)</f>
        <v>0</v>
      </c>
    </row>
    <row r="153" spans="1:24">
      <c r="A153" t="s">
        <v>2817</v>
      </c>
      <c r="B153" t="s">
        <v>512</v>
      </c>
      <c r="C153" t="s">
        <v>3310</v>
      </c>
      <c r="D153" t="s">
        <v>1007</v>
      </c>
      <c r="E153" t="s">
        <v>3652</v>
      </c>
      <c r="F153" t="s">
        <v>3805</v>
      </c>
      <c r="G153">
        <v>2.39</v>
      </c>
      <c r="H153">
        <v>0</v>
      </c>
      <c r="I153">
        <v>0</v>
      </c>
      <c r="J153">
        <v>1673.31</v>
      </c>
      <c r="K153">
        <v>4042.31</v>
      </c>
      <c r="L153">
        <v>0</v>
      </c>
      <c r="M153">
        <v>0</v>
      </c>
      <c r="N153">
        <v>0</v>
      </c>
      <c r="O153">
        <v>0</v>
      </c>
      <c r="P153" s="2">
        <f>(H153 + J153) - (L153 + N153)</f>
        <v>0</v>
      </c>
      <c r="Q153" s="2">
        <f>P153 * G153</f>
        <v>0</v>
      </c>
      <c r="R153">
        <v>0</v>
      </c>
      <c r="S153" s="2">
        <f>R153 * G153</f>
        <v>0</v>
      </c>
      <c r="T153" s="2">
        <f>(H153 + J153) - (L153 + N153) - R153</f>
        <v>0</v>
      </c>
      <c r="U153" s="2">
        <f>T153 * G153</f>
        <v>0</v>
      </c>
      <c r="V153" s="2">
        <f>I153 + K153 - S153</f>
        <v>0</v>
      </c>
      <c r="W153" s="2">
        <f>M153 - V153</f>
        <v>0</v>
      </c>
      <c r="X153" s="2">
        <f>IFERROR(W153 / M153 * 100, 0)</f>
        <v>0</v>
      </c>
    </row>
    <row r="154" spans="1:24">
      <c r="A154" t="s">
        <v>2818</v>
      </c>
      <c r="B154" t="s">
        <v>512</v>
      </c>
      <c r="C154" t="s">
        <v>3311</v>
      </c>
      <c r="D154" t="s">
        <v>1007</v>
      </c>
      <c r="E154" t="s">
        <v>3652</v>
      </c>
      <c r="F154" t="s">
        <v>3806</v>
      </c>
      <c r="G154">
        <v>90.16</v>
      </c>
      <c r="H154">
        <v>0</v>
      </c>
      <c r="I154">
        <v>0</v>
      </c>
      <c r="J154">
        <v>-0.01</v>
      </c>
      <c r="K154">
        <v>-0.84</v>
      </c>
      <c r="L154">
        <v>0</v>
      </c>
      <c r="M154">
        <v>0</v>
      </c>
      <c r="N154">
        <v>0</v>
      </c>
      <c r="O154">
        <v>0</v>
      </c>
      <c r="P154" s="2">
        <f>(H154 + J154) - (L154 + N154)</f>
        <v>0</v>
      </c>
      <c r="Q154" s="2">
        <f>P154 * G154</f>
        <v>0</v>
      </c>
      <c r="R154">
        <v>0</v>
      </c>
      <c r="S154" s="2">
        <f>R154 * G154</f>
        <v>0</v>
      </c>
      <c r="T154" s="2">
        <f>(H154 + J154) - (L154 + N154) - R154</f>
        <v>0</v>
      </c>
      <c r="U154" s="2">
        <f>T154 * G154</f>
        <v>0</v>
      </c>
      <c r="V154" s="2">
        <f>I154 + K154 - S154</f>
        <v>0</v>
      </c>
      <c r="W154" s="2">
        <f>M154 - V154</f>
        <v>0</v>
      </c>
      <c r="X154" s="2">
        <f>IFERROR(W154 / M154 * 100, 0)</f>
        <v>0</v>
      </c>
    </row>
    <row r="155" spans="1:24">
      <c r="A155" t="s">
        <v>2819</v>
      </c>
      <c r="B155" t="s">
        <v>512</v>
      </c>
      <c r="C155" t="s">
        <v>3312</v>
      </c>
      <c r="D155" t="s">
        <v>1007</v>
      </c>
      <c r="E155" t="s">
        <v>3652</v>
      </c>
      <c r="F155" t="s">
        <v>3807</v>
      </c>
      <c r="G155">
        <v>9</v>
      </c>
      <c r="H155">
        <v>0</v>
      </c>
      <c r="I155">
        <v>0</v>
      </c>
      <c r="J155">
        <v>-0.52</v>
      </c>
      <c r="K155">
        <v>-4.68</v>
      </c>
      <c r="L155">
        <v>0</v>
      </c>
      <c r="M155">
        <v>0</v>
      </c>
      <c r="N155">
        <v>0</v>
      </c>
      <c r="O155">
        <v>0</v>
      </c>
      <c r="P155" s="2">
        <f>(H155 + J155) - (L155 + N155)</f>
        <v>0</v>
      </c>
      <c r="Q155" s="2">
        <f>P155 * G155</f>
        <v>0</v>
      </c>
      <c r="R155">
        <v>0</v>
      </c>
      <c r="S155" s="2">
        <f>R155 * G155</f>
        <v>0</v>
      </c>
      <c r="T155" s="2">
        <f>(H155 + J155) - (L155 + N155) - R155</f>
        <v>0</v>
      </c>
      <c r="U155" s="2">
        <f>T155 * G155</f>
        <v>0</v>
      </c>
      <c r="V155" s="2">
        <f>I155 + K155 - S155</f>
        <v>0</v>
      </c>
      <c r="W155" s="2">
        <f>M155 - V155</f>
        <v>0</v>
      </c>
      <c r="X155" s="2">
        <f>IFERROR(W155 / M155 * 100, 0)</f>
        <v>0</v>
      </c>
    </row>
    <row r="156" spans="1:24">
      <c r="A156" t="s">
        <v>2820</v>
      </c>
      <c r="B156" t="s">
        <v>512</v>
      </c>
      <c r="C156" t="s">
        <v>3313</v>
      </c>
      <c r="D156" t="s">
        <v>1007</v>
      </c>
      <c r="E156" t="s">
        <v>3652</v>
      </c>
      <c r="F156" t="s">
        <v>3808</v>
      </c>
      <c r="G156">
        <v>14</v>
      </c>
      <c r="H156">
        <v>0</v>
      </c>
      <c r="I156">
        <v>0</v>
      </c>
      <c r="J156">
        <v>-1.25</v>
      </c>
      <c r="K156">
        <v>-17.55</v>
      </c>
      <c r="L156">
        <v>0</v>
      </c>
      <c r="M156">
        <v>0</v>
      </c>
      <c r="N156">
        <v>0</v>
      </c>
      <c r="O156">
        <v>0</v>
      </c>
      <c r="P156" s="2">
        <f>(H156 + J156) - (L156 + N156)</f>
        <v>0</v>
      </c>
      <c r="Q156" s="2">
        <f>P156 * G156</f>
        <v>0</v>
      </c>
      <c r="R156">
        <v>0</v>
      </c>
      <c r="S156" s="2">
        <f>R156 * G156</f>
        <v>0</v>
      </c>
      <c r="T156" s="2">
        <f>(H156 + J156) - (L156 + N156) - R156</f>
        <v>0</v>
      </c>
      <c r="U156" s="2">
        <f>T156 * G156</f>
        <v>0</v>
      </c>
      <c r="V156" s="2">
        <f>I156 + K156 - S156</f>
        <v>0</v>
      </c>
      <c r="W156" s="2">
        <f>M156 - V156</f>
        <v>0</v>
      </c>
      <c r="X156" s="2">
        <f>IFERROR(W156 / M156 * 100, 0)</f>
        <v>0</v>
      </c>
    </row>
    <row r="157" spans="1:24">
      <c r="A157" t="s">
        <v>2821</v>
      </c>
      <c r="B157" t="s">
        <v>512</v>
      </c>
      <c r="C157" t="s">
        <v>3314</v>
      </c>
      <c r="D157" t="s">
        <v>1007</v>
      </c>
      <c r="E157" t="s">
        <v>3652</v>
      </c>
      <c r="F157" t="s">
        <v>3809</v>
      </c>
      <c r="G157">
        <v>98.09999999999999</v>
      </c>
      <c r="H157">
        <v>0</v>
      </c>
      <c r="I157">
        <v>0</v>
      </c>
      <c r="J157">
        <v>-1.69</v>
      </c>
      <c r="K157">
        <v>-164.41</v>
      </c>
      <c r="L157">
        <v>0</v>
      </c>
      <c r="M157">
        <v>0</v>
      </c>
      <c r="N157">
        <v>0</v>
      </c>
      <c r="O157">
        <v>0</v>
      </c>
      <c r="P157" s="2">
        <f>(H157 + J157) - (L157 + N157)</f>
        <v>0</v>
      </c>
      <c r="Q157" s="2">
        <f>P157 * G157</f>
        <v>0</v>
      </c>
      <c r="R157">
        <v>0</v>
      </c>
      <c r="S157" s="2">
        <f>R157 * G157</f>
        <v>0</v>
      </c>
      <c r="T157" s="2">
        <f>(H157 + J157) - (L157 + N157) - R157</f>
        <v>0</v>
      </c>
      <c r="U157" s="2">
        <f>T157 * G157</f>
        <v>0</v>
      </c>
      <c r="V157" s="2">
        <f>I157 + K157 - S157</f>
        <v>0</v>
      </c>
      <c r="W157" s="2">
        <f>M157 - V157</f>
        <v>0</v>
      </c>
      <c r="X157" s="2">
        <f>IFERROR(W157 / M157 * 100, 0)</f>
        <v>0</v>
      </c>
    </row>
    <row r="158" spans="1:24">
      <c r="A158" t="s">
        <v>2822</v>
      </c>
      <c r="B158" t="s">
        <v>512</v>
      </c>
      <c r="C158" t="s">
        <v>3315</v>
      </c>
      <c r="D158" t="s">
        <v>1007</v>
      </c>
      <c r="E158" t="s">
        <v>3652</v>
      </c>
      <c r="F158" t="s">
        <v>3810</v>
      </c>
      <c r="G158">
        <v>0</v>
      </c>
      <c r="H158">
        <v>0</v>
      </c>
      <c r="I158">
        <v>0</v>
      </c>
      <c r="J158">
        <v>-59.17</v>
      </c>
      <c r="K158">
        <v>0</v>
      </c>
      <c r="L158">
        <v>0</v>
      </c>
      <c r="M158">
        <v>0</v>
      </c>
      <c r="N158">
        <v>0</v>
      </c>
      <c r="O158">
        <v>0</v>
      </c>
      <c r="P158" s="2">
        <f>(H158 + J158) - (L158 + N158)</f>
        <v>0</v>
      </c>
      <c r="Q158" s="2">
        <f>P158 * G158</f>
        <v>0</v>
      </c>
      <c r="R158">
        <v>0</v>
      </c>
      <c r="S158" s="2">
        <f>R158 * G158</f>
        <v>0</v>
      </c>
      <c r="T158" s="2">
        <f>(H158 + J158) - (L158 + N158) - R158</f>
        <v>0</v>
      </c>
      <c r="U158" s="2">
        <f>T158 * G158</f>
        <v>0</v>
      </c>
      <c r="V158" s="2">
        <f>I158 + K158 - S158</f>
        <v>0</v>
      </c>
      <c r="W158" s="2">
        <f>M158 - V158</f>
        <v>0</v>
      </c>
      <c r="X158" s="2">
        <f>IFERROR(W158 / M158 * 100, 0)</f>
        <v>0</v>
      </c>
    </row>
    <row r="159" spans="1:24">
      <c r="A159" t="s">
        <v>2823</v>
      </c>
      <c r="B159" t="s">
        <v>513</v>
      </c>
      <c r="C159" t="s">
        <v>3316</v>
      </c>
      <c r="D159" t="s">
        <v>1007</v>
      </c>
      <c r="E159" t="s">
        <v>3652</v>
      </c>
      <c r="F159" t="s">
        <v>3811</v>
      </c>
      <c r="G159">
        <v>2.51</v>
      </c>
      <c r="H159">
        <v>0</v>
      </c>
      <c r="I159">
        <v>0</v>
      </c>
      <c r="J159">
        <v>4.3</v>
      </c>
      <c r="K159">
        <v>10.78</v>
      </c>
      <c r="L159">
        <v>0.75</v>
      </c>
      <c r="M159">
        <v>14.9</v>
      </c>
      <c r="N159">
        <v>2.6</v>
      </c>
      <c r="O159">
        <v>6.52</v>
      </c>
      <c r="P159" s="2">
        <f>(H159 + J159) - (L159 + N159)</f>
        <v>0</v>
      </c>
      <c r="Q159" s="2">
        <f>P159 * G159</f>
        <v>0</v>
      </c>
      <c r="R159">
        <v>0</v>
      </c>
      <c r="S159" s="2">
        <f>R159 * G159</f>
        <v>0</v>
      </c>
      <c r="T159" s="2">
        <f>(H159 + J159) - (L159 + N159) - R159</f>
        <v>0</v>
      </c>
      <c r="U159" s="2">
        <f>T159 * G159</f>
        <v>0</v>
      </c>
      <c r="V159" s="2">
        <f>I159 + K159 - S159</f>
        <v>0</v>
      </c>
      <c r="W159" s="2">
        <f>M159 - V159</f>
        <v>0</v>
      </c>
      <c r="X159" s="2">
        <f>IFERROR(W159 / M159 * 100, 0)</f>
        <v>0</v>
      </c>
    </row>
    <row r="160" spans="1:24">
      <c r="A160" t="s">
        <v>2824</v>
      </c>
      <c r="B160" t="s">
        <v>513</v>
      </c>
      <c r="C160" t="s">
        <v>3317</v>
      </c>
      <c r="D160" t="s">
        <v>1008</v>
      </c>
      <c r="E160" t="s">
        <v>3652</v>
      </c>
      <c r="F160" t="s">
        <v>3812</v>
      </c>
      <c r="G160">
        <v>5.64</v>
      </c>
      <c r="H160">
        <v>0</v>
      </c>
      <c r="I160">
        <v>0</v>
      </c>
      <c r="J160">
        <v>205</v>
      </c>
      <c r="K160">
        <v>1163.23</v>
      </c>
      <c r="L160">
        <v>158</v>
      </c>
      <c r="M160">
        <v>1106</v>
      </c>
      <c r="N160">
        <v>7</v>
      </c>
      <c r="O160">
        <v>39.75</v>
      </c>
      <c r="P160" s="2">
        <f>(H160 + J160) - (L160 + N160)</f>
        <v>0</v>
      </c>
      <c r="Q160" s="2">
        <f>P160 * G160</f>
        <v>0</v>
      </c>
      <c r="R160">
        <v>0</v>
      </c>
      <c r="S160" s="2">
        <f>R160 * G160</f>
        <v>0</v>
      </c>
      <c r="T160" s="2">
        <f>(H160 + J160) - (L160 + N160) - R160</f>
        <v>0</v>
      </c>
      <c r="U160" s="2">
        <f>T160 * G160</f>
        <v>0</v>
      </c>
      <c r="V160" s="2">
        <f>I160 + K160 - S160</f>
        <v>0</v>
      </c>
      <c r="W160" s="2">
        <f>M160 - V160</f>
        <v>0</v>
      </c>
      <c r="X160" s="2">
        <f>IFERROR(W160 / M160 * 100, 0)</f>
        <v>0</v>
      </c>
    </row>
    <row r="161" spans="1:24">
      <c r="A161" t="s">
        <v>2825</v>
      </c>
      <c r="B161" t="s">
        <v>513</v>
      </c>
      <c r="C161" t="s">
        <v>3318</v>
      </c>
      <c r="D161" t="s">
        <v>1007</v>
      </c>
      <c r="E161" t="s">
        <v>3652</v>
      </c>
      <c r="F161" t="s">
        <v>3813</v>
      </c>
      <c r="G161">
        <v>7.68</v>
      </c>
      <c r="H161">
        <v>0</v>
      </c>
      <c r="I161">
        <v>0</v>
      </c>
      <c r="J161">
        <v>46.9</v>
      </c>
      <c r="K161">
        <v>364.86</v>
      </c>
      <c r="L161">
        <v>20.96</v>
      </c>
      <c r="M161">
        <v>586.74</v>
      </c>
      <c r="N161">
        <v>9.800000000000001</v>
      </c>
      <c r="O161">
        <v>76.54000000000001</v>
      </c>
      <c r="P161" s="2">
        <f>(H161 + J161) - (L161 + N161)</f>
        <v>0</v>
      </c>
      <c r="Q161" s="2">
        <f>P161 * G161</f>
        <v>0</v>
      </c>
      <c r="R161">
        <v>0</v>
      </c>
      <c r="S161" s="2">
        <f>R161 * G161</f>
        <v>0</v>
      </c>
      <c r="T161" s="2">
        <f>(H161 + J161) - (L161 + N161) - R161</f>
        <v>0</v>
      </c>
      <c r="U161" s="2">
        <f>T161 * G161</f>
        <v>0</v>
      </c>
      <c r="V161" s="2">
        <f>I161 + K161 - S161</f>
        <v>0</v>
      </c>
      <c r="W161" s="2">
        <f>M161 - V161</f>
        <v>0</v>
      </c>
      <c r="X161" s="2">
        <f>IFERROR(W161 / M161 * 100, 0)</f>
        <v>0</v>
      </c>
    </row>
    <row r="162" spans="1:24">
      <c r="A162" t="s">
        <v>2826</v>
      </c>
      <c r="B162" t="s">
        <v>513</v>
      </c>
      <c r="C162" t="s">
        <v>3319</v>
      </c>
      <c r="D162" t="s">
        <v>1007</v>
      </c>
      <c r="E162" t="s">
        <v>3652</v>
      </c>
      <c r="F162" t="s">
        <v>3814</v>
      </c>
      <c r="G162">
        <v>4.34</v>
      </c>
      <c r="H162">
        <v>6</v>
      </c>
      <c r="I162">
        <v>25.55</v>
      </c>
      <c r="J162">
        <v>19</v>
      </c>
      <c r="K162">
        <v>82.81</v>
      </c>
      <c r="L162">
        <v>0.8100000000000001</v>
      </c>
      <c r="M162">
        <v>19.32</v>
      </c>
      <c r="N162">
        <v>0</v>
      </c>
      <c r="O162">
        <v>0</v>
      </c>
      <c r="P162" s="2">
        <f>(H162 + J162) - (L162 + N162)</f>
        <v>0</v>
      </c>
      <c r="Q162" s="2">
        <f>P162 * G162</f>
        <v>0</v>
      </c>
      <c r="R162">
        <v>11</v>
      </c>
      <c r="S162" s="2">
        <f>R162 * G162</f>
        <v>0</v>
      </c>
      <c r="T162" s="2">
        <f>(H162 + J162) - (L162 + N162) - R162</f>
        <v>0</v>
      </c>
      <c r="U162" s="2">
        <f>T162 * G162</f>
        <v>0</v>
      </c>
      <c r="V162" s="2">
        <f>I162 + K162 - S162</f>
        <v>0</v>
      </c>
      <c r="W162" s="2">
        <f>M162 - V162</f>
        <v>0</v>
      </c>
      <c r="X162" s="2">
        <f>IFERROR(W162 / M162 * 100, 0)</f>
        <v>0</v>
      </c>
    </row>
    <row r="163" spans="1:24">
      <c r="A163" t="s">
        <v>2827</v>
      </c>
      <c r="B163" t="s">
        <v>512</v>
      </c>
      <c r="C163" t="s">
        <v>3320</v>
      </c>
      <c r="D163" t="s">
        <v>1007</v>
      </c>
      <c r="E163" t="s">
        <v>3652</v>
      </c>
      <c r="F163" t="s">
        <v>3815</v>
      </c>
      <c r="G163">
        <v>21</v>
      </c>
      <c r="H163">
        <v>0</v>
      </c>
      <c r="I163">
        <v>0</v>
      </c>
      <c r="J163">
        <v>5.95</v>
      </c>
      <c r="K163">
        <v>127.67</v>
      </c>
      <c r="L163">
        <v>0</v>
      </c>
      <c r="M163">
        <v>0</v>
      </c>
      <c r="N163">
        <v>0</v>
      </c>
      <c r="O163">
        <v>0</v>
      </c>
      <c r="P163" s="2">
        <f>(H163 + J163) - (L163 + N163)</f>
        <v>0</v>
      </c>
      <c r="Q163" s="2">
        <f>P163 * G163</f>
        <v>0</v>
      </c>
      <c r="R163">
        <v>0</v>
      </c>
      <c r="S163" s="2">
        <f>R163 * G163</f>
        <v>0</v>
      </c>
      <c r="T163" s="2">
        <f>(H163 + J163) - (L163 + N163) - R163</f>
        <v>0</v>
      </c>
      <c r="U163" s="2">
        <f>T163 * G163</f>
        <v>0</v>
      </c>
      <c r="V163" s="2">
        <f>I163 + K163 - S163</f>
        <v>0</v>
      </c>
      <c r="W163" s="2">
        <f>M163 - V163</f>
        <v>0</v>
      </c>
      <c r="X163" s="2">
        <f>IFERROR(W163 / M163 * 100, 0)</f>
        <v>0</v>
      </c>
    </row>
    <row r="164" spans="1:24">
      <c r="A164" t="s">
        <v>2828</v>
      </c>
      <c r="B164" t="s">
        <v>513</v>
      </c>
      <c r="C164" t="s">
        <v>3321</v>
      </c>
      <c r="D164" t="s">
        <v>1007</v>
      </c>
      <c r="E164" t="s">
        <v>3652</v>
      </c>
      <c r="F164" t="s">
        <v>3816</v>
      </c>
      <c r="G164">
        <v>15.14</v>
      </c>
      <c r="H164">
        <v>0</v>
      </c>
      <c r="I164">
        <v>0</v>
      </c>
      <c r="J164">
        <v>18.7</v>
      </c>
      <c r="K164">
        <v>280.76</v>
      </c>
      <c r="L164">
        <v>12.33</v>
      </c>
      <c r="M164">
        <v>419.22</v>
      </c>
      <c r="N164">
        <v>4.1</v>
      </c>
      <c r="O164">
        <v>60.97</v>
      </c>
      <c r="P164" s="2">
        <f>(H164 + J164) - (L164 + N164)</f>
        <v>0</v>
      </c>
      <c r="Q164" s="2">
        <f>P164 * G164</f>
        <v>0</v>
      </c>
      <c r="R164">
        <v>0</v>
      </c>
      <c r="S164" s="2">
        <f>R164 * G164</f>
        <v>0</v>
      </c>
      <c r="T164" s="2">
        <f>(H164 + J164) - (L164 + N164) - R164</f>
        <v>0</v>
      </c>
      <c r="U164" s="2">
        <f>T164 * G164</f>
        <v>0</v>
      </c>
      <c r="V164" s="2">
        <f>I164 + K164 - S164</f>
        <v>0</v>
      </c>
      <c r="W164" s="2">
        <f>M164 - V164</f>
        <v>0</v>
      </c>
      <c r="X164" s="2">
        <f>IFERROR(W164 / M164 * 100, 0)</f>
        <v>0</v>
      </c>
    </row>
    <row r="165" spans="1:24">
      <c r="A165" t="s">
        <v>2829</v>
      </c>
      <c r="B165" t="s">
        <v>513</v>
      </c>
      <c r="C165" t="s">
        <v>3322</v>
      </c>
      <c r="D165" t="s">
        <v>1007</v>
      </c>
      <c r="E165" t="s">
        <v>3652</v>
      </c>
      <c r="F165" t="s">
        <v>3817</v>
      </c>
      <c r="G165">
        <v>6.13</v>
      </c>
      <c r="H165">
        <v>4</v>
      </c>
      <c r="I165">
        <v>21.4</v>
      </c>
      <c r="J165">
        <v>22.08</v>
      </c>
      <c r="K165">
        <v>70.52</v>
      </c>
      <c r="L165">
        <v>18.01</v>
      </c>
      <c r="M165">
        <v>540.15</v>
      </c>
      <c r="N165">
        <v>0</v>
      </c>
      <c r="O165">
        <v>0</v>
      </c>
      <c r="P165" s="2">
        <f>(H165 + J165) - (L165 + N165)</f>
        <v>0</v>
      </c>
      <c r="Q165" s="2">
        <f>P165 * G165</f>
        <v>0</v>
      </c>
      <c r="R165">
        <v>7</v>
      </c>
      <c r="S165" s="2">
        <f>R165 * G165</f>
        <v>0</v>
      </c>
      <c r="T165" s="2">
        <f>(H165 + J165) - (L165 + N165) - R165</f>
        <v>0</v>
      </c>
      <c r="U165" s="2">
        <f>T165 * G165</f>
        <v>0</v>
      </c>
      <c r="V165" s="2">
        <f>I165 + K165 - S165</f>
        <v>0</v>
      </c>
      <c r="W165" s="2">
        <f>M165 - V165</f>
        <v>0</v>
      </c>
      <c r="X165" s="2">
        <f>IFERROR(W165 / M165 * 100, 0)</f>
        <v>0</v>
      </c>
    </row>
    <row r="166" spans="1:24">
      <c r="A166" t="s">
        <v>2830</v>
      </c>
      <c r="B166" t="s">
        <v>513</v>
      </c>
      <c r="C166" t="s">
        <v>3323</v>
      </c>
      <c r="D166" t="s">
        <v>1007</v>
      </c>
      <c r="E166" t="s">
        <v>3652</v>
      </c>
      <c r="F166" t="s">
        <v>3818</v>
      </c>
      <c r="G166">
        <v>6.71</v>
      </c>
      <c r="H166">
        <v>0</v>
      </c>
      <c r="I166">
        <v>0</v>
      </c>
      <c r="J166">
        <v>15.1</v>
      </c>
      <c r="K166">
        <v>102.05</v>
      </c>
      <c r="L166">
        <v>6.2</v>
      </c>
      <c r="M166">
        <v>186</v>
      </c>
      <c r="N166">
        <v>4.9</v>
      </c>
      <c r="O166">
        <v>33.2</v>
      </c>
      <c r="P166" s="2">
        <f>(H166 + J166) - (L166 + N166)</f>
        <v>0</v>
      </c>
      <c r="Q166" s="2">
        <f>P166 * G166</f>
        <v>0</v>
      </c>
      <c r="R166">
        <v>0</v>
      </c>
      <c r="S166" s="2">
        <f>R166 * G166</f>
        <v>0</v>
      </c>
      <c r="T166" s="2">
        <f>(H166 + J166) - (L166 + N166) - R166</f>
        <v>0</v>
      </c>
      <c r="U166" s="2">
        <f>T166 * G166</f>
        <v>0</v>
      </c>
      <c r="V166" s="2">
        <f>I166 + K166 - S166</f>
        <v>0</v>
      </c>
      <c r="W166" s="2">
        <f>M166 - V166</f>
        <v>0</v>
      </c>
      <c r="X166" s="2">
        <f>IFERROR(W166 / M166 * 100, 0)</f>
        <v>0</v>
      </c>
    </row>
    <row r="167" spans="1:24">
      <c r="A167" t="s">
        <v>2831</v>
      </c>
      <c r="B167" t="s">
        <v>513</v>
      </c>
      <c r="C167" t="s">
        <v>3324</v>
      </c>
      <c r="D167" t="s">
        <v>1008</v>
      </c>
      <c r="E167" t="s">
        <v>3652</v>
      </c>
      <c r="F167" t="s">
        <v>3819</v>
      </c>
      <c r="G167">
        <v>8.32</v>
      </c>
      <c r="H167">
        <v>0</v>
      </c>
      <c r="I167">
        <v>0</v>
      </c>
      <c r="J167">
        <v>3430</v>
      </c>
      <c r="K167">
        <v>27415.61</v>
      </c>
      <c r="L167">
        <v>2016</v>
      </c>
      <c r="M167">
        <v>22631</v>
      </c>
      <c r="N167">
        <v>6</v>
      </c>
      <c r="O167">
        <v>50.34</v>
      </c>
      <c r="P167" s="2">
        <f>(H167 + J167) - (L167 + N167)</f>
        <v>0</v>
      </c>
      <c r="Q167" s="2">
        <f>P167 * G167</f>
        <v>0</v>
      </c>
      <c r="R167">
        <v>0</v>
      </c>
      <c r="S167" s="2">
        <f>R167 * G167</f>
        <v>0</v>
      </c>
      <c r="T167" s="2">
        <f>(H167 + J167) - (L167 + N167) - R167</f>
        <v>0</v>
      </c>
      <c r="U167" s="2">
        <f>T167 * G167</f>
        <v>0</v>
      </c>
      <c r="V167" s="2">
        <f>I167 + K167 - S167</f>
        <v>0</v>
      </c>
      <c r="W167" s="2">
        <f>M167 - V167</f>
        <v>0</v>
      </c>
      <c r="X167" s="2">
        <f>IFERROR(W167 / M167 * 100, 0)</f>
        <v>0</v>
      </c>
    </row>
    <row r="168" spans="1:24">
      <c r="A168" t="s">
        <v>2832</v>
      </c>
      <c r="B168" t="s">
        <v>513</v>
      </c>
      <c r="C168" t="s">
        <v>3325</v>
      </c>
      <c r="D168" t="s">
        <v>1007</v>
      </c>
      <c r="E168" t="s">
        <v>3652</v>
      </c>
      <c r="F168" t="s">
        <v>3820</v>
      </c>
      <c r="G168">
        <v>7.01</v>
      </c>
      <c r="H168">
        <v>0</v>
      </c>
      <c r="I168">
        <v>0</v>
      </c>
      <c r="J168">
        <v>8.5</v>
      </c>
      <c r="K168">
        <v>59.4</v>
      </c>
      <c r="L168">
        <v>2.93</v>
      </c>
      <c r="M168">
        <v>82.04000000000001</v>
      </c>
      <c r="N168">
        <v>3.1</v>
      </c>
      <c r="O168">
        <v>21.63</v>
      </c>
      <c r="P168" s="2">
        <f>(H168 + J168) - (L168 + N168)</f>
        <v>0</v>
      </c>
      <c r="Q168" s="2">
        <f>P168 * G168</f>
        <v>0</v>
      </c>
      <c r="R168">
        <v>0</v>
      </c>
      <c r="S168" s="2">
        <f>R168 * G168</f>
        <v>0</v>
      </c>
      <c r="T168" s="2">
        <f>(H168 + J168) - (L168 + N168) - R168</f>
        <v>0</v>
      </c>
      <c r="U168" s="2">
        <f>T168 * G168</f>
        <v>0</v>
      </c>
      <c r="V168" s="2">
        <f>I168 + K168 - S168</f>
        <v>0</v>
      </c>
      <c r="W168" s="2">
        <f>M168 - V168</f>
        <v>0</v>
      </c>
      <c r="X168" s="2">
        <f>IFERROR(W168 / M168 * 100, 0)</f>
        <v>0</v>
      </c>
    </row>
    <row r="169" spans="1:24">
      <c r="A169" t="s">
        <v>2833</v>
      </c>
      <c r="B169" t="s">
        <v>513</v>
      </c>
      <c r="C169" t="s">
        <v>3326</v>
      </c>
      <c r="D169" t="s">
        <v>1007</v>
      </c>
      <c r="E169" t="s">
        <v>3652</v>
      </c>
      <c r="F169" t="s">
        <v>3821</v>
      </c>
      <c r="G169">
        <v>5.14</v>
      </c>
      <c r="H169">
        <v>4</v>
      </c>
      <c r="I169">
        <v>15.59</v>
      </c>
      <c r="J169">
        <v>95.84</v>
      </c>
      <c r="K169">
        <v>486.21</v>
      </c>
      <c r="L169">
        <v>55.03</v>
      </c>
      <c r="M169">
        <v>1376.26</v>
      </c>
      <c r="N169">
        <v>0</v>
      </c>
      <c r="O169">
        <v>0</v>
      </c>
      <c r="P169" s="2">
        <f>(H169 + J169) - (L169 + N169)</f>
        <v>0</v>
      </c>
      <c r="Q169" s="2">
        <f>P169 * G169</f>
        <v>0</v>
      </c>
      <c r="R169">
        <v>7</v>
      </c>
      <c r="S169" s="2">
        <f>R169 * G169</f>
        <v>0</v>
      </c>
      <c r="T169" s="2">
        <f>(H169 + J169) - (L169 + N169) - R169</f>
        <v>0</v>
      </c>
      <c r="U169" s="2">
        <f>T169 * G169</f>
        <v>0</v>
      </c>
      <c r="V169" s="2">
        <f>I169 + K169 - S169</f>
        <v>0</v>
      </c>
      <c r="W169" s="2">
        <f>M169 - V169</f>
        <v>0</v>
      </c>
      <c r="X169" s="2">
        <f>IFERROR(W169 / M169 * 100, 0)</f>
        <v>0</v>
      </c>
    </row>
    <row r="170" spans="1:24">
      <c r="A170" t="s">
        <v>2834</v>
      </c>
      <c r="B170" t="s">
        <v>513</v>
      </c>
      <c r="C170" t="s">
        <v>3327</v>
      </c>
      <c r="D170" t="s">
        <v>1008</v>
      </c>
      <c r="E170" t="s">
        <v>3652</v>
      </c>
      <c r="F170" t="s">
        <v>3822</v>
      </c>
      <c r="G170">
        <v>2.82</v>
      </c>
      <c r="H170">
        <v>0</v>
      </c>
      <c r="I170">
        <v>0</v>
      </c>
      <c r="J170">
        <v>1441</v>
      </c>
      <c r="K170">
        <v>3972.95</v>
      </c>
      <c r="L170">
        <v>1490</v>
      </c>
      <c r="M170">
        <v>8940</v>
      </c>
      <c r="N170">
        <v>0</v>
      </c>
      <c r="O170">
        <v>0</v>
      </c>
      <c r="P170" s="2">
        <f>(H170 + J170) - (L170 + N170)</f>
        <v>0</v>
      </c>
      <c r="Q170" s="2">
        <f>P170 * G170</f>
        <v>0</v>
      </c>
      <c r="R170">
        <v>0</v>
      </c>
      <c r="S170" s="2">
        <f>R170 * G170</f>
        <v>0</v>
      </c>
      <c r="T170" s="2">
        <f>(H170 + J170) - (L170 + N170) - R170</f>
        <v>0</v>
      </c>
      <c r="U170" s="2">
        <f>T170 * G170</f>
        <v>0</v>
      </c>
      <c r="V170" s="2">
        <f>I170 + K170 - S170</f>
        <v>0</v>
      </c>
      <c r="W170" s="2">
        <f>M170 - V170</f>
        <v>0</v>
      </c>
      <c r="X170" s="2">
        <f>IFERROR(W170 / M170 * 100, 0)</f>
        <v>0</v>
      </c>
    </row>
    <row r="171" spans="1:24">
      <c r="A171" t="s">
        <v>2835</v>
      </c>
      <c r="B171" t="s">
        <v>513</v>
      </c>
      <c r="C171" t="s">
        <v>3328</v>
      </c>
      <c r="D171" t="s">
        <v>1008</v>
      </c>
      <c r="E171" t="s">
        <v>3652</v>
      </c>
      <c r="F171" t="s">
        <v>3823</v>
      </c>
      <c r="G171">
        <v>0.38</v>
      </c>
      <c r="H171">
        <v>0</v>
      </c>
      <c r="I171">
        <v>0</v>
      </c>
      <c r="J171">
        <v>3945</v>
      </c>
      <c r="K171">
        <v>1488.8</v>
      </c>
      <c r="L171">
        <v>1352</v>
      </c>
      <c r="M171">
        <v>1352</v>
      </c>
      <c r="N171">
        <v>0</v>
      </c>
      <c r="O171">
        <v>0</v>
      </c>
      <c r="P171" s="2">
        <f>(H171 + J171) - (L171 + N171)</f>
        <v>0</v>
      </c>
      <c r="Q171" s="2">
        <f>P171 * G171</f>
        <v>0</v>
      </c>
      <c r="R171">
        <v>0</v>
      </c>
      <c r="S171" s="2">
        <f>R171 * G171</f>
        <v>0</v>
      </c>
      <c r="T171" s="2">
        <f>(H171 + J171) - (L171 + N171) - R171</f>
        <v>0</v>
      </c>
      <c r="U171" s="2">
        <f>T171 * G171</f>
        <v>0</v>
      </c>
      <c r="V171" s="2">
        <f>I171 + K171 - S171</f>
        <v>0</v>
      </c>
      <c r="W171" s="2">
        <f>M171 - V171</f>
        <v>0</v>
      </c>
      <c r="X171" s="2">
        <f>IFERROR(W171 / M171 * 100, 0)</f>
        <v>0</v>
      </c>
    </row>
    <row r="172" spans="1:24">
      <c r="A172" t="s">
        <v>2836</v>
      </c>
      <c r="B172" t="s">
        <v>513</v>
      </c>
      <c r="C172" t="s">
        <v>3329</v>
      </c>
      <c r="D172" t="s">
        <v>1007</v>
      </c>
      <c r="E172" t="s">
        <v>3652</v>
      </c>
      <c r="F172" t="s">
        <v>3824</v>
      </c>
      <c r="G172">
        <v>10.8</v>
      </c>
      <c r="H172">
        <v>0</v>
      </c>
      <c r="I172">
        <v>0</v>
      </c>
      <c r="J172">
        <v>104.1</v>
      </c>
      <c r="K172">
        <v>1140.41</v>
      </c>
      <c r="L172">
        <v>66.58</v>
      </c>
      <c r="M172">
        <v>2263.55</v>
      </c>
      <c r="N172">
        <v>24.1</v>
      </c>
      <c r="O172">
        <v>264.6</v>
      </c>
      <c r="P172" s="2">
        <f>(H172 + J172) - (L172 + N172)</f>
        <v>0</v>
      </c>
      <c r="Q172" s="2">
        <f>P172 * G172</f>
        <v>0</v>
      </c>
      <c r="R172">
        <v>0</v>
      </c>
      <c r="S172" s="2">
        <f>R172 * G172</f>
        <v>0</v>
      </c>
      <c r="T172" s="2">
        <f>(H172 + J172) - (L172 + N172) - R172</f>
        <v>0</v>
      </c>
      <c r="U172" s="2">
        <f>T172 * G172</f>
        <v>0</v>
      </c>
      <c r="V172" s="2">
        <f>I172 + K172 - S172</f>
        <v>0</v>
      </c>
      <c r="W172" s="2">
        <f>M172 - V172</f>
        <v>0</v>
      </c>
      <c r="X172" s="2">
        <f>IFERROR(W172 / M172 * 100, 0)</f>
        <v>0</v>
      </c>
    </row>
    <row r="173" spans="1:24">
      <c r="A173" t="s">
        <v>2837</v>
      </c>
      <c r="B173" t="s">
        <v>513</v>
      </c>
      <c r="C173" t="s">
        <v>3330</v>
      </c>
      <c r="D173" t="s">
        <v>1007</v>
      </c>
      <c r="E173" t="s">
        <v>3652</v>
      </c>
      <c r="F173" t="s">
        <v>3825</v>
      </c>
      <c r="G173">
        <v>5.7</v>
      </c>
      <c r="H173">
        <v>15</v>
      </c>
      <c r="I173">
        <v>74.63</v>
      </c>
      <c r="J173">
        <v>40</v>
      </c>
      <c r="K173">
        <v>225.32</v>
      </c>
      <c r="L173">
        <v>32.12</v>
      </c>
      <c r="M173">
        <v>803.25</v>
      </c>
      <c r="N173">
        <v>0</v>
      </c>
      <c r="O173">
        <v>0</v>
      </c>
      <c r="P173" s="2">
        <f>(H173 + J173) - (L173 + N173)</f>
        <v>0</v>
      </c>
      <c r="Q173" s="2">
        <f>P173 * G173</f>
        <v>0</v>
      </c>
      <c r="R173">
        <v>28</v>
      </c>
      <c r="S173" s="2">
        <f>R173 * G173</f>
        <v>0</v>
      </c>
      <c r="T173" s="2">
        <f>(H173 + J173) - (L173 + N173) - R173</f>
        <v>0</v>
      </c>
      <c r="U173" s="2">
        <f>T173 * G173</f>
        <v>0</v>
      </c>
      <c r="V173" s="2">
        <f>I173 + K173 - S173</f>
        <v>0</v>
      </c>
      <c r="W173" s="2">
        <f>M173 - V173</f>
        <v>0</v>
      </c>
      <c r="X173" s="2">
        <f>IFERROR(W173 / M173 * 100, 0)</f>
        <v>0</v>
      </c>
    </row>
    <row r="174" spans="1:24">
      <c r="A174" t="s">
        <v>2838</v>
      </c>
      <c r="B174" t="s">
        <v>513</v>
      </c>
      <c r="C174" t="s">
        <v>3331</v>
      </c>
      <c r="D174" t="s">
        <v>1008</v>
      </c>
      <c r="E174" t="s">
        <v>3652</v>
      </c>
      <c r="F174" t="s">
        <v>3826</v>
      </c>
      <c r="G174">
        <v>5.27</v>
      </c>
      <c r="H174">
        <v>0</v>
      </c>
      <c r="I174">
        <v>0</v>
      </c>
      <c r="J174">
        <v>16</v>
      </c>
      <c r="K174">
        <v>84.77</v>
      </c>
      <c r="L174">
        <v>138</v>
      </c>
      <c r="M174">
        <v>1380</v>
      </c>
      <c r="N174">
        <v>0</v>
      </c>
      <c r="O174">
        <v>0</v>
      </c>
      <c r="P174" s="2">
        <f>(H174 + J174) - (L174 + N174)</f>
        <v>0</v>
      </c>
      <c r="Q174" s="2">
        <f>P174 * G174</f>
        <v>0</v>
      </c>
      <c r="R174">
        <v>0</v>
      </c>
      <c r="S174" s="2">
        <f>R174 * G174</f>
        <v>0</v>
      </c>
      <c r="T174" s="2">
        <f>(H174 + J174) - (L174 + N174) - R174</f>
        <v>0</v>
      </c>
      <c r="U174" s="2">
        <f>T174 * G174</f>
        <v>0</v>
      </c>
      <c r="V174" s="2">
        <f>I174 + K174 - S174</f>
        <v>0</v>
      </c>
      <c r="W174" s="2">
        <f>M174 - V174</f>
        <v>0</v>
      </c>
      <c r="X174" s="2">
        <f>IFERROR(W174 / M174 * 100, 0)</f>
        <v>0</v>
      </c>
    </row>
    <row r="175" spans="1:24">
      <c r="A175" t="s">
        <v>2839</v>
      </c>
      <c r="B175" t="s">
        <v>513</v>
      </c>
      <c r="C175" t="s">
        <v>3332</v>
      </c>
      <c r="D175" t="s">
        <v>1007</v>
      </c>
      <c r="E175" t="s">
        <v>3652</v>
      </c>
      <c r="F175" t="s">
        <v>3827</v>
      </c>
      <c r="G175">
        <v>2.21</v>
      </c>
      <c r="H175">
        <v>13</v>
      </c>
      <c r="I175">
        <v>29.62</v>
      </c>
      <c r="J175">
        <v>21.98</v>
      </c>
      <c r="K175">
        <v>0.97</v>
      </c>
      <c r="L175">
        <v>23.54</v>
      </c>
      <c r="M175">
        <v>988.47</v>
      </c>
      <c r="N175">
        <v>0</v>
      </c>
      <c r="O175">
        <v>0</v>
      </c>
      <c r="P175" s="2">
        <f>(H175 + J175) - (L175 + N175)</f>
        <v>0</v>
      </c>
      <c r="Q175" s="2">
        <f>P175 * G175</f>
        <v>0</v>
      </c>
      <c r="R175">
        <v>3</v>
      </c>
      <c r="S175" s="2">
        <f>R175 * G175</f>
        <v>0</v>
      </c>
      <c r="T175" s="2">
        <f>(H175 + J175) - (L175 + N175) - R175</f>
        <v>0</v>
      </c>
      <c r="U175" s="2">
        <f>T175 * G175</f>
        <v>0</v>
      </c>
      <c r="V175" s="2">
        <f>I175 + K175 - S175</f>
        <v>0</v>
      </c>
      <c r="W175" s="2">
        <f>M175 - V175</f>
        <v>0</v>
      </c>
      <c r="X175" s="2">
        <f>IFERROR(W175 / M175 * 100, 0)</f>
        <v>0</v>
      </c>
    </row>
    <row r="176" spans="1:24">
      <c r="A176" t="s">
        <v>2840</v>
      </c>
      <c r="B176" t="s">
        <v>513</v>
      </c>
      <c r="C176" t="s">
        <v>3333</v>
      </c>
      <c r="D176" t="s">
        <v>1007</v>
      </c>
      <c r="E176" t="s">
        <v>3652</v>
      </c>
      <c r="F176" t="s">
        <v>3828</v>
      </c>
      <c r="G176">
        <v>17.76</v>
      </c>
      <c r="H176">
        <v>0</v>
      </c>
      <c r="I176">
        <v>0</v>
      </c>
      <c r="J176">
        <v>30.7</v>
      </c>
      <c r="K176">
        <v>545.4400000000001</v>
      </c>
      <c r="L176">
        <v>13.52</v>
      </c>
      <c r="M176">
        <v>486.54</v>
      </c>
      <c r="N176">
        <v>3.9</v>
      </c>
      <c r="O176">
        <v>69.31</v>
      </c>
      <c r="P176" s="2">
        <f>(H176 + J176) - (L176 + N176)</f>
        <v>0</v>
      </c>
      <c r="Q176" s="2">
        <f>P176 * G176</f>
        <v>0</v>
      </c>
      <c r="R176">
        <v>0</v>
      </c>
      <c r="S176" s="2">
        <f>R176 * G176</f>
        <v>0</v>
      </c>
      <c r="T176" s="2">
        <f>(H176 + J176) - (L176 + N176) - R176</f>
        <v>0</v>
      </c>
      <c r="U176" s="2">
        <f>T176 * G176</f>
        <v>0</v>
      </c>
      <c r="V176" s="2">
        <f>I176 + K176 - S176</f>
        <v>0</v>
      </c>
      <c r="W176" s="2">
        <f>M176 - V176</f>
        <v>0</v>
      </c>
      <c r="X176" s="2">
        <f>IFERROR(W176 / M176 * 100, 0)</f>
        <v>0</v>
      </c>
    </row>
    <row r="177" spans="1:24">
      <c r="A177" t="s">
        <v>2841</v>
      </c>
      <c r="B177" t="s">
        <v>513</v>
      </c>
      <c r="C177" t="s">
        <v>3334</v>
      </c>
      <c r="D177" t="s">
        <v>1007</v>
      </c>
      <c r="E177" t="s">
        <v>3652</v>
      </c>
      <c r="F177" t="s">
        <v>3829</v>
      </c>
      <c r="G177">
        <v>4.74</v>
      </c>
      <c r="H177">
        <v>9</v>
      </c>
      <c r="I177">
        <v>41.8</v>
      </c>
      <c r="J177">
        <v>8</v>
      </c>
      <c r="K177">
        <v>38.94</v>
      </c>
      <c r="L177">
        <v>10.99</v>
      </c>
      <c r="M177">
        <v>417.43</v>
      </c>
      <c r="N177">
        <v>0</v>
      </c>
      <c r="O177">
        <v>0</v>
      </c>
      <c r="P177" s="2">
        <f>(H177 + J177) - (L177 + N177)</f>
        <v>0</v>
      </c>
      <c r="Q177" s="2">
        <f>P177 * G177</f>
        <v>0</v>
      </c>
      <c r="R177">
        <v>12</v>
      </c>
      <c r="S177" s="2">
        <f>R177 * G177</f>
        <v>0</v>
      </c>
      <c r="T177" s="2">
        <f>(H177 + J177) - (L177 + N177) - R177</f>
        <v>0</v>
      </c>
      <c r="U177" s="2">
        <f>T177 * G177</f>
        <v>0</v>
      </c>
      <c r="V177" s="2">
        <f>I177 + K177 - S177</f>
        <v>0</v>
      </c>
      <c r="W177" s="2">
        <f>M177 - V177</f>
        <v>0</v>
      </c>
      <c r="X177" s="2">
        <f>IFERROR(W177 / M177 * 100, 0)</f>
        <v>0</v>
      </c>
    </row>
    <row r="178" spans="1:24">
      <c r="A178" t="s">
        <v>2842</v>
      </c>
      <c r="B178" t="s">
        <v>513</v>
      </c>
      <c r="C178" t="s">
        <v>3335</v>
      </c>
      <c r="D178" t="s">
        <v>1007</v>
      </c>
      <c r="E178" t="s">
        <v>3652</v>
      </c>
      <c r="F178" t="s">
        <v>3830</v>
      </c>
      <c r="G178">
        <v>7.54</v>
      </c>
      <c r="H178">
        <v>0</v>
      </c>
      <c r="I178">
        <v>0</v>
      </c>
      <c r="J178">
        <v>15.3</v>
      </c>
      <c r="K178">
        <v>115.39</v>
      </c>
      <c r="L178">
        <v>6.41</v>
      </c>
      <c r="M178">
        <v>192.15</v>
      </c>
      <c r="N178">
        <v>1</v>
      </c>
      <c r="O178">
        <v>7.62</v>
      </c>
      <c r="P178" s="2">
        <f>(H178 + J178) - (L178 + N178)</f>
        <v>0</v>
      </c>
      <c r="Q178" s="2">
        <f>P178 * G178</f>
        <v>0</v>
      </c>
      <c r="R178">
        <v>0</v>
      </c>
      <c r="S178" s="2">
        <f>R178 * G178</f>
        <v>0</v>
      </c>
      <c r="T178" s="2">
        <f>(H178 + J178) - (L178 + N178) - R178</f>
        <v>0</v>
      </c>
      <c r="U178" s="2">
        <f>T178 * G178</f>
        <v>0</v>
      </c>
      <c r="V178" s="2">
        <f>I178 + K178 - S178</f>
        <v>0</v>
      </c>
      <c r="W178" s="2">
        <f>M178 - V178</f>
        <v>0</v>
      </c>
      <c r="X178" s="2">
        <f>IFERROR(W178 / M178 * 100, 0)</f>
        <v>0</v>
      </c>
    </row>
    <row r="179" spans="1:24">
      <c r="A179" t="s">
        <v>2843</v>
      </c>
      <c r="B179" t="s">
        <v>513</v>
      </c>
      <c r="C179" t="s">
        <v>3336</v>
      </c>
      <c r="D179" t="s">
        <v>1007</v>
      </c>
      <c r="E179" t="s">
        <v>3652</v>
      </c>
      <c r="F179" t="s">
        <v>3831</v>
      </c>
      <c r="G179">
        <v>2.93</v>
      </c>
      <c r="H179">
        <v>15</v>
      </c>
      <c r="I179">
        <v>35.87</v>
      </c>
      <c r="J179">
        <v>5.18</v>
      </c>
      <c r="K179">
        <v>-57.26</v>
      </c>
      <c r="L179">
        <v>6.88</v>
      </c>
      <c r="M179">
        <v>240.9</v>
      </c>
      <c r="N179">
        <v>0</v>
      </c>
      <c r="O179">
        <v>0</v>
      </c>
      <c r="P179" s="2">
        <f>(H179 + J179) - (L179 + N179)</f>
        <v>0</v>
      </c>
      <c r="Q179" s="2">
        <f>P179 * G179</f>
        <v>0</v>
      </c>
      <c r="R179">
        <v>20</v>
      </c>
      <c r="S179" s="2">
        <f>R179 * G179</f>
        <v>0</v>
      </c>
      <c r="T179" s="2">
        <f>(H179 + J179) - (L179 + N179) - R179</f>
        <v>0</v>
      </c>
      <c r="U179" s="2">
        <f>T179 * G179</f>
        <v>0</v>
      </c>
      <c r="V179" s="2">
        <f>I179 + K179 - S179</f>
        <v>0</v>
      </c>
      <c r="W179" s="2">
        <f>M179 - V179</f>
        <v>0</v>
      </c>
      <c r="X179" s="2">
        <f>IFERROR(W179 / M179 * 100, 0)</f>
        <v>0</v>
      </c>
    </row>
    <row r="180" spans="1:24">
      <c r="A180" t="s">
        <v>2844</v>
      </c>
      <c r="B180" t="s">
        <v>513</v>
      </c>
      <c r="C180" t="s">
        <v>3337</v>
      </c>
      <c r="D180" t="s">
        <v>1007</v>
      </c>
      <c r="E180" t="s">
        <v>3652</v>
      </c>
      <c r="F180" t="s">
        <v>3832</v>
      </c>
      <c r="G180">
        <v>18.4</v>
      </c>
      <c r="H180">
        <v>6</v>
      </c>
      <c r="I180">
        <v>109.54</v>
      </c>
      <c r="J180">
        <v>22.22</v>
      </c>
      <c r="K180">
        <v>182.31</v>
      </c>
      <c r="L180">
        <v>20.86</v>
      </c>
      <c r="M180">
        <v>1251.6</v>
      </c>
      <c r="N180">
        <v>0</v>
      </c>
      <c r="O180">
        <v>0</v>
      </c>
      <c r="P180" s="2">
        <f>(H180 + J180) - (L180 + N180)</f>
        <v>0</v>
      </c>
      <c r="Q180" s="2">
        <f>P180 * G180</f>
        <v>0</v>
      </c>
      <c r="R180">
        <v>5</v>
      </c>
      <c r="S180" s="2">
        <f>R180 * G180</f>
        <v>0</v>
      </c>
      <c r="T180" s="2">
        <f>(H180 + J180) - (L180 + N180) - R180</f>
        <v>0</v>
      </c>
      <c r="U180" s="2">
        <f>T180 * G180</f>
        <v>0</v>
      </c>
      <c r="V180" s="2">
        <f>I180 + K180 - S180</f>
        <v>0</v>
      </c>
      <c r="W180" s="2">
        <f>M180 - V180</f>
        <v>0</v>
      </c>
      <c r="X180" s="2">
        <f>IFERROR(W180 / M180 * 100, 0)</f>
        <v>0</v>
      </c>
    </row>
    <row r="181" spans="1:24">
      <c r="A181" t="s">
        <v>2845</v>
      </c>
      <c r="B181" t="s">
        <v>513</v>
      </c>
      <c r="C181" t="s">
        <v>3338</v>
      </c>
      <c r="D181" t="s">
        <v>1007</v>
      </c>
      <c r="E181" t="s">
        <v>3652</v>
      </c>
      <c r="F181" t="s">
        <v>3833</v>
      </c>
      <c r="G181">
        <v>10</v>
      </c>
      <c r="H181">
        <v>6</v>
      </c>
      <c r="I181">
        <v>63.19</v>
      </c>
      <c r="J181">
        <v>18.12</v>
      </c>
      <c r="K181">
        <v>91.48999999999999</v>
      </c>
      <c r="L181">
        <v>9.98</v>
      </c>
      <c r="M181">
        <v>349.21</v>
      </c>
      <c r="N181">
        <v>0</v>
      </c>
      <c r="O181">
        <v>0</v>
      </c>
      <c r="P181" s="2">
        <f>(H181 + J181) - (L181 + N181)</f>
        <v>0</v>
      </c>
      <c r="Q181" s="2">
        <f>P181 * G181</f>
        <v>0</v>
      </c>
      <c r="R181">
        <v>6</v>
      </c>
      <c r="S181" s="2">
        <f>R181 * G181</f>
        <v>0</v>
      </c>
      <c r="T181" s="2">
        <f>(H181 + J181) - (L181 + N181) - R181</f>
        <v>0</v>
      </c>
      <c r="U181" s="2">
        <f>T181 * G181</f>
        <v>0</v>
      </c>
      <c r="V181" s="2">
        <f>I181 + K181 - S181</f>
        <v>0</v>
      </c>
      <c r="W181" s="2">
        <f>M181 - V181</f>
        <v>0</v>
      </c>
      <c r="X181" s="2">
        <f>IFERROR(W181 / M181 * 100, 0)</f>
        <v>0</v>
      </c>
    </row>
    <row r="182" spans="1:24">
      <c r="A182" t="s">
        <v>2846</v>
      </c>
      <c r="B182" t="s">
        <v>513</v>
      </c>
      <c r="C182" t="s">
        <v>3339</v>
      </c>
      <c r="D182" t="s">
        <v>1007</v>
      </c>
      <c r="E182" t="s">
        <v>3652</v>
      </c>
      <c r="F182" t="s">
        <v>3834</v>
      </c>
      <c r="G182">
        <v>2.28</v>
      </c>
      <c r="H182">
        <v>3</v>
      </c>
      <c r="I182">
        <v>6.68</v>
      </c>
      <c r="J182">
        <v>6.58</v>
      </c>
      <c r="K182">
        <v>15.5</v>
      </c>
      <c r="L182">
        <v>1.95</v>
      </c>
      <c r="M182">
        <v>78</v>
      </c>
      <c r="N182">
        <v>0</v>
      </c>
      <c r="O182">
        <v>0</v>
      </c>
      <c r="P182" s="2">
        <f>(H182 + J182) - (L182 + N182)</f>
        <v>0</v>
      </c>
      <c r="Q182" s="2">
        <f>P182 * G182</f>
        <v>0</v>
      </c>
      <c r="R182">
        <v>3</v>
      </c>
      <c r="S182" s="2">
        <f>R182 * G182</f>
        <v>0</v>
      </c>
      <c r="T182" s="2">
        <f>(H182 + J182) - (L182 + N182) - R182</f>
        <v>0</v>
      </c>
      <c r="U182" s="2">
        <f>T182 * G182</f>
        <v>0</v>
      </c>
      <c r="V182" s="2">
        <f>I182 + K182 - S182</f>
        <v>0</v>
      </c>
      <c r="W182" s="2">
        <f>M182 - V182</f>
        <v>0</v>
      </c>
      <c r="X182" s="2">
        <f>IFERROR(W182 / M182 * 100, 0)</f>
        <v>0</v>
      </c>
    </row>
    <row r="183" spans="1:24">
      <c r="A183" t="s">
        <v>2847</v>
      </c>
      <c r="B183" t="s">
        <v>513</v>
      </c>
      <c r="C183" t="s">
        <v>3340</v>
      </c>
      <c r="D183" t="s">
        <v>1008</v>
      </c>
      <c r="E183" t="s">
        <v>3652</v>
      </c>
      <c r="F183" t="s">
        <v>3835</v>
      </c>
      <c r="G183">
        <v>3.44</v>
      </c>
      <c r="H183">
        <v>0</v>
      </c>
      <c r="I183">
        <v>0</v>
      </c>
      <c r="J183">
        <v>220</v>
      </c>
      <c r="K183">
        <v>736.79</v>
      </c>
      <c r="L183">
        <v>228</v>
      </c>
      <c r="M183">
        <v>2052</v>
      </c>
      <c r="N183">
        <v>0</v>
      </c>
      <c r="O183">
        <v>0</v>
      </c>
      <c r="P183" s="2">
        <f>(H183 + J183) - (L183 + N183)</f>
        <v>0</v>
      </c>
      <c r="Q183" s="2">
        <f>P183 * G183</f>
        <v>0</v>
      </c>
      <c r="R183">
        <v>0</v>
      </c>
      <c r="S183" s="2">
        <f>R183 * G183</f>
        <v>0</v>
      </c>
      <c r="T183" s="2">
        <f>(H183 + J183) - (L183 + N183) - R183</f>
        <v>0</v>
      </c>
      <c r="U183" s="2">
        <f>T183 * G183</f>
        <v>0</v>
      </c>
      <c r="V183" s="2">
        <f>I183 + K183 - S183</f>
        <v>0</v>
      </c>
      <c r="W183" s="2">
        <f>M183 - V183</f>
        <v>0</v>
      </c>
      <c r="X183" s="2">
        <f>IFERROR(W183 / M183 * 100, 0)</f>
        <v>0</v>
      </c>
    </row>
    <row r="184" spans="1:24">
      <c r="A184" t="s">
        <v>2848</v>
      </c>
      <c r="B184" t="s">
        <v>513</v>
      </c>
      <c r="C184" t="s">
        <v>3341</v>
      </c>
      <c r="D184" t="s">
        <v>1008</v>
      </c>
      <c r="E184" t="s">
        <v>3652</v>
      </c>
      <c r="F184" t="s">
        <v>3836</v>
      </c>
      <c r="G184">
        <v>3.44</v>
      </c>
      <c r="H184">
        <v>0</v>
      </c>
      <c r="I184">
        <v>0</v>
      </c>
      <c r="J184">
        <v>39</v>
      </c>
      <c r="K184">
        <v>130.81</v>
      </c>
      <c r="L184">
        <v>40</v>
      </c>
      <c r="M184">
        <v>520</v>
      </c>
      <c r="N184">
        <v>0</v>
      </c>
      <c r="O184">
        <v>0</v>
      </c>
      <c r="P184" s="2">
        <f>(H184 + J184) - (L184 + N184)</f>
        <v>0</v>
      </c>
      <c r="Q184" s="2">
        <f>P184 * G184</f>
        <v>0</v>
      </c>
      <c r="R184">
        <v>0</v>
      </c>
      <c r="S184" s="2">
        <f>R184 * G184</f>
        <v>0</v>
      </c>
      <c r="T184" s="2">
        <f>(H184 + J184) - (L184 + N184) - R184</f>
        <v>0</v>
      </c>
      <c r="U184" s="2">
        <f>T184 * G184</f>
        <v>0</v>
      </c>
      <c r="V184" s="2">
        <f>I184 + K184 - S184</f>
        <v>0</v>
      </c>
      <c r="W184" s="2">
        <f>M184 - V184</f>
        <v>0</v>
      </c>
      <c r="X184" s="2">
        <f>IFERROR(W184 / M184 * 100, 0)</f>
        <v>0</v>
      </c>
    </row>
    <row r="185" spans="1:24">
      <c r="A185" t="s">
        <v>2849</v>
      </c>
      <c r="B185" t="s">
        <v>513</v>
      </c>
      <c r="C185" t="s">
        <v>3342</v>
      </c>
      <c r="D185" t="s">
        <v>1007</v>
      </c>
      <c r="E185" t="s">
        <v>3652</v>
      </c>
      <c r="F185" t="s">
        <v>3837</v>
      </c>
      <c r="G185">
        <v>5.97</v>
      </c>
      <c r="H185">
        <v>7</v>
      </c>
      <c r="I185">
        <v>41.8</v>
      </c>
      <c r="J185">
        <v>-2</v>
      </c>
      <c r="K185">
        <v>-64</v>
      </c>
      <c r="L185">
        <v>0.35</v>
      </c>
      <c r="M185">
        <v>14</v>
      </c>
      <c r="N185">
        <v>0</v>
      </c>
      <c r="O185">
        <v>0</v>
      </c>
      <c r="P185" s="2">
        <f>(H185 + J185) - (L185 + N185)</f>
        <v>0</v>
      </c>
      <c r="Q185" s="2">
        <f>P185 * G185</f>
        <v>0</v>
      </c>
      <c r="R185">
        <v>6</v>
      </c>
      <c r="S185" s="2">
        <f>R185 * G185</f>
        <v>0</v>
      </c>
      <c r="T185" s="2">
        <f>(H185 + J185) - (L185 + N185) - R185</f>
        <v>0</v>
      </c>
      <c r="U185" s="2">
        <f>T185 * G185</f>
        <v>0</v>
      </c>
      <c r="V185" s="2">
        <f>I185 + K185 - S185</f>
        <v>0</v>
      </c>
      <c r="W185" s="2">
        <f>M185 - V185</f>
        <v>0</v>
      </c>
      <c r="X185" s="2">
        <f>IFERROR(W185 / M185 * 100, 0)</f>
        <v>0</v>
      </c>
    </row>
    <row r="186" spans="1:24">
      <c r="A186" t="s">
        <v>2850</v>
      </c>
      <c r="B186" t="s">
        <v>513</v>
      </c>
      <c r="C186" t="s">
        <v>3343</v>
      </c>
      <c r="D186" t="s">
        <v>1007</v>
      </c>
      <c r="E186" t="s">
        <v>3652</v>
      </c>
      <c r="F186" t="s">
        <v>3838</v>
      </c>
      <c r="G186">
        <v>16.88</v>
      </c>
      <c r="H186">
        <v>10</v>
      </c>
      <c r="I186">
        <v>155.53</v>
      </c>
      <c r="J186">
        <v>15.5</v>
      </c>
      <c r="K186">
        <v>265.11</v>
      </c>
      <c r="L186">
        <v>13.86</v>
      </c>
      <c r="M186">
        <v>582.12</v>
      </c>
      <c r="N186">
        <v>0</v>
      </c>
      <c r="O186">
        <v>0</v>
      </c>
      <c r="P186" s="2">
        <f>(H186 + J186) - (L186 + N186)</f>
        <v>0</v>
      </c>
      <c r="Q186" s="2">
        <f>P186 * G186</f>
        <v>0</v>
      </c>
      <c r="R186">
        <v>15</v>
      </c>
      <c r="S186" s="2">
        <f>R186 * G186</f>
        <v>0</v>
      </c>
      <c r="T186" s="2">
        <f>(H186 + J186) - (L186 + N186) - R186</f>
        <v>0</v>
      </c>
      <c r="U186" s="2">
        <f>T186 * G186</f>
        <v>0</v>
      </c>
      <c r="V186" s="2">
        <f>I186 + K186 - S186</f>
        <v>0</v>
      </c>
      <c r="W186" s="2">
        <f>M186 - V186</f>
        <v>0</v>
      </c>
      <c r="X186" s="2">
        <f>IFERROR(W186 / M186 * 100, 0)</f>
        <v>0</v>
      </c>
    </row>
    <row r="187" spans="1:24">
      <c r="A187" t="s">
        <v>2851</v>
      </c>
      <c r="B187" t="s">
        <v>513</v>
      </c>
      <c r="C187" t="s">
        <v>3344</v>
      </c>
      <c r="D187" t="s">
        <v>1008</v>
      </c>
      <c r="E187" t="s">
        <v>3652</v>
      </c>
      <c r="F187" t="s">
        <v>3839</v>
      </c>
      <c r="G187">
        <v>0.58</v>
      </c>
      <c r="H187">
        <v>0</v>
      </c>
      <c r="I187">
        <v>0</v>
      </c>
      <c r="J187">
        <v>1792</v>
      </c>
      <c r="K187">
        <v>1008.42</v>
      </c>
      <c r="L187">
        <v>1741</v>
      </c>
      <c r="M187">
        <v>1741</v>
      </c>
      <c r="N187">
        <v>12</v>
      </c>
      <c r="O187">
        <v>6.99</v>
      </c>
      <c r="P187" s="2">
        <f>(H187 + J187) - (L187 + N187)</f>
        <v>0</v>
      </c>
      <c r="Q187" s="2">
        <f>P187 * G187</f>
        <v>0</v>
      </c>
      <c r="R187">
        <v>0</v>
      </c>
      <c r="S187" s="2">
        <f>R187 * G187</f>
        <v>0</v>
      </c>
      <c r="T187" s="2">
        <f>(H187 + J187) - (L187 + N187) - R187</f>
        <v>0</v>
      </c>
      <c r="U187" s="2">
        <f>T187 * G187</f>
        <v>0</v>
      </c>
      <c r="V187" s="2">
        <f>I187 + K187 - S187</f>
        <v>0</v>
      </c>
      <c r="W187" s="2">
        <f>M187 - V187</f>
        <v>0</v>
      </c>
      <c r="X187" s="2">
        <f>IFERROR(W187 / M187 * 100, 0)</f>
        <v>0</v>
      </c>
    </row>
    <row r="188" spans="1:24">
      <c r="A188" t="s">
        <v>2852</v>
      </c>
      <c r="B188" t="s">
        <v>513</v>
      </c>
      <c r="C188" t="s">
        <v>3345</v>
      </c>
      <c r="D188" t="s">
        <v>1007</v>
      </c>
      <c r="E188" t="s">
        <v>3652</v>
      </c>
      <c r="F188" t="s">
        <v>3840</v>
      </c>
      <c r="G188">
        <v>15.71</v>
      </c>
      <c r="H188">
        <v>6</v>
      </c>
      <c r="I188">
        <v>68.92</v>
      </c>
      <c r="J188">
        <v>5.49</v>
      </c>
      <c r="K188">
        <v>-21.85</v>
      </c>
      <c r="L188">
        <v>4.45</v>
      </c>
      <c r="M188">
        <v>177.8</v>
      </c>
      <c r="N188">
        <v>0</v>
      </c>
      <c r="O188">
        <v>0</v>
      </c>
      <c r="P188" s="2">
        <f>(H188 + J188) - (L188 + N188)</f>
        <v>0</v>
      </c>
      <c r="Q188" s="2">
        <f>P188 * G188</f>
        <v>0</v>
      </c>
      <c r="R188">
        <v>3</v>
      </c>
      <c r="S188" s="2">
        <f>R188 * G188</f>
        <v>0</v>
      </c>
      <c r="T188" s="2">
        <f>(H188 + J188) - (L188 + N188) - R188</f>
        <v>0</v>
      </c>
      <c r="U188" s="2">
        <f>T188 * G188</f>
        <v>0</v>
      </c>
      <c r="V188" s="2">
        <f>I188 + K188 - S188</f>
        <v>0</v>
      </c>
      <c r="W188" s="2">
        <f>M188 - V188</f>
        <v>0</v>
      </c>
      <c r="X188" s="2">
        <f>IFERROR(W188 / M188 * 100, 0)</f>
        <v>0</v>
      </c>
    </row>
    <row r="189" spans="1:24">
      <c r="A189" t="s">
        <v>2853</v>
      </c>
      <c r="B189" t="s">
        <v>513</v>
      </c>
      <c r="C189" t="s">
        <v>3346</v>
      </c>
      <c r="D189" t="s">
        <v>1007</v>
      </c>
      <c r="E189" t="s">
        <v>3652</v>
      </c>
      <c r="F189" t="s">
        <v>3841</v>
      </c>
      <c r="G189">
        <v>11.26</v>
      </c>
      <c r="H189">
        <v>0</v>
      </c>
      <c r="I189">
        <v>0</v>
      </c>
      <c r="J189">
        <v>180.9</v>
      </c>
      <c r="K189">
        <v>2052.36</v>
      </c>
      <c r="L189">
        <v>98.92</v>
      </c>
      <c r="M189">
        <v>4452.92</v>
      </c>
      <c r="N189">
        <v>0.53</v>
      </c>
      <c r="O189">
        <v>6.02</v>
      </c>
      <c r="P189" s="2">
        <f>(H189 + J189) - (L189 + N189)</f>
        <v>0</v>
      </c>
      <c r="Q189" s="2">
        <f>P189 * G189</f>
        <v>0</v>
      </c>
      <c r="R189">
        <v>0</v>
      </c>
      <c r="S189" s="2">
        <f>R189 * G189</f>
        <v>0</v>
      </c>
      <c r="T189" s="2">
        <f>(H189 + J189) - (L189 + N189) - R189</f>
        <v>0</v>
      </c>
      <c r="U189" s="2">
        <f>T189 * G189</f>
        <v>0</v>
      </c>
      <c r="V189" s="2">
        <f>I189 + K189 - S189</f>
        <v>0</v>
      </c>
      <c r="W189" s="2">
        <f>M189 - V189</f>
        <v>0</v>
      </c>
      <c r="X189" s="2">
        <f>IFERROR(W189 / M189 * 100, 0)</f>
        <v>0</v>
      </c>
    </row>
    <row r="190" spans="1:24">
      <c r="A190" t="s">
        <v>2854</v>
      </c>
      <c r="B190" t="s">
        <v>513</v>
      </c>
      <c r="C190" t="s">
        <v>3347</v>
      </c>
      <c r="D190" t="s">
        <v>1007</v>
      </c>
      <c r="E190" t="s">
        <v>3652</v>
      </c>
      <c r="F190" t="s">
        <v>3842</v>
      </c>
      <c r="G190">
        <v>7.95</v>
      </c>
      <c r="H190">
        <v>0</v>
      </c>
      <c r="I190">
        <v>0</v>
      </c>
      <c r="J190">
        <v>41.1</v>
      </c>
      <c r="K190">
        <v>326.92</v>
      </c>
      <c r="L190">
        <v>19.55</v>
      </c>
      <c r="M190">
        <v>586.5</v>
      </c>
      <c r="N190">
        <v>10.1</v>
      </c>
      <c r="O190">
        <v>80.17</v>
      </c>
      <c r="P190" s="2">
        <f>(H190 + J190) - (L190 + N190)</f>
        <v>0</v>
      </c>
      <c r="Q190" s="2">
        <f>P190 * G190</f>
        <v>0</v>
      </c>
      <c r="R190">
        <v>0</v>
      </c>
      <c r="S190" s="2">
        <f>R190 * G190</f>
        <v>0</v>
      </c>
      <c r="T190" s="2">
        <f>(H190 + J190) - (L190 + N190) - R190</f>
        <v>0</v>
      </c>
      <c r="U190" s="2">
        <f>T190 * G190</f>
        <v>0</v>
      </c>
      <c r="V190" s="2">
        <f>I190 + K190 - S190</f>
        <v>0</v>
      </c>
      <c r="W190" s="2">
        <f>M190 - V190</f>
        <v>0</v>
      </c>
      <c r="X190" s="2">
        <f>IFERROR(W190 / M190 * 100, 0)</f>
        <v>0</v>
      </c>
    </row>
    <row r="191" spans="1:24">
      <c r="A191" t="s">
        <v>2855</v>
      </c>
      <c r="B191" t="s">
        <v>513</v>
      </c>
      <c r="C191" t="s">
        <v>3348</v>
      </c>
      <c r="D191" t="s">
        <v>1007</v>
      </c>
      <c r="E191" t="s">
        <v>3652</v>
      </c>
      <c r="F191" t="s">
        <v>3843</v>
      </c>
      <c r="G191">
        <v>5.7</v>
      </c>
      <c r="H191">
        <v>19</v>
      </c>
      <c r="I191">
        <v>88.01000000000001</v>
      </c>
      <c r="J191">
        <v>32.37</v>
      </c>
      <c r="K191">
        <v>192.66</v>
      </c>
      <c r="L191">
        <v>28.56</v>
      </c>
      <c r="M191">
        <v>856.65</v>
      </c>
      <c r="N191">
        <v>0</v>
      </c>
      <c r="O191">
        <v>0</v>
      </c>
      <c r="P191" s="2">
        <f>(H191 + J191) - (L191 + N191)</f>
        <v>0</v>
      </c>
      <c r="Q191" s="2">
        <f>P191 * G191</f>
        <v>0</v>
      </c>
      <c r="R191">
        <v>11</v>
      </c>
      <c r="S191" s="2">
        <f>R191 * G191</f>
        <v>0</v>
      </c>
      <c r="T191" s="2">
        <f>(H191 + J191) - (L191 + N191) - R191</f>
        <v>0</v>
      </c>
      <c r="U191" s="2">
        <f>T191 * G191</f>
        <v>0</v>
      </c>
      <c r="V191" s="2">
        <f>I191 + K191 - S191</f>
        <v>0</v>
      </c>
      <c r="W191" s="2">
        <f>M191 - V191</f>
        <v>0</v>
      </c>
      <c r="X191" s="2">
        <f>IFERROR(W191 / M191 * 100, 0)</f>
        <v>0</v>
      </c>
    </row>
    <row r="192" spans="1:24">
      <c r="A192" t="s">
        <v>2856</v>
      </c>
      <c r="B192" t="s">
        <v>513</v>
      </c>
      <c r="C192" t="s">
        <v>3349</v>
      </c>
      <c r="D192" t="s">
        <v>1007</v>
      </c>
      <c r="E192" t="s">
        <v>3652</v>
      </c>
      <c r="F192" t="s">
        <v>3844</v>
      </c>
      <c r="G192">
        <v>3.36</v>
      </c>
      <c r="H192">
        <v>0</v>
      </c>
      <c r="I192">
        <v>0</v>
      </c>
      <c r="J192">
        <v>338.9</v>
      </c>
      <c r="K192">
        <v>1112.41</v>
      </c>
      <c r="L192">
        <v>370.09</v>
      </c>
      <c r="M192">
        <v>8141.98</v>
      </c>
      <c r="N192">
        <v>0</v>
      </c>
      <c r="O192">
        <v>0</v>
      </c>
      <c r="P192" s="2">
        <f>(H192 + J192) - (L192 + N192)</f>
        <v>0</v>
      </c>
      <c r="Q192" s="2">
        <f>P192 * G192</f>
        <v>0</v>
      </c>
      <c r="R192">
        <v>0</v>
      </c>
      <c r="S192" s="2">
        <f>R192 * G192</f>
        <v>0</v>
      </c>
      <c r="T192" s="2">
        <f>(H192 + J192) - (L192 + N192) - R192</f>
        <v>0</v>
      </c>
      <c r="U192" s="2">
        <f>T192 * G192</f>
        <v>0</v>
      </c>
      <c r="V192" s="2">
        <f>I192 + K192 - S192</f>
        <v>0</v>
      </c>
      <c r="W192" s="2">
        <f>M192 - V192</f>
        <v>0</v>
      </c>
      <c r="X192" s="2">
        <f>IFERROR(W192 / M192 * 100, 0)</f>
        <v>0</v>
      </c>
    </row>
    <row r="193" spans="1:24">
      <c r="A193" t="s">
        <v>2857</v>
      </c>
      <c r="B193" t="s">
        <v>513</v>
      </c>
      <c r="C193" t="s">
        <v>3350</v>
      </c>
      <c r="D193" t="s">
        <v>1007</v>
      </c>
      <c r="E193" t="s">
        <v>3652</v>
      </c>
      <c r="F193" t="s">
        <v>3845</v>
      </c>
      <c r="G193">
        <v>13.83</v>
      </c>
      <c r="H193">
        <v>0</v>
      </c>
      <c r="I193">
        <v>0</v>
      </c>
      <c r="J193">
        <v>46.1</v>
      </c>
      <c r="K193">
        <v>646.9299999999999</v>
      </c>
      <c r="L193">
        <v>37.78</v>
      </c>
      <c r="M193">
        <v>1511.2</v>
      </c>
      <c r="N193">
        <v>2.1</v>
      </c>
      <c r="O193">
        <v>29.35</v>
      </c>
      <c r="P193" s="2">
        <f>(H193 + J193) - (L193 + N193)</f>
        <v>0</v>
      </c>
      <c r="Q193" s="2">
        <f>P193 * G193</f>
        <v>0</v>
      </c>
      <c r="R193">
        <v>0</v>
      </c>
      <c r="S193" s="2">
        <f>R193 * G193</f>
        <v>0</v>
      </c>
      <c r="T193" s="2">
        <f>(H193 + J193) - (L193 + N193) - R193</f>
        <v>0</v>
      </c>
      <c r="U193" s="2">
        <f>T193 * G193</f>
        <v>0</v>
      </c>
      <c r="V193" s="2">
        <f>I193 + K193 - S193</f>
        <v>0</v>
      </c>
      <c r="W193" s="2">
        <f>M193 - V193</f>
        <v>0</v>
      </c>
      <c r="X193" s="2">
        <f>IFERROR(W193 / M193 * 100, 0)</f>
        <v>0</v>
      </c>
    </row>
    <row r="194" spans="1:24">
      <c r="A194" t="s">
        <v>2858</v>
      </c>
      <c r="B194" t="s">
        <v>513</v>
      </c>
      <c r="C194" t="s">
        <v>3351</v>
      </c>
      <c r="D194" t="s">
        <v>1008</v>
      </c>
      <c r="E194" t="s">
        <v>3652</v>
      </c>
      <c r="F194" t="s">
        <v>3846</v>
      </c>
      <c r="G194">
        <v>0.98</v>
      </c>
      <c r="H194">
        <v>0</v>
      </c>
      <c r="I194">
        <v>0</v>
      </c>
      <c r="J194">
        <v>523</v>
      </c>
      <c r="K194">
        <v>502.37</v>
      </c>
      <c r="L194">
        <v>488</v>
      </c>
      <c r="M194">
        <v>488</v>
      </c>
      <c r="N194">
        <v>29</v>
      </c>
      <c r="O194">
        <v>27.68</v>
      </c>
      <c r="P194" s="2">
        <f>(H194 + J194) - (L194 + N194)</f>
        <v>0</v>
      </c>
      <c r="Q194" s="2">
        <f>P194 * G194</f>
        <v>0</v>
      </c>
      <c r="R194">
        <v>0</v>
      </c>
      <c r="S194" s="2">
        <f>R194 * G194</f>
        <v>0</v>
      </c>
      <c r="T194" s="2">
        <f>(H194 + J194) - (L194 + N194) - R194</f>
        <v>0</v>
      </c>
      <c r="U194" s="2">
        <f>T194 * G194</f>
        <v>0</v>
      </c>
      <c r="V194" s="2">
        <f>I194 + K194 - S194</f>
        <v>0</v>
      </c>
      <c r="W194" s="2">
        <f>M194 - V194</f>
        <v>0</v>
      </c>
      <c r="X194" s="2">
        <f>IFERROR(W194 / M194 * 100, 0)</f>
        <v>0</v>
      </c>
    </row>
    <row r="195" spans="1:24">
      <c r="A195" t="s">
        <v>2859</v>
      </c>
      <c r="B195" t="s">
        <v>513</v>
      </c>
      <c r="C195" t="s">
        <v>3352</v>
      </c>
      <c r="D195" t="s">
        <v>1007</v>
      </c>
      <c r="E195" t="s">
        <v>3652</v>
      </c>
      <c r="F195" t="s">
        <v>3847</v>
      </c>
      <c r="G195">
        <v>3.95</v>
      </c>
      <c r="H195">
        <v>0</v>
      </c>
      <c r="I195">
        <v>0</v>
      </c>
      <c r="J195">
        <v>131.1</v>
      </c>
      <c r="K195">
        <v>532.78</v>
      </c>
      <c r="L195">
        <v>91.67</v>
      </c>
      <c r="M195">
        <v>1283.38</v>
      </c>
      <c r="N195">
        <v>6.1</v>
      </c>
      <c r="O195">
        <v>23.71</v>
      </c>
      <c r="P195" s="2">
        <f>(H195 + J195) - (L195 + N195)</f>
        <v>0</v>
      </c>
      <c r="Q195" s="2">
        <f>P195 * G195</f>
        <v>0</v>
      </c>
      <c r="R195">
        <v>0</v>
      </c>
      <c r="S195" s="2">
        <f>R195 * G195</f>
        <v>0</v>
      </c>
      <c r="T195" s="2">
        <f>(H195 + J195) - (L195 + N195) - R195</f>
        <v>0</v>
      </c>
      <c r="U195" s="2">
        <f>T195 * G195</f>
        <v>0</v>
      </c>
      <c r="V195" s="2">
        <f>I195 + K195 - S195</f>
        <v>0</v>
      </c>
      <c r="W195" s="2">
        <f>M195 - V195</f>
        <v>0</v>
      </c>
      <c r="X195" s="2">
        <f>IFERROR(W195 / M195 * 100, 0)</f>
        <v>0</v>
      </c>
    </row>
    <row r="196" spans="1:24">
      <c r="A196" t="s">
        <v>2860</v>
      </c>
      <c r="B196" t="s">
        <v>513</v>
      </c>
      <c r="C196" t="s">
        <v>3353</v>
      </c>
      <c r="D196" t="s">
        <v>1007</v>
      </c>
      <c r="E196" t="s">
        <v>3652</v>
      </c>
      <c r="F196" t="s">
        <v>3848</v>
      </c>
      <c r="G196">
        <v>6.01</v>
      </c>
      <c r="H196">
        <v>0</v>
      </c>
      <c r="I196">
        <v>0</v>
      </c>
      <c r="J196">
        <v>5.6</v>
      </c>
      <c r="K196">
        <v>33.68</v>
      </c>
      <c r="L196">
        <v>2.46</v>
      </c>
      <c r="M196">
        <v>83.64</v>
      </c>
      <c r="N196">
        <v>1.7</v>
      </c>
      <c r="O196">
        <v>10.19</v>
      </c>
      <c r="P196" s="2">
        <f>(H196 + J196) - (L196 + N196)</f>
        <v>0</v>
      </c>
      <c r="Q196" s="2">
        <f>P196 * G196</f>
        <v>0</v>
      </c>
      <c r="R196">
        <v>0</v>
      </c>
      <c r="S196" s="2">
        <f>R196 * G196</f>
        <v>0</v>
      </c>
      <c r="T196" s="2">
        <f>(H196 + J196) - (L196 + N196) - R196</f>
        <v>0</v>
      </c>
      <c r="U196" s="2">
        <f>T196 * G196</f>
        <v>0</v>
      </c>
      <c r="V196" s="2">
        <f>I196 + K196 - S196</f>
        <v>0</v>
      </c>
      <c r="W196" s="2">
        <f>M196 - V196</f>
        <v>0</v>
      </c>
      <c r="X196" s="2">
        <f>IFERROR(W196 / M196 * 100, 0)</f>
        <v>0</v>
      </c>
    </row>
    <row r="197" spans="1:24">
      <c r="A197" t="s">
        <v>2861</v>
      </c>
      <c r="B197" t="s">
        <v>513</v>
      </c>
      <c r="C197" t="s">
        <v>3354</v>
      </c>
      <c r="D197" t="s">
        <v>1007</v>
      </c>
      <c r="E197" t="s">
        <v>3652</v>
      </c>
      <c r="F197" t="s">
        <v>3849</v>
      </c>
      <c r="G197">
        <v>19.38</v>
      </c>
      <c r="H197">
        <v>3</v>
      </c>
      <c r="I197">
        <v>52.49</v>
      </c>
      <c r="J197">
        <v>3.15</v>
      </c>
      <c r="K197">
        <v>23.4</v>
      </c>
      <c r="L197">
        <v>5.79</v>
      </c>
      <c r="M197">
        <v>231.6</v>
      </c>
      <c r="N197">
        <v>0</v>
      </c>
      <c r="O197">
        <v>0</v>
      </c>
      <c r="P197" s="2">
        <f>(H197 + J197) - (L197 + N197)</f>
        <v>0</v>
      </c>
      <c r="Q197" s="2">
        <f>P197 * G197</f>
        <v>0</v>
      </c>
      <c r="R197">
        <v>6</v>
      </c>
      <c r="S197" s="2">
        <f>R197 * G197</f>
        <v>0</v>
      </c>
      <c r="T197" s="2">
        <f>(H197 + J197) - (L197 + N197) - R197</f>
        <v>0</v>
      </c>
      <c r="U197" s="2">
        <f>T197 * G197</f>
        <v>0</v>
      </c>
      <c r="V197" s="2">
        <f>I197 + K197 - S197</f>
        <v>0</v>
      </c>
      <c r="W197" s="2">
        <f>M197 - V197</f>
        <v>0</v>
      </c>
      <c r="X197" s="2">
        <f>IFERROR(W197 / M197 * 100, 0)</f>
        <v>0</v>
      </c>
    </row>
    <row r="198" spans="1:24">
      <c r="A198" t="s">
        <v>2862</v>
      </c>
      <c r="B198" t="s">
        <v>512</v>
      </c>
      <c r="C198" t="s">
        <v>3355</v>
      </c>
      <c r="D198" t="s">
        <v>1007</v>
      </c>
      <c r="E198" t="s">
        <v>3652</v>
      </c>
      <c r="F198" t="s">
        <v>3850</v>
      </c>
      <c r="G198">
        <v>0</v>
      </c>
      <c r="H198">
        <v>0</v>
      </c>
      <c r="I198">
        <v>0</v>
      </c>
      <c r="J198">
        <v>-0.07000000000000001</v>
      </c>
      <c r="K198">
        <v>0</v>
      </c>
      <c r="L198">
        <v>0</v>
      </c>
      <c r="M198">
        <v>0</v>
      </c>
      <c r="N198">
        <v>0</v>
      </c>
      <c r="O198">
        <v>0</v>
      </c>
      <c r="P198" s="2">
        <f>(H198 + J198) - (L198 + N198)</f>
        <v>0</v>
      </c>
      <c r="Q198" s="2">
        <f>P198 * G198</f>
        <v>0</v>
      </c>
      <c r="R198">
        <v>0</v>
      </c>
      <c r="S198" s="2">
        <f>R198 * G198</f>
        <v>0</v>
      </c>
      <c r="T198" s="2">
        <f>(H198 + J198) - (L198 + N198) - R198</f>
        <v>0</v>
      </c>
      <c r="U198" s="2">
        <f>T198 * G198</f>
        <v>0</v>
      </c>
      <c r="V198" s="2">
        <f>I198 + K198 - S198</f>
        <v>0</v>
      </c>
      <c r="W198" s="2">
        <f>M198 - V198</f>
        <v>0</v>
      </c>
      <c r="X198" s="2">
        <f>IFERROR(W198 / M198 * 100, 0)</f>
        <v>0</v>
      </c>
    </row>
    <row r="199" spans="1:24">
      <c r="A199" t="s">
        <v>2863</v>
      </c>
      <c r="B199" t="s">
        <v>513</v>
      </c>
      <c r="C199" t="s">
        <v>3356</v>
      </c>
      <c r="D199" t="s">
        <v>1008</v>
      </c>
      <c r="E199" t="s">
        <v>3652</v>
      </c>
      <c r="F199" t="s">
        <v>3851</v>
      </c>
      <c r="G199">
        <v>0.5600000000000001</v>
      </c>
      <c r="H199">
        <v>0</v>
      </c>
      <c r="I199">
        <v>0</v>
      </c>
      <c r="J199">
        <v>102</v>
      </c>
      <c r="K199">
        <v>57.61</v>
      </c>
      <c r="L199">
        <v>70</v>
      </c>
      <c r="M199">
        <v>87.5</v>
      </c>
      <c r="N199">
        <v>0</v>
      </c>
      <c r="O199">
        <v>0</v>
      </c>
      <c r="P199" s="2">
        <f>(H199 + J199) - (L199 + N199)</f>
        <v>0</v>
      </c>
      <c r="Q199" s="2">
        <f>P199 * G199</f>
        <v>0</v>
      </c>
      <c r="R199">
        <v>0</v>
      </c>
      <c r="S199" s="2">
        <f>R199 * G199</f>
        <v>0</v>
      </c>
      <c r="T199" s="2">
        <f>(H199 + J199) - (L199 + N199) - R199</f>
        <v>0</v>
      </c>
      <c r="U199" s="2">
        <f>T199 * G199</f>
        <v>0</v>
      </c>
      <c r="V199" s="2">
        <f>I199 + K199 - S199</f>
        <v>0</v>
      </c>
      <c r="W199" s="2">
        <f>M199 - V199</f>
        <v>0</v>
      </c>
      <c r="X199" s="2">
        <f>IFERROR(W199 / M199 * 100, 0)</f>
        <v>0</v>
      </c>
    </row>
    <row r="200" spans="1:24">
      <c r="A200" t="s">
        <v>2864</v>
      </c>
      <c r="B200" t="s">
        <v>512</v>
      </c>
      <c r="C200" t="s">
        <v>3357</v>
      </c>
      <c r="D200" t="s">
        <v>1007</v>
      </c>
      <c r="E200" t="s">
        <v>3652</v>
      </c>
      <c r="F200" t="s">
        <v>3852</v>
      </c>
      <c r="G200">
        <v>8</v>
      </c>
      <c r="H200">
        <v>0</v>
      </c>
      <c r="I200">
        <v>0</v>
      </c>
      <c r="J200">
        <v>6</v>
      </c>
      <c r="K200">
        <v>48</v>
      </c>
      <c r="L200">
        <v>0</v>
      </c>
      <c r="M200">
        <v>0</v>
      </c>
      <c r="N200">
        <v>0</v>
      </c>
      <c r="O200">
        <v>0</v>
      </c>
      <c r="P200" s="2">
        <f>(H200 + J200) - (L200 + N200)</f>
        <v>0</v>
      </c>
      <c r="Q200" s="2">
        <f>P200 * G200</f>
        <v>0</v>
      </c>
      <c r="R200">
        <v>0</v>
      </c>
      <c r="S200" s="2">
        <f>R200 * G200</f>
        <v>0</v>
      </c>
      <c r="T200" s="2">
        <f>(H200 + J200) - (L200 + N200) - R200</f>
        <v>0</v>
      </c>
      <c r="U200" s="2">
        <f>T200 * G200</f>
        <v>0</v>
      </c>
      <c r="V200" s="2">
        <f>I200 + K200 - S200</f>
        <v>0</v>
      </c>
      <c r="W200" s="2">
        <f>M200 - V200</f>
        <v>0</v>
      </c>
      <c r="X200" s="2">
        <f>IFERROR(W200 / M200 * 100, 0)</f>
        <v>0</v>
      </c>
    </row>
    <row r="201" spans="1:24">
      <c r="A201" t="s">
        <v>2865</v>
      </c>
      <c r="B201" t="s">
        <v>512</v>
      </c>
      <c r="C201" t="s">
        <v>3358</v>
      </c>
      <c r="D201" t="s">
        <v>1008</v>
      </c>
      <c r="E201" t="s">
        <v>3652</v>
      </c>
      <c r="F201" t="s">
        <v>3853</v>
      </c>
      <c r="G201">
        <v>157.41</v>
      </c>
      <c r="H201">
        <v>1</v>
      </c>
      <c r="I201">
        <v>157.41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s="2">
        <f>(H201 + J201) - (L201 + N201)</f>
        <v>0</v>
      </c>
      <c r="Q201" s="2">
        <f>P201 * G201</f>
        <v>0</v>
      </c>
      <c r="R201">
        <v>1</v>
      </c>
      <c r="S201" s="2">
        <f>R201 * G201</f>
        <v>0</v>
      </c>
      <c r="T201" s="2">
        <f>(H201 + J201) - (L201 + N201) - R201</f>
        <v>0</v>
      </c>
      <c r="U201" s="2">
        <f>T201 * G201</f>
        <v>0</v>
      </c>
      <c r="V201" s="2">
        <f>I201 + K201 - S201</f>
        <v>0</v>
      </c>
      <c r="W201" s="2">
        <f>M201 - V201</f>
        <v>0</v>
      </c>
      <c r="X201" s="2">
        <f>IFERROR(W201 / M201 * 100, 0)</f>
        <v>0</v>
      </c>
    </row>
    <row r="202" spans="1:24">
      <c r="A202" t="s">
        <v>2866</v>
      </c>
      <c r="B202" t="s">
        <v>512</v>
      </c>
      <c r="C202" t="s">
        <v>3359</v>
      </c>
      <c r="D202" t="s">
        <v>1008</v>
      </c>
      <c r="E202" t="s">
        <v>3652</v>
      </c>
      <c r="F202" t="s">
        <v>3854</v>
      </c>
      <c r="G202">
        <v>50</v>
      </c>
      <c r="H202">
        <v>0</v>
      </c>
      <c r="I202">
        <v>0</v>
      </c>
      <c r="J202">
        <v>3</v>
      </c>
      <c r="K202">
        <v>150</v>
      </c>
      <c r="L202">
        <v>0</v>
      </c>
      <c r="M202">
        <v>0</v>
      </c>
      <c r="N202">
        <v>0</v>
      </c>
      <c r="O202">
        <v>0</v>
      </c>
      <c r="P202" s="2">
        <f>(H202 + J202) - (L202 + N202)</f>
        <v>0</v>
      </c>
      <c r="Q202" s="2">
        <f>P202 * G202</f>
        <v>0</v>
      </c>
      <c r="R202">
        <v>0</v>
      </c>
      <c r="S202" s="2">
        <f>R202 * G202</f>
        <v>0</v>
      </c>
      <c r="T202" s="2">
        <f>(H202 + J202) - (L202 + N202) - R202</f>
        <v>0</v>
      </c>
      <c r="U202" s="2">
        <f>T202 * G202</f>
        <v>0</v>
      </c>
      <c r="V202" s="2">
        <f>I202 + K202 - S202</f>
        <v>0</v>
      </c>
      <c r="W202" s="2">
        <f>M202 - V202</f>
        <v>0</v>
      </c>
      <c r="X202" s="2">
        <f>IFERROR(W202 / M202 * 100, 0)</f>
        <v>0</v>
      </c>
    </row>
    <row r="203" spans="1:24">
      <c r="A203" t="s">
        <v>2867</v>
      </c>
      <c r="B203" t="s">
        <v>512</v>
      </c>
      <c r="C203" t="s">
        <v>3360</v>
      </c>
      <c r="D203" t="s">
        <v>1008</v>
      </c>
      <c r="E203" t="s">
        <v>3652</v>
      </c>
      <c r="F203" t="s">
        <v>3855</v>
      </c>
      <c r="G203">
        <v>155.56</v>
      </c>
      <c r="H203">
        <v>0</v>
      </c>
      <c r="I203">
        <v>0</v>
      </c>
      <c r="J203">
        <v>9</v>
      </c>
      <c r="K203">
        <v>1400</v>
      </c>
      <c r="L203">
        <v>0</v>
      </c>
      <c r="M203">
        <v>0</v>
      </c>
      <c r="N203">
        <v>0</v>
      </c>
      <c r="O203">
        <v>0</v>
      </c>
      <c r="P203" s="2">
        <f>(H203 + J203) - (L203 + N203)</f>
        <v>0</v>
      </c>
      <c r="Q203" s="2">
        <f>P203 * G203</f>
        <v>0</v>
      </c>
      <c r="R203">
        <v>1</v>
      </c>
      <c r="S203" s="2">
        <f>R203 * G203</f>
        <v>0</v>
      </c>
      <c r="T203" s="2">
        <f>(H203 + J203) - (L203 + N203) - R203</f>
        <v>0</v>
      </c>
      <c r="U203" s="2">
        <f>T203 * G203</f>
        <v>0</v>
      </c>
      <c r="V203" s="2">
        <f>I203 + K203 - S203</f>
        <v>0</v>
      </c>
      <c r="W203" s="2">
        <f>M203 - V203</f>
        <v>0</v>
      </c>
      <c r="X203" s="2">
        <f>IFERROR(W203 / M203 * 100, 0)</f>
        <v>0</v>
      </c>
    </row>
    <row r="204" spans="1:24">
      <c r="A204" t="s">
        <v>2868</v>
      </c>
      <c r="B204" t="s">
        <v>513</v>
      </c>
      <c r="C204" t="s">
        <v>3361</v>
      </c>
      <c r="D204" t="s">
        <v>1007</v>
      </c>
      <c r="E204" t="s">
        <v>3652</v>
      </c>
      <c r="F204" t="s">
        <v>3856</v>
      </c>
      <c r="G204">
        <v>5.92</v>
      </c>
      <c r="H204">
        <v>0</v>
      </c>
      <c r="I204">
        <v>0</v>
      </c>
      <c r="J204">
        <v>233</v>
      </c>
      <c r="K204">
        <v>1385.93</v>
      </c>
      <c r="L204">
        <v>157.75</v>
      </c>
      <c r="M204">
        <v>2523.92</v>
      </c>
      <c r="N204">
        <v>60.8</v>
      </c>
      <c r="O204">
        <v>362.28</v>
      </c>
      <c r="P204" s="2">
        <f>(H204 + J204) - (L204 + N204)</f>
        <v>0</v>
      </c>
      <c r="Q204" s="2">
        <f>P204 * G204</f>
        <v>0</v>
      </c>
      <c r="R204">
        <v>0</v>
      </c>
      <c r="S204" s="2">
        <f>R204 * G204</f>
        <v>0</v>
      </c>
      <c r="T204" s="2">
        <f>(H204 + J204) - (L204 + N204) - R204</f>
        <v>0</v>
      </c>
      <c r="U204" s="2">
        <f>T204 * G204</f>
        <v>0</v>
      </c>
      <c r="V204" s="2">
        <f>I204 + K204 - S204</f>
        <v>0</v>
      </c>
      <c r="W204" s="2">
        <f>M204 - V204</f>
        <v>0</v>
      </c>
      <c r="X204" s="2">
        <f>IFERROR(W204 / M204 * 100, 0)</f>
        <v>0</v>
      </c>
    </row>
    <row r="205" spans="1:24">
      <c r="A205" t="s">
        <v>2869</v>
      </c>
      <c r="B205" t="s">
        <v>512</v>
      </c>
      <c r="C205" t="s">
        <v>3362</v>
      </c>
      <c r="D205" t="s">
        <v>1008</v>
      </c>
      <c r="E205" t="s">
        <v>3652</v>
      </c>
      <c r="F205" t="s">
        <v>3857</v>
      </c>
      <c r="G205">
        <v>44</v>
      </c>
      <c r="H205">
        <v>28</v>
      </c>
      <c r="I205">
        <v>1232</v>
      </c>
      <c r="J205">
        <v>3</v>
      </c>
      <c r="K205">
        <v>132</v>
      </c>
      <c r="L205">
        <v>0</v>
      </c>
      <c r="M205">
        <v>0</v>
      </c>
      <c r="N205">
        <v>0</v>
      </c>
      <c r="O205">
        <v>0</v>
      </c>
      <c r="P205" s="2">
        <f>(H205 + J205) - (L205 + N205)</f>
        <v>0</v>
      </c>
      <c r="Q205" s="2">
        <f>P205 * G205</f>
        <v>0</v>
      </c>
      <c r="R205">
        <v>16</v>
      </c>
      <c r="S205" s="2">
        <f>R205 * G205</f>
        <v>0</v>
      </c>
      <c r="T205" s="2">
        <f>(H205 + J205) - (L205 + N205) - R205</f>
        <v>0</v>
      </c>
      <c r="U205" s="2">
        <f>T205 * G205</f>
        <v>0</v>
      </c>
      <c r="V205" s="2">
        <f>I205 + K205 - S205</f>
        <v>0</v>
      </c>
      <c r="W205" s="2">
        <f>M205 - V205</f>
        <v>0</v>
      </c>
      <c r="X205" s="2">
        <f>IFERROR(W205 / M205 * 100, 0)</f>
        <v>0</v>
      </c>
    </row>
    <row r="206" spans="1:24">
      <c r="A206" t="s">
        <v>2870</v>
      </c>
      <c r="B206" t="s">
        <v>512</v>
      </c>
      <c r="C206" t="s">
        <v>3363</v>
      </c>
      <c r="D206" t="s">
        <v>1008</v>
      </c>
      <c r="E206" t="s">
        <v>3652</v>
      </c>
      <c r="F206" t="s">
        <v>3858</v>
      </c>
      <c r="G206">
        <v>44</v>
      </c>
      <c r="H206">
        <v>0</v>
      </c>
      <c r="I206">
        <v>0</v>
      </c>
      <c r="J206">
        <v>12</v>
      </c>
      <c r="K206">
        <v>528</v>
      </c>
      <c r="L206">
        <v>0</v>
      </c>
      <c r="M206">
        <v>0</v>
      </c>
      <c r="N206">
        <v>0</v>
      </c>
      <c r="O206">
        <v>0</v>
      </c>
      <c r="P206" s="2">
        <f>(H206 + J206) - (L206 + N206)</f>
        <v>0</v>
      </c>
      <c r="Q206" s="2">
        <f>P206 * G206</f>
        <v>0</v>
      </c>
      <c r="R206">
        <v>0</v>
      </c>
      <c r="S206" s="2">
        <f>R206 * G206</f>
        <v>0</v>
      </c>
      <c r="T206" s="2">
        <f>(H206 + J206) - (L206 + N206) - R206</f>
        <v>0</v>
      </c>
      <c r="U206" s="2">
        <f>T206 * G206</f>
        <v>0</v>
      </c>
      <c r="V206" s="2">
        <f>I206 + K206 - S206</f>
        <v>0</v>
      </c>
      <c r="W206" s="2">
        <f>M206 - V206</f>
        <v>0</v>
      </c>
      <c r="X206" s="2">
        <f>IFERROR(W206 / M206 * 100, 0)</f>
        <v>0</v>
      </c>
    </row>
    <row r="207" spans="1:24">
      <c r="A207" t="s">
        <v>2871</v>
      </c>
      <c r="B207" t="s">
        <v>512</v>
      </c>
      <c r="C207" t="s">
        <v>3364</v>
      </c>
      <c r="D207" t="s">
        <v>1008</v>
      </c>
      <c r="E207" t="s">
        <v>3652</v>
      </c>
      <c r="F207" t="s">
        <v>3859</v>
      </c>
      <c r="G207">
        <v>200</v>
      </c>
      <c r="H207">
        <v>0</v>
      </c>
      <c r="I207">
        <v>0</v>
      </c>
      <c r="J207">
        <v>1</v>
      </c>
      <c r="K207">
        <v>200</v>
      </c>
      <c r="L207">
        <v>0</v>
      </c>
      <c r="M207">
        <v>0</v>
      </c>
      <c r="N207">
        <v>0</v>
      </c>
      <c r="O207">
        <v>0</v>
      </c>
      <c r="P207" s="2">
        <f>(H207 + J207) - (L207 + N207)</f>
        <v>0</v>
      </c>
      <c r="Q207" s="2">
        <f>P207 * G207</f>
        <v>0</v>
      </c>
      <c r="R207">
        <v>0</v>
      </c>
      <c r="S207" s="2">
        <f>R207 * G207</f>
        <v>0</v>
      </c>
      <c r="T207" s="2">
        <f>(H207 + J207) - (L207 + N207) - R207</f>
        <v>0</v>
      </c>
      <c r="U207" s="2">
        <f>T207 * G207</f>
        <v>0</v>
      </c>
      <c r="V207" s="2">
        <f>I207 + K207 - S207</f>
        <v>0</v>
      </c>
      <c r="W207" s="2">
        <f>M207 - V207</f>
        <v>0</v>
      </c>
      <c r="X207" s="2">
        <f>IFERROR(W207 / M207 * 100, 0)</f>
        <v>0</v>
      </c>
    </row>
    <row r="208" spans="1:24">
      <c r="A208" t="s">
        <v>2872</v>
      </c>
      <c r="B208" t="s">
        <v>512</v>
      </c>
      <c r="C208" t="s">
        <v>3365</v>
      </c>
      <c r="D208" t="s">
        <v>1008</v>
      </c>
      <c r="E208" t="s">
        <v>3652</v>
      </c>
      <c r="F208" t="s">
        <v>3860</v>
      </c>
      <c r="G208">
        <v>11.48</v>
      </c>
      <c r="H208">
        <v>36</v>
      </c>
      <c r="I208">
        <v>413.45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s="2">
        <f>(H208 + J208) - (L208 + N208)</f>
        <v>0</v>
      </c>
      <c r="Q208" s="2">
        <f>P208 * G208</f>
        <v>0</v>
      </c>
      <c r="R208">
        <v>36</v>
      </c>
      <c r="S208" s="2">
        <f>R208 * G208</f>
        <v>0</v>
      </c>
      <c r="T208" s="2">
        <f>(H208 + J208) - (L208 + N208) - R208</f>
        <v>0</v>
      </c>
      <c r="U208" s="2">
        <f>T208 * G208</f>
        <v>0</v>
      </c>
      <c r="V208" s="2">
        <f>I208 + K208 - S208</f>
        <v>0</v>
      </c>
      <c r="W208" s="2">
        <f>M208 - V208</f>
        <v>0</v>
      </c>
      <c r="X208" s="2">
        <f>IFERROR(W208 / M208 * 100, 0)</f>
        <v>0</v>
      </c>
    </row>
    <row r="209" spans="1:24">
      <c r="A209" t="s">
        <v>2873</v>
      </c>
      <c r="B209" t="s">
        <v>512</v>
      </c>
      <c r="C209" t="s">
        <v>3366</v>
      </c>
      <c r="D209" t="s">
        <v>1008</v>
      </c>
      <c r="E209" t="s">
        <v>3652</v>
      </c>
      <c r="F209" t="s">
        <v>3861</v>
      </c>
      <c r="G209">
        <v>4.34</v>
      </c>
      <c r="H209">
        <v>30</v>
      </c>
      <c r="I209">
        <v>130.16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s="2">
        <f>(H209 + J209) - (L209 + N209)</f>
        <v>0</v>
      </c>
      <c r="Q209" s="2">
        <f>P209 * G209</f>
        <v>0</v>
      </c>
      <c r="R209">
        <v>30</v>
      </c>
      <c r="S209" s="2">
        <f>R209 * G209</f>
        <v>0</v>
      </c>
      <c r="T209" s="2">
        <f>(H209 + J209) - (L209 + N209) - R209</f>
        <v>0</v>
      </c>
      <c r="U209" s="2">
        <f>T209 * G209</f>
        <v>0</v>
      </c>
      <c r="V209" s="2">
        <f>I209 + K209 - S209</f>
        <v>0</v>
      </c>
      <c r="W209" s="2">
        <f>M209 - V209</f>
        <v>0</v>
      </c>
      <c r="X209" s="2">
        <f>IFERROR(W209 / M209 * 100, 0)</f>
        <v>0</v>
      </c>
    </row>
    <row r="210" spans="1:24">
      <c r="A210" t="s">
        <v>2874</v>
      </c>
      <c r="B210" t="s">
        <v>512</v>
      </c>
      <c r="C210" t="s">
        <v>3367</v>
      </c>
      <c r="D210" t="s">
        <v>1008</v>
      </c>
      <c r="E210" t="s">
        <v>3652</v>
      </c>
      <c r="F210" t="s">
        <v>3862</v>
      </c>
      <c r="G210">
        <v>130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s="2">
        <f>(H210 + J210) - (L210 + N210)</f>
        <v>0</v>
      </c>
      <c r="Q210" s="2">
        <f>P210 * G210</f>
        <v>0</v>
      </c>
      <c r="R210">
        <v>4</v>
      </c>
      <c r="S210" s="2">
        <f>R210 * G210</f>
        <v>0</v>
      </c>
      <c r="T210" s="2">
        <f>(H210 + J210) - (L210 + N210) - R210</f>
        <v>0</v>
      </c>
      <c r="U210" s="2">
        <f>T210 * G210</f>
        <v>0</v>
      </c>
      <c r="V210" s="2">
        <f>I210 + K210 - S210</f>
        <v>0</v>
      </c>
      <c r="W210" s="2">
        <f>M210 - V210</f>
        <v>0</v>
      </c>
      <c r="X210" s="2">
        <f>IFERROR(W210 / M210 * 100, 0)</f>
        <v>0</v>
      </c>
    </row>
    <row r="211" spans="1:24">
      <c r="A211" t="s">
        <v>2875</v>
      </c>
      <c r="B211" t="s">
        <v>512</v>
      </c>
      <c r="C211" t="s">
        <v>3368</v>
      </c>
      <c r="D211" t="s">
        <v>1008</v>
      </c>
      <c r="E211" t="s">
        <v>3652</v>
      </c>
      <c r="F211" t="s">
        <v>3863</v>
      </c>
      <c r="G211">
        <v>70</v>
      </c>
      <c r="H211">
        <v>0</v>
      </c>
      <c r="I211">
        <v>0</v>
      </c>
      <c r="J211">
        <v>2</v>
      </c>
      <c r="K211">
        <v>140</v>
      </c>
      <c r="L211">
        <v>0</v>
      </c>
      <c r="M211">
        <v>0</v>
      </c>
      <c r="N211">
        <v>0</v>
      </c>
      <c r="O211">
        <v>0</v>
      </c>
      <c r="P211" s="2">
        <f>(H211 + J211) - (L211 + N211)</f>
        <v>0</v>
      </c>
      <c r="Q211" s="2">
        <f>P211 * G211</f>
        <v>0</v>
      </c>
      <c r="R211">
        <v>1</v>
      </c>
      <c r="S211" s="2">
        <f>R211 * G211</f>
        <v>0</v>
      </c>
      <c r="T211" s="2">
        <f>(H211 + J211) - (L211 + N211) - R211</f>
        <v>0</v>
      </c>
      <c r="U211" s="2">
        <f>T211 * G211</f>
        <v>0</v>
      </c>
      <c r="V211" s="2">
        <f>I211 + K211 - S211</f>
        <v>0</v>
      </c>
      <c r="W211" s="2">
        <f>M211 - V211</f>
        <v>0</v>
      </c>
      <c r="X211" s="2">
        <f>IFERROR(W211 / M211 * 100, 0)</f>
        <v>0</v>
      </c>
    </row>
    <row r="212" spans="1:24">
      <c r="A212" t="s">
        <v>2876</v>
      </c>
      <c r="B212" t="s">
        <v>513</v>
      </c>
      <c r="C212" t="s">
        <v>3369</v>
      </c>
      <c r="D212" t="s">
        <v>1007</v>
      </c>
      <c r="E212" t="s">
        <v>3652</v>
      </c>
      <c r="F212" t="s">
        <v>3864</v>
      </c>
      <c r="G212">
        <v>14.76</v>
      </c>
      <c r="H212">
        <v>7</v>
      </c>
      <c r="I212">
        <v>79.94</v>
      </c>
      <c r="J212">
        <v>6.85</v>
      </c>
      <c r="K212">
        <v>-14.93</v>
      </c>
      <c r="L212">
        <v>1.09</v>
      </c>
      <c r="M212">
        <v>43.6</v>
      </c>
      <c r="N212">
        <v>0</v>
      </c>
      <c r="O212">
        <v>0</v>
      </c>
      <c r="P212" s="2">
        <f>(H212 + J212) - (L212 + N212)</f>
        <v>0</v>
      </c>
      <c r="Q212" s="2">
        <f>P212 * G212</f>
        <v>0</v>
      </c>
      <c r="R212">
        <v>4</v>
      </c>
      <c r="S212" s="2">
        <f>R212 * G212</f>
        <v>0</v>
      </c>
      <c r="T212" s="2">
        <f>(H212 + J212) - (L212 + N212) - R212</f>
        <v>0</v>
      </c>
      <c r="U212" s="2">
        <f>T212 * G212</f>
        <v>0</v>
      </c>
      <c r="V212" s="2">
        <f>I212 + K212 - S212</f>
        <v>0</v>
      </c>
      <c r="W212" s="2">
        <f>M212 - V212</f>
        <v>0</v>
      </c>
      <c r="X212" s="2">
        <f>IFERROR(W212 / M212 * 100, 0)</f>
        <v>0</v>
      </c>
    </row>
    <row r="213" spans="1:24">
      <c r="A213" t="s">
        <v>2877</v>
      </c>
      <c r="B213" t="s">
        <v>513</v>
      </c>
      <c r="C213" t="s">
        <v>3370</v>
      </c>
      <c r="D213" t="s">
        <v>1007</v>
      </c>
      <c r="E213" t="s">
        <v>3652</v>
      </c>
      <c r="F213" t="s">
        <v>3865</v>
      </c>
      <c r="G213">
        <v>2.24</v>
      </c>
      <c r="H213">
        <v>7</v>
      </c>
      <c r="I213">
        <v>16.89</v>
      </c>
      <c r="J213">
        <v>28.6</v>
      </c>
      <c r="K213">
        <v>6.11</v>
      </c>
      <c r="L213">
        <v>15.93</v>
      </c>
      <c r="M213">
        <v>605.15</v>
      </c>
      <c r="N213">
        <v>0</v>
      </c>
      <c r="O213">
        <v>0</v>
      </c>
      <c r="P213" s="2">
        <f>(H213 + J213) - (L213 + N213)</f>
        <v>0</v>
      </c>
      <c r="Q213" s="2">
        <f>P213 * G213</f>
        <v>0</v>
      </c>
      <c r="R213">
        <v>5</v>
      </c>
      <c r="S213" s="2">
        <f>R213 * G213</f>
        <v>0</v>
      </c>
      <c r="T213" s="2">
        <f>(H213 + J213) - (L213 + N213) - R213</f>
        <v>0</v>
      </c>
      <c r="U213" s="2">
        <f>T213 * G213</f>
        <v>0</v>
      </c>
      <c r="V213" s="2">
        <f>I213 + K213 - S213</f>
        <v>0</v>
      </c>
      <c r="W213" s="2">
        <f>M213 - V213</f>
        <v>0</v>
      </c>
      <c r="X213" s="2">
        <f>IFERROR(W213 / M213 * 100, 0)</f>
        <v>0</v>
      </c>
    </row>
    <row r="214" spans="1:24">
      <c r="A214" t="s">
        <v>2878</v>
      </c>
      <c r="B214" t="s">
        <v>513</v>
      </c>
      <c r="C214" t="s">
        <v>3371</v>
      </c>
      <c r="D214" t="s">
        <v>1007</v>
      </c>
      <c r="E214" t="s">
        <v>3652</v>
      </c>
      <c r="F214" t="s">
        <v>3866</v>
      </c>
      <c r="G214">
        <v>2.42</v>
      </c>
      <c r="H214">
        <v>3</v>
      </c>
      <c r="I214">
        <v>6.66</v>
      </c>
      <c r="J214">
        <v>8.48</v>
      </c>
      <c r="K214">
        <v>-42.9</v>
      </c>
      <c r="L214">
        <v>6.61</v>
      </c>
      <c r="M214">
        <v>277.62</v>
      </c>
      <c r="N214">
        <v>0</v>
      </c>
      <c r="O214">
        <v>0</v>
      </c>
      <c r="P214" s="2">
        <f>(H214 + J214) - (L214 + N214)</f>
        <v>0</v>
      </c>
      <c r="Q214" s="2">
        <f>P214 * G214</f>
        <v>0</v>
      </c>
      <c r="R214">
        <v>5</v>
      </c>
      <c r="S214" s="2">
        <f>R214 * G214</f>
        <v>0</v>
      </c>
      <c r="T214" s="2">
        <f>(H214 + J214) - (L214 + N214) - R214</f>
        <v>0</v>
      </c>
      <c r="U214" s="2">
        <f>T214 * G214</f>
        <v>0</v>
      </c>
      <c r="V214" s="2">
        <f>I214 + K214 - S214</f>
        <v>0</v>
      </c>
      <c r="W214" s="2">
        <f>M214 - V214</f>
        <v>0</v>
      </c>
      <c r="X214" s="2">
        <f>IFERROR(W214 / M214 * 100, 0)</f>
        <v>0</v>
      </c>
    </row>
    <row r="215" spans="1:24">
      <c r="A215" t="s">
        <v>2879</v>
      </c>
      <c r="B215" t="s">
        <v>513</v>
      </c>
      <c r="C215" t="s">
        <v>3372</v>
      </c>
      <c r="D215" t="s">
        <v>1007</v>
      </c>
      <c r="E215" t="s">
        <v>3652</v>
      </c>
      <c r="F215" t="s">
        <v>3867</v>
      </c>
      <c r="G215">
        <v>12.63</v>
      </c>
      <c r="H215">
        <v>0</v>
      </c>
      <c r="I215">
        <v>0</v>
      </c>
      <c r="J215">
        <v>0</v>
      </c>
      <c r="K215">
        <v>0</v>
      </c>
      <c r="L215">
        <v>0.19</v>
      </c>
      <c r="M215">
        <v>6.08</v>
      </c>
      <c r="N215">
        <v>0</v>
      </c>
      <c r="O215">
        <v>0</v>
      </c>
      <c r="P215" s="2">
        <f>(H215 + J215) - (L215 + N215)</f>
        <v>0</v>
      </c>
      <c r="Q215" s="2">
        <f>P215 * G215</f>
        <v>0</v>
      </c>
      <c r="R215">
        <v>0</v>
      </c>
      <c r="S215" s="2">
        <f>R215 * G215</f>
        <v>0</v>
      </c>
      <c r="T215" s="2">
        <f>(H215 + J215) - (L215 + N215) - R215</f>
        <v>0</v>
      </c>
      <c r="U215" s="2">
        <f>T215 * G215</f>
        <v>0</v>
      </c>
      <c r="V215" s="2">
        <f>I215 + K215 - S215</f>
        <v>0</v>
      </c>
      <c r="W215" s="2">
        <f>M215 - V215</f>
        <v>0</v>
      </c>
      <c r="X215" s="2">
        <f>IFERROR(W215 / M215 * 100, 0)</f>
        <v>0</v>
      </c>
    </row>
    <row r="216" spans="1:24">
      <c r="A216" t="s">
        <v>2880</v>
      </c>
      <c r="B216" t="s">
        <v>513</v>
      </c>
      <c r="C216" t="s">
        <v>3373</v>
      </c>
      <c r="D216" t="s">
        <v>1008</v>
      </c>
      <c r="E216" t="s">
        <v>3652</v>
      </c>
      <c r="F216" t="s">
        <v>3868</v>
      </c>
      <c r="G216">
        <v>0.32</v>
      </c>
      <c r="H216">
        <v>0</v>
      </c>
      <c r="I216">
        <v>0</v>
      </c>
      <c r="J216">
        <v>495</v>
      </c>
      <c r="K216">
        <v>146.53</v>
      </c>
      <c r="L216">
        <v>260</v>
      </c>
      <c r="M216">
        <v>325</v>
      </c>
      <c r="N216">
        <v>11</v>
      </c>
      <c r="O216">
        <v>2.9</v>
      </c>
      <c r="P216" s="2">
        <f>(H216 + J216) - (L216 + N216)</f>
        <v>0</v>
      </c>
      <c r="Q216" s="2">
        <f>P216 * G216</f>
        <v>0</v>
      </c>
      <c r="R216">
        <v>0</v>
      </c>
      <c r="S216" s="2">
        <f>R216 * G216</f>
        <v>0</v>
      </c>
      <c r="T216" s="2">
        <f>(H216 + J216) - (L216 + N216) - R216</f>
        <v>0</v>
      </c>
      <c r="U216" s="2">
        <f>T216 * G216</f>
        <v>0</v>
      </c>
      <c r="V216" s="2">
        <f>I216 + K216 - S216</f>
        <v>0</v>
      </c>
      <c r="W216" s="2">
        <f>M216 - V216</f>
        <v>0</v>
      </c>
      <c r="X216" s="2">
        <f>IFERROR(W216 / M216 * 100, 0)</f>
        <v>0</v>
      </c>
    </row>
    <row r="217" spans="1:24">
      <c r="A217" t="s">
        <v>2881</v>
      </c>
      <c r="B217" t="s">
        <v>513</v>
      </c>
      <c r="C217" t="s">
        <v>3374</v>
      </c>
      <c r="D217" t="s">
        <v>1007</v>
      </c>
      <c r="E217" t="s">
        <v>3652</v>
      </c>
      <c r="F217" t="s">
        <v>3869</v>
      </c>
      <c r="G217">
        <v>2.3</v>
      </c>
      <c r="H217">
        <v>5</v>
      </c>
      <c r="I217">
        <v>10.45</v>
      </c>
      <c r="J217">
        <v>5.8</v>
      </c>
      <c r="K217">
        <v>-119.68</v>
      </c>
      <c r="L217">
        <v>0</v>
      </c>
      <c r="M217">
        <v>0</v>
      </c>
      <c r="N217">
        <v>0</v>
      </c>
      <c r="O217">
        <v>0</v>
      </c>
      <c r="P217" s="2">
        <f>(H217 + J217) - (L217 + N217)</f>
        <v>0</v>
      </c>
      <c r="Q217" s="2">
        <f>P217 * G217</f>
        <v>0</v>
      </c>
      <c r="R217">
        <v>3</v>
      </c>
      <c r="S217" s="2">
        <f>R217 * G217</f>
        <v>0</v>
      </c>
      <c r="T217" s="2">
        <f>(H217 + J217) - (L217 + N217) - R217</f>
        <v>0</v>
      </c>
      <c r="U217" s="2">
        <f>T217 * G217</f>
        <v>0</v>
      </c>
      <c r="V217" s="2">
        <f>I217 + K217 - S217</f>
        <v>0</v>
      </c>
      <c r="W217" s="2">
        <f>M217 - V217</f>
        <v>0</v>
      </c>
      <c r="X217" s="2">
        <f>IFERROR(W217 / M217 * 100, 0)</f>
        <v>0</v>
      </c>
    </row>
    <row r="218" spans="1:24">
      <c r="A218" t="s">
        <v>2882</v>
      </c>
      <c r="B218" t="s">
        <v>513</v>
      </c>
      <c r="C218" t="s">
        <v>3375</v>
      </c>
      <c r="D218" t="s">
        <v>1007</v>
      </c>
      <c r="E218" t="s">
        <v>3652</v>
      </c>
      <c r="F218" t="s">
        <v>3870</v>
      </c>
      <c r="G218">
        <v>6.55</v>
      </c>
      <c r="H218">
        <v>0</v>
      </c>
      <c r="I218">
        <v>0</v>
      </c>
      <c r="J218">
        <v>6.1</v>
      </c>
      <c r="K218">
        <v>40.75</v>
      </c>
      <c r="L218">
        <v>4.52</v>
      </c>
      <c r="M218">
        <v>135.6</v>
      </c>
      <c r="N218">
        <v>0.2</v>
      </c>
      <c r="O218">
        <v>1.37</v>
      </c>
      <c r="P218" s="2">
        <f>(H218 + J218) - (L218 + N218)</f>
        <v>0</v>
      </c>
      <c r="Q218" s="2">
        <f>P218 * G218</f>
        <v>0</v>
      </c>
      <c r="R218">
        <v>0</v>
      </c>
      <c r="S218" s="2">
        <f>R218 * G218</f>
        <v>0</v>
      </c>
      <c r="T218" s="2">
        <f>(H218 + J218) - (L218 + N218) - R218</f>
        <v>0</v>
      </c>
      <c r="U218" s="2">
        <f>T218 * G218</f>
        <v>0</v>
      </c>
      <c r="V218" s="2">
        <f>I218 + K218 - S218</f>
        <v>0</v>
      </c>
      <c r="W218" s="2">
        <f>M218 - V218</f>
        <v>0</v>
      </c>
      <c r="X218" s="2">
        <f>IFERROR(W218 / M218 * 100, 0)</f>
        <v>0</v>
      </c>
    </row>
    <row r="219" spans="1:24">
      <c r="A219" t="s">
        <v>2883</v>
      </c>
      <c r="B219" t="s">
        <v>513</v>
      </c>
      <c r="C219" t="s">
        <v>3376</v>
      </c>
      <c r="D219" t="s">
        <v>1007</v>
      </c>
      <c r="E219" t="s">
        <v>3652</v>
      </c>
      <c r="F219" t="s">
        <v>3871</v>
      </c>
      <c r="G219">
        <v>4.77</v>
      </c>
      <c r="H219">
        <v>6</v>
      </c>
      <c r="I219">
        <v>26.13</v>
      </c>
      <c r="J219">
        <v>9.69</v>
      </c>
      <c r="K219">
        <v>48.11</v>
      </c>
      <c r="L219">
        <v>7.94</v>
      </c>
      <c r="M219">
        <v>397</v>
      </c>
      <c r="N219">
        <v>0</v>
      </c>
      <c r="O219">
        <v>0</v>
      </c>
      <c r="P219" s="2">
        <f>(H219 + J219) - (L219 + N219)</f>
        <v>0</v>
      </c>
      <c r="Q219" s="2">
        <f>P219 * G219</f>
        <v>0</v>
      </c>
      <c r="R219">
        <v>6</v>
      </c>
      <c r="S219" s="2">
        <f>R219 * G219</f>
        <v>0</v>
      </c>
      <c r="T219" s="2">
        <f>(H219 + J219) - (L219 + N219) - R219</f>
        <v>0</v>
      </c>
      <c r="U219" s="2">
        <f>T219 * G219</f>
        <v>0</v>
      </c>
      <c r="V219" s="2">
        <f>I219 + K219 - S219</f>
        <v>0</v>
      </c>
      <c r="W219" s="2">
        <f>M219 - V219</f>
        <v>0</v>
      </c>
      <c r="X219" s="2">
        <f>IFERROR(W219 / M219 * 100, 0)</f>
        <v>0</v>
      </c>
    </row>
    <row r="220" spans="1:24">
      <c r="A220" t="s">
        <v>2884</v>
      </c>
      <c r="B220" t="s">
        <v>513</v>
      </c>
      <c r="C220" t="s">
        <v>3377</v>
      </c>
      <c r="D220" t="s">
        <v>1007</v>
      </c>
      <c r="E220" t="s">
        <v>3652</v>
      </c>
      <c r="F220" t="s">
        <v>3872</v>
      </c>
      <c r="G220">
        <v>9.24</v>
      </c>
      <c r="H220">
        <v>47</v>
      </c>
      <c r="I220">
        <v>407.79</v>
      </c>
      <c r="J220">
        <v>164.17</v>
      </c>
      <c r="K220">
        <v>1515.48</v>
      </c>
      <c r="L220">
        <v>4.48</v>
      </c>
      <c r="M220">
        <v>111.92</v>
      </c>
      <c r="N220">
        <v>0</v>
      </c>
      <c r="O220">
        <v>0</v>
      </c>
      <c r="P220" s="2">
        <f>(H220 + J220) - (L220 + N220)</f>
        <v>0</v>
      </c>
      <c r="Q220" s="2">
        <f>P220 * G220</f>
        <v>0</v>
      </c>
      <c r="R220">
        <v>41</v>
      </c>
      <c r="S220" s="2">
        <f>R220 * G220</f>
        <v>0</v>
      </c>
      <c r="T220" s="2">
        <f>(H220 + J220) - (L220 + N220) - R220</f>
        <v>0</v>
      </c>
      <c r="U220" s="2">
        <f>T220 * G220</f>
        <v>0</v>
      </c>
      <c r="V220" s="2">
        <f>I220 + K220 - S220</f>
        <v>0</v>
      </c>
      <c r="W220" s="2">
        <f>M220 - V220</f>
        <v>0</v>
      </c>
      <c r="X220" s="2">
        <f>IFERROR(W220 / M220 * 100, 0)</f>
        <v>0</v>
      </c>
    </row>
    <row r="221" spans="1:24">
      <c r="A221" t="s">
        <v>2885</v>
      </c>
      <c r="B221" t="s">
        <v>512</v>
      </c>
      <c r="C221" t="s">
        <v>3378</v>
      </c>
      <c r="D221" t="s">
        <v>1008</v>
      </c>
      <c r="E221" t="s">
        <v>3652</v>
      </c>
      <c r="F221" t="s">
        <v>3873</v>
      </c>
      <c r="G221">
        <v>0</v>
      </c>
      <c r="H221">
        <v>0</v>
      </c>
      <c r="I221">
        <v>0</v>
      </c>
      <c r="J221">
        <v>-214</v>
      </c>
      <c r="K221">
        <v>0</v>
      </c>
      <c r="L221">
        <v>0</v>
      </c>
      <c r="M221">
        <v>0</v>
      </c>
      <c r="N221">
        <v>0</v>
      </c>
      <c r="O221">
        <v>0</v>
      </c>
      <c r="P221" s="2">
        <f>(H221 + J221) - (L221 + N221)</f>
        <v>0</v>
      </c>
      <c r="Q221" s="2">
        <f>P221 * G221</f>
        <v>0</v>
      </c>
      <c r="R221">
        <v>0</v>
      </c>
      <c r="S221" s="2">
        <f>R221 * G221</f>
        <v>0</v>
      </c>
      <c r="T221" s="2">
        <f>(H221 + J221) - (L221 + N221) - R221</f>
        <v>0</v>
      </c>
      <c r="U221" s="2">
        <f>T221 * G221</f>
        <v>0</v>
      </c>
      <c r="V221" s="2">
        <f>I221 + K221 - S221</f>
        <v>0</v>
      </c>
      <c r="W221" s="2">
        <f>M221 - V221</f>
        <v>0</v>
      </c>
      <c r="X221" s="2">
        <f>IFERROR(W221 / M221 * 100, 0)</f>
        <v>0</v>
      </c>
    </row>
    <row r="222" spans="1:24">
      <c r="A222" t="s">
        <v>2886</v>
      </c>
      <c r="B222" t="s">
        <v>512</v>
      </c>
      <c r="C222" t="s">
        <v>3379</v>
      </c>
      <c r="D222" t="s">
        <v>1008</v>
      </c>
      <c r="E222" t="s">
        <v>3652</v>
      </c>
      <c r="F222" t="s">
        <v>3874</v>
      </c>
      <c r="G222">
        <v>3.24</v>
      </c>
      <c r="H222">
        <v>10</v>
      </c>
      <c r="I222">
        <v>32.67</v>
      </c>
      <c r="J222">
        <v>132</v>
      </c>
      <c r="K222">
        <v>425.86</v>
      </c>
      <c r="L222">
        <v>0</v>
      </c>
      <c r="M222">
        <v>0</v>
      </c>
      <c r="N222">
        <v>0</v>
      </c>
      <c r="O222">
        <v>0</v>
      </c>
      <c r="P222" s="2">
        <f>(H222 + J222) - (L222 + N222)</f>
        <v>0</v>
      </c>
      <c r="Q222" s="2">
        <f>P222 * G222</f>
        <v>0</v>
      </c>
      <c r="R222">
        <v>10</v>
      </c>
      <c r="S222" s="2">
        <f>R222 * G222</f>
        <v>0</v>
      </c>
      <c r="T222" s="2">
        <f>(H222 + J222) - (L222 + N222) - R222</f>
        <v>0</v>
      </c>
      <c r="U222" s="2">
        <f>T222 * G222</f>
        <v>0</v>
      </c>
      <c r="V222" s="2">
        <f>I222 + K222 - S222</f>
        <v>0</v>
      </c>
      <c r="W222" s="2">
        <f>M222 - V222</f>
        <v>0</v>
      </c>
      <c r="X222" s="2">
        <f>IFERROR(W222 / M222 * 100, 0)</f>
        <v>0</v>
      </c>
    </row>
    <row r="223" spans="1:24">
      <c r="A223" t="s">
        <v>2887</v>
      </c>
      <c r="B223" t="s">
        <v>512</v>
      </c>
      <c r="C223" t="s">
        <v>3380</v>
      </c>
      <c r="D223" t="s">
        <v>1008</v>
      </c>
      <c r="E223" t="s">
        <v>3652</v>
      </c>
      <c r="F223" t="s">
        <v>3875</v>
      </c>
      <c r="G223">
        <v>30</v>
      </c>
      <c r="H223">
        <v>0</v>
      </c>
      <c r="I223">
        <v>0</v>
      </c>
      <c r="J223">
        <v>5</v>
      </c>
      <c r="K223">
        <v>150</v>
      </c>
      <c r="L223">
        <v>0</v>
      </c>
      <c r="M223">
        <v>0</v>
      </c>
      <c r="N223">
        <v>0</v>
      </c>
      <c r="O223">
        <v>0</v>
      </c>
      <c r="P223" s="2">
        <f>(H223 + J223) - (L223 + N223)</f>
        <v>0</v>
      </c>
      <c r="Q223" s="2">
        <f>P223 * G223</f>
        <v>0</v>
      </c>
      <c r="R223">
        <v>0</v>
      </c>
      <c r="S223" s="2">
        <f>R223 * G223</f>
        <v>0</v>
      </c>
      <c r="T223" s="2">
        <f>(H223 + J223) - (L223 + N223) - R223</f>
        <v>0</v>
      </c>
      <c r="U223" s="2">
        <f>T223 * G223</f>
        <v>0</v>
      </c>
      <c r="V223" s="2">
        <f>I223 + K223 - S223</f>
        <v>0</v>
      </c>
      <c r="W223" s="2">
        <f>M223 - V223</f>
        <v>0</v>
      </c>
      <c r="X223" s="2">
        <f>IFERROR(W223 / M223 * 100, 0)</f>
        <v>0</v>
      </c>
    </row>
    <row r="224" spans="1:24">
      <c r="A224" t="s">
        <v>2888</v>
      </c>
      <c r="B224" t="s">
        <v>512</v>
      </c>
      <c r="C224" t="s">
        <v>3381</v>
      </c>
      <c r="D224" t="s">
        <v>1007</v>
      </c>
      <c r="E224" t="s">
        <v>3652</v>
      </c>
      <c r="F224" t="s">
        <v>3876</v>
      </c>
      <c r="G224">
        <v>10.45</v>
      </c>
      <c r="H224">
        <v>120</v>
      </c>
      <c r="I224">
        <v>1224.66</v>
      </c>
      <c r="J224">
        <v>762.85</v>
      </c>
      <c r="K224">
        <v>7968.69</v>
      </c>
      <c r="L224">
        <v>0</v>
      </c>
      <c r="M224">
        <v>0</v>
      </c>
      <c r="N224">
        <v>0</v>
      </c>
      <c r="O224">
        <v>0</v>
      </c>
      <c r="P224" s="2">
        <f>(H224 + J224) - (L224 + N224)</f>
        <v>0</v>
      </c>
      <c r="Q224" s="2">
        <f>P224 * G224</f>
        <v>0</v>
      </c>
      <c r="R224">
        <v>150</v>
      </c>
      <c r="S224" s="2">
        <f>R224 * G224</f>
        <v>0</v>
      </c>
      <c r="T224" s="2">
        <f>(H224 + J224) - (L224 + N224) - R224</f>
        <v>0</v>
      </c>
      <c r="U224" s="2">
        <f>T224 * G224</f>
        <v>0</v>
      </c>
      <c r="V224" s="2">
        <f>I224 + K224 - S224</f>
        <v>0</v>
      </c>
      <c r="W224" s="2">
        <f>M224 - V224</f>
        <v>0</v>
      </c>
      <c r="X224" s="2">
        <f>IFERROR(W224 / M224 * 100, 0)</f>
        <v>0</v>
      </c>
    </row>
    <row r="225" spans="1:24">
      <c r="A225" t="s">
        <v>2889</v>
      </c>
      <c r="B225" t="s">
        <v>512</v>
      </c>
      <c r="C225" t="s">
        <v>3382</v>
      </c>
      <c r="D225" t="s">
        <v>1007</v>
      </c>
      <c r="E225" t="s">
        <v>3652</v>
      </c>
      <c r="F225" t="s">
        <v>3877</v>
      </c>
      <c r="G225">
        <v>77.11</v>
      </c>
      <c r="H225">
        <v>1</v>
      </c>
      <c r="I225">
        <v>78.70999999999999</v>
      </c>
      <c r="J225">
        <v>0.9399999999999999</v>
      </c>
      <c r="K225">
        <v>70.83</v>
      </c>
      <c r="L225">
        <v>0</v>
      </c>
      <c r="M225">
        <v>0</v>
      </c>
      <c r="N225">
        <v>0</v>
      </c>
      <c r="O225">
        <v>0</v>
      </c>
      <c r="P225" s="2">
        <f>(H225 + J225) - (L225 + N225)</f>
        <v>0</v>
      </c>
      <c r="Q225" s="2">
        <f>P225 * G225</f>
        <v>0</v>
      </c>
      <c r="R225">
        <v>1</v>
      </c>
      <c r="S225" s="2">
        <f>R225 * G225</f>
        <v>0</v>
      </c>
      <c r="T225" s="2">
        <f>(H225 + J225) - (L225 + N225) - R225</f>
        <v>0</v>
      </c>
      <c r="U225" s="2">
        <f>T225 * G225</f>
        <v>0</v>
      </c>
      <c r="V225" s="2">
        <f>I225 + K225 - S225</f>
        <v>0</v>
      </c>
      <c r="W225" s="2">
        <f>M225 - V225</f>
        <v>0</v>
      </c>
      <c r="X225" s="2">
        <f>IFERROR(W225 / M225 * 100, 0)</f>
        <v>0</v>
      </c>
    </row>
    <row r="226" spans="1:24">
      <c r="A226" t="s">
        <v>2890</v>
      </c>
      <c r="B226" t="s">
        <v>512</v>
      </c>
      <c r="C226" t="s">
        <v>3383</v>
      </c>
      <c r="D226" t="s">
        <v>1007</v>
      </c>
      <c r="E226" t="s">
        <v>3652</v>
      </c>
      <c r="F226" t="s">
        <v>3878</v>
      </c>
      <c r="G226">
        <v>7.87</v>
      </c>
      <c r="H226">
        <v>0</v>
      </c>
      <c r="I226">
        <v>0</v>
      </c>
      <c r="J226">
        <v>9.6</v>
      </c>
      <c r="K226">
        <v>79.97</v>
      </c>
      <c r="L226">
        <v>0</v>
      </c>
      <c r="M226">
        <v>0</v>
      </c>
      <c r="N226">
        <v>0</v>
      </c>
      <c r="O226">
        <v>0</v>
      </c>
      <c r="P226" s="2">
        <f>(H226 + J226) - (L226 + N226)</f>
        <v>0</v>
      </c>
      <c r="Q226" s="2">
        <f>P226 * G226</f>
        <v>0</v>
      </c>
      <c r="R226">
        <v>0</v>
      </c>
      <c r="S226" s="2">
        <f>R226 * G226</f>
        <v>0</v>
      </c>
      <c r="T226" s="2">
        <f>(H226 + J226) - (L226 + N226) - R226</f>
        <v>0</v>
      </c>
      <c r="U226" s="2">
        <f>T226 * G226</f>
        <v>0</v>
      </c>
      <c r="V226" s="2">
        <f>I226 + K226 - S226</f>
        <v>0</v>
      </c>
      <c r="W226" s="2">
        <f>M226 - V226</f>
        <v>0</v>
      </c>
      <c r="X226" s="2">
        <f>IFERROR(W226 / M226 * 100, 0)</f>
        <v>0</v>
      </c>
    </row>
    <row r="227" spans="1:24">
      <c r="A227" t="s">
        <v>2891</v>
      </c>
      <c r="B227" t="s">
        <v>512</v>
      </c>
      <c r="C227" t="s">
        <v>3384</v>
      </c>
      <c r="D227" t="s">
        <v>1007</v>
      </c>
      <c r="E227" t="s">
        <v>3652</v>
      </c>
      <c r="F227" t="s">
        <v>3879</v>
      </c>
      <c r="G227">
        <v>1.48</v>
      </c>
      <c r="H227">
        <v>100</v>
      </c>
      <c r="I227">
        <v>178.69</v>
      </c>
      <c r="J227">
        <v>482.21</v>
      </c>
      <c r="K227">
        <v>675.01</v>
      </c>
      <c r="L227">
        <v>0</v>
      </c>
      <c r="M227">
        <v>0</v>
      </c>
      <c r="N227">
        <v>0</v>
      </c>
      <c r="O227">
        <v>0</v>
      </c>
      <c r="P227" s="2">
        <f>(H227 + J227) - (L227 + N227)</f>
        <v>0</v>
      </c>
      <c r="Q227" s="2">
        <f>P227 * G227</f>
        <v>0</v>
      </c>
      <c r="R227">
        <v>100</v>
      </c>
      <c r="S227" s="2">
        <f>R227 * G227</f>
        <v>0</v>
      </c>
      <c r="T227" s="2">
        <f>(H227 + J227) - (L227 + N227) - R227</f>
        <v>0</v>
      </c>
      <c r="U227" s="2">
        <f>T227 * G227</f>
        <v>0</v>
      </c>
      <c r="V227" s="2">
        <f>I227 + K227 - S227</f>
        <v>0</v>
      </c>
      <c r="W227" s="2">
        <f>M227 - V227</f>
        <v>0</v>
      </c>
      <c r="X227" s="2">
        <f>IFERROR(W227 / M227 * 100, 0)</f>
        <v>0</v>
      </c>
    </row>
    <row r="228" spans="1:24">
      <c r="A228" t="s">
        <v>2892</v>
      </c>
      <c r="B228" t="s">
        <v>512</v>
      </c>
      <c r="C228" t="s">
        <v>3385</v>
      </c>
      <c r="D228" t="s">
        <v>1007</v>
      </c>
      <c r="E228" t="s">
        <v>3652</v>
      </c>
      <c r="F228" t="s">
        <v>3880</v>
      </c>
      <c r="G228">
        <v>2.42</v>
      </c>
      <c r="H228">
        <v>4</v>
      </c>
      <c r="I228">
        <v>11.57</v>
      </c>
      <c r="J228">
        <v>-0.95</v>
      </c>
      <c r="K228">
        <v>-4.65</v>
      </c>
      <c r="L228">
        <v>0</v>
      </c>
      <c r="M228">
        <v>0</v>
      </c>
      <c r="N228">
        <v>0</v>
      </c>
      <c r="O228">
        <v>0</v>
      </c>
      <c r="P228" s="2">
        <f>(H228 + J228) - (L228 + N228)</f>
        <v>0</v>
      </c>
      <c r="Q228" s="2">
        <f>P228 * G228</f>
        <v>0</v>
      </c>
      <c r="R228">
        <v>4</v>
      </c>
      <c r="S228" s="2">
        <f>R228 * G228</f>
        <v>0</v>
      </c>
      <c r="T228" s="2">
        <f>(H228 + J228) - (L228 + N228) - R228</f>
        <v>0</v>
      </c>
      <c r="U228" s="2">
        <f>T228 * G228</f>
        <v>0</v>
      </c>
      <c r="V228" s="2">
        <f>I228 + K228 - S228</f>
        <v>0</v>
      </c>
      <c r="W228" s="2">
        <f>M228 - V228</f>
        <v>0</v>
      </c>
      <c r="X228" s="2">
        <f>IFERROR(W228 / M228 * 100, 0)</f>
        <v>0</v>
      </c>
    </row>
    <row r="229" spans="1:24">
      <c r="A229" t="s">
        <v>2893</v>
      </c>
      <c r="B229" t="s">
        <v>512</v>
      </c>
      <c r="C229" t="s">
        <v>3386</v>
      </c>
      <c r="D229" t="s">
        <v>1007</v>
      </c>
      <c r="E229" t="s">
        <v>3652</v>
      </c>
      <c r="F229" t="s">
        <v>3881</v>
      </c>
      <c r="G229">
        <v>20</v>
      </c>
      <c r="H229">
        <v>0</v>
      </c>
      <c r="I229">
        <v>0</v>
      </c>
      <c r="J229">
        <v>10</v>
      </c>
      <c r="K229">
        <v>199.99</v>
      </c>
      <c r="L229">
        <v>0</v>
      </c>
      <c r="M229">
        <v>0</v>
      </c>
      <c r="N229">
        <v>0</v>
      </c>
      <c r="O229">
        <v>0</v>
      </c>
      <c r="P229" s="2">
        <f>(H229 + J229) - (L229 + N229)</f>
        <v>0</v>
      </c>
      <c r="Q229" s="2">
        <f>P229 * G229</f>
        <v>0</v>
      </c>
      <c r="R229">
        <v>0</v>
      </c>
      <c r="S229" s="2">
        <f>R229 * G229</f>
        <v>0</v>
      </c>
      <c r="T229" s="2">
        <f>(H229 + J229) - (L229 + N229) - R229</f>
        <v>0</v>
      </c>
      <c r="U229" s="2">
        <f>T229 * G229</f>
        <v>0</v>
      </c>
      <c r="V229" s="2">
        <f>I229 + K229 - S229</f>
        <v>0</v>
      </c>
      <c r="W229" s="2">
        <f>M229 - V229</f>
        <v>0</v>
      </c>
      <c r="X229" s="2">
        <f>IFERROR(W229 / M229 * 100, 0)</f>
        <v>0</v>
      </c>
    </row>
    <row r="230" spans="1:24">
      <c r="A230" t="s">
        <v>2894</v>
      </c>
      <c r="B230" t="s">
        <v>512</v>
      </c>
      <c r="C230" t="s">
        <v>3387</v>
      </c>
      <c r="D230" t="s">
        <v>1007</v>
      </c>
      <c r="E230" t="s">
        <v>3652</v>
      </c>
      <c r="F230" t="s">
        <v>3882</v>
      </c>
      <c r="G230">
        <v>35.15</v>
      </c>
      <c r="H230">
        <v>2</v>
      </c>
      <c r="I230">
        <v>70.31</v>
      </c>
      <c r="J230">
        <v>-20.67</v>
      </c>
      <c r="K230">
        <v>-726.37</v>
      </c>
      <c r="L230">
        <v>0</v>
      </c>
      <c r="M230">
        <v>0</v>
      </c>
      <c r="N230">
        <v>0</v>
      </c>
      <c r="O230">
        <v>0</v>
      </c>
      <c r="P230" s="2">
        <f>(H230 + J230) - (L230 + N230)</f>
        <v>0</v>
      </c>
      <c r="Q230" s="2">
        <f>P230 * G230</f>
        <v>0</v>
      </c>
      <c r="R230">
        <v>2</v>
      </c>
      <c r="S230" s="2">
        <f>R230 * G230</f>
        <v>0</v>
      </c>
      <c r="T230" s="2">
        <f>(H230 + J230) - (L230 + N230) - R230</f>
        <v>0</v>
      </c>
      <c r="U230" s="2">
        <f>T230 * G230</f>
        <v>0</v>
      </c>
      <c r="V230" s="2">
        <f>I230 + K230 - S230</f>
        <v>0</v>
      </c>
      <c r="W230" s="2">
        <f>M230 - V230</f>
        <v>0</v>
      </c>
      <c r="X230" s="2">
        <f>IFERROR(W230 / M230 * 100, 0)</f>
        <v>0</v>
      </c>
    </row>
    <row r="231" spans="1:24">
      <c r="A231" t="s">
        <v>2895</v>
      </c>
      <c r="B231" t="s">
        <v>512</v>
      </c>
      <c r="C231" t="s">
        <v>3388</v>
      </c>
      <c r="D231" t="s">
        <v>1007</v>
      </c>
      <c r="E231" t="s">
        <v>3652</v>
      </c>
      <c r="F231" t="s">
        <v>3883</v>
      </c>
      <c r="G231">
        <v>4.31</v>
      </c>
      <c r="H231">
        <v>0</v>
      </c>
      <c r="I231">
        <v>0</v>
      </c>
      <c r="J231">
        <v>272.7</v>
      </c>
      <c r="K231">
        <v>1167.44</v>
      </c>
      <c r="L231">
        <v>0</v>
      </c>
      <c r="M231">
        <v>0</v>
      </c>
      <c r="N231">
        <v>0</v>
      </c>
      <c r="O231">
        <v>0</v>
      </c>
      <c r="P231" s="2">
        <f>(H231 + J231) - (L231 + N231)</f>
        <v>0</v>
      </c>
      <c r="Q231" s="2">
        <f>P231 * G231</f>
        <v>0</v>
      </c>
      <c r="R231">
        <v>95</v>
      </c>
      <c r="S231" s="2">
        <f>R231 * G231</f>
        <v>0</v>
      </c>
      <c r="T231" s="2">
        <f>(H231 + J231) - (L231 + N231) - R231</f>
        <v>0</v>
      </c>
      <c r="U231" s="2">
        <f>T231 * G231</f>
        <v>0</v>
      </c>
      <c r="V231" s="2">
        <f>I231 + K231 - S231</f>
        <v>0</v>
      </c>
      <c r="W231" s="2">
        <f>M231 - V231</f>
        <v>0</v>
      </c>
      <c r="X231" s="2">
        <f>IFERROR(W231 / M231 * 100, 0)</f>
        <v>0</v>
      </c>
    </row>
    <row r="232" spans="1:24">
      <c r="A232" t="s">
        <v>2896</v>
      </c>
      <c r="B232" t="s">
        <v>512</v>
      </c>
      <c r="C232" t="s">
        <v>3389</v>
      </c>
      <c r="D232" t="s">
        <v>1007</v>
      </c>
      <c r="E232" t="s">
        <v>3652</v>
      </c>
      <c r="F232" t="s">
        <v>3884</v>
      </c>
      <c r="G232">
        <v>50.75</v>
      </c>
      <c r="H232">
        <v>1</v>
      </c>
      <c r="I232">
        <v>50.6</v>
      </c>
      <c r="J232">
        <v>-14.65</v>
      </c>
      <c r="K232">
        <v>-742.76</v>
      </c>
      <c r="L232">
        <v>0</v>
      </c>
      <c r="M232">
        <v>0</v>
      </c>
      <c r="N232">
        <v>0</v>
      </c>
      <c r="O232">
        <v>0</v>
      </c>
      <c r="P232" s="2">
        <f>(H232 + J232) - (L232 + N232)</f>
        <v>0</v>
      </c>
      <c r="Q232" s="2">
        <f>P232 * G232</f>
        <v>0</v>
      </c>
      <c r="R232">
        <v>1</v>
      </c>
      <c r="S232" s="2">
        <f>R232 * G232</f>
        <v>0</v>
      </c>
      <c r="T232" s="2">
        <f>(H232 + J232) - (L232 + N232) - R232</f>
        <v>0</v>
      </c>
      <c r="U232" s="2">
        <f>T232 * G232</f>
        <v>0</v>
      </c>
      <c r="V232" s="2">
        <f>I232 + K232 - S232</f>
        <v>0</v>
      </c>
      <c r="W232" s="2">
        <f>M232 - V232</f>
        <v>0</v>
      </c>
      <c r="X232" s="2">
        <f>IFERROR(W232 / M232 * 100, 0)</f>
        <v>0</v>
      </c>
    </row>
    <row r="233" spans="1:24">
      <c r="A233" t="s">
        <v>2897</v>
      </c>
      <c r="B233" t="s">
        <v>512</v>
      </c>
      <c r="C233" t="s">
        <v>3390</v>
      </c>
      <c r="D233" t="s">
        <v>1007</v>
      </c>
      <c r="E233" t="s">
        <v>3652</v>
      </c>
      <c r="F233" t="s">
        <v>3885</v>
      </c>
      <c r="G233">
        <v>8.68</v>
      </c>
      <c r="H233">
        <v>9</v>
      </c>
      <c r="I233">
        <v>78.13</v>
      </c>
      <c r="J233">
        <v>-3.65</v>
      </c>
      <c r="K233">
        <v>-31.67</v>
      </c>
      <c r="L233">
        <v>0</v>
      </c>
      <c r="M233">
        <v>0</v>
      </c>
      <c r="N233">
        <v>0</v>
      </c>
      <c r="O233">
        <v>0</v>
      </c>
      <c r="P233" s="2">
        <f>(H233 + J233) - (L233 + N233)</f>
        <v>0</v>
      </c>
      <c r="Q233" s="2">
        <f>P233 * G233</f>
        <v>0</v>
      </c>
      <c r="R233">
        <v>0</v>
      </c>
      <c r="S233" s="2">
        <f>R233 * G233</f>
        <v>0</v>
      </c>
      <c r="T233" s="2">
        <f>(H233 + J233) - (L233 + N233) - R233</f>
        <v>0</v>
      </c>
      <c r="U233" s="2">
        <f>T233 * G233</f>
        <v>0</v>
      </c>
      <c r="V233" s="2">
        <f>I233 + K233 - S233</f>
        <v>0</v>
      </c>
      <c r="W233" s="2">
        <f>M233 - V233</f>
        <v>0</v>
      </c>
      <c r="X233" s="2">
        <f>IFERROR(W233 / M233 * 100, 0)</f>
        <v>0</v>
      </c>
    </row>
    <row r="234" spans="1:24">
      <c r="A234" t="s">
        <v>2898</v>
      </c>
      <c r="B234" t="s">
        <v>512</v>
      </c>
      <c r="C234" t="s">
        <v>3391</v>
      </c>
      <c r="D234" t="s">
        <v>1007</v>
      </c>
      <c r="E234" t="s">
        <v>3652</v>
      </c>
      <c r="F234" t="s">
        <v>3886</v>
      </c>
      <c r="G234">
        <v>15</v>
      </c>
      <c r="H234">
        <v>2</v>
      </c>
      <c r="I234">
        <v>34.79</v>
      </c>
      <c r="J234">
        <v>-1.43</v>
      </c>
      <c r="K234">
        <v>-21.6</v>
      </c>
      <c r="L234">
        <v>0</v>
      </c>
      <c r="M234">
        <v>0</v>
      </c>
      <c r="N234">
        <v>0</v>
      </c>
      <c r="O234">
        <v>0</v>
      </c>
      <c r="P234" s="2">
        <f>(H234 + J234) - (L234 + N234)</f>
        <v>0</v>
      </c>
      <c r="Q234" s="2">
        <f>P234 * G234</f>
        <v>0</v>
      </c>
      <c r="R234">
        <v>9</v>
      </c>
      <c r="S234" s="2">
        <f>R234 * G234</f>
        <v>0</v>
      </c>
      <c r="T234" s="2">
        <f>(H234 + J234) - (L234 + N234) - R234</f>
        <v>0</v>
      </c>
      <c r="U234" s="2">
        <f>T234 * G234</f>
        <v>0</v>
      </c>
      <c r="V234" s="2">
        <f>I234 + K234 - S234</f>
        <v>0</v>
      </c>
      <c r="W234" s="2">
        <f>M234 - V234</f>
        <v>0</v>
      </c>
      <c r="X234" s="2">
        <f>IFERROR(W234 / M234 * 100, 0)</f>
        <v>0</v>
      </c>
    </row>
    <row r="235" spans="1:24">
      <c r="A235" t="s">
        <v>2899</v>
      </c>
      <c r="B235" t="s">
        <v>512</v>
      </c>
      <c r="C235" t="s">
        <v>3392</v>
      </c>
      <c r="D235" t="s">
        <v>1007</v>
      </c>
      <c r="E235" t="s">
        <v>3652</v>
      </c>
      <c r="F235" t="s">
        <v>3887</v>
      </c>
      <c r="G235">
        <v>13.01</v>
      </c>
      <c r="H235">
        <v>1</v>
      </c>
      <c r="I235">
        <v>13</v>
      </c>
      <c r="J235">
        <v>-3.93</v>
      </c>
      <c r="K235">
        <v>-51.11</v>
      </c>
      <c r="L235">
        <v>0</v>
      </c>
      <c r="M235">
        <v>0</v>
      </c>
      <c r="N235">
        <v>0</v>
      </c>
      <c r="O235">
        <v>0</v>
      </c>
      <c r="P235" s="2">
        <f>(H235 + J235) - (L235 + N235)</f>
        <v>0</v>
      </c>
      <c r="Q235" s="2">
        <f>P235 * G235</f>
        <v>0</v>
      </c>
      <c r="R235">
        <v>0</v>
      </c>
      <c r="S235" s="2">
        <f>R235 * G235</f>
        <v>0</v>
      </c>
      <c r="T235" s="2">
        <f>(H235 + J235) - (L235 + N235) - R235</f>
        <v>0</v>
      </c>
      <c r="U235" s="2">
        <f>T235 * G235</f>
        <v>0</v>
      </c>
      <c r="V235" s="2">
        <f>I235 + K235 - S235</f>
        <v>0</v>
      </c>
      <c r="W235" s="2">
        <f>M235 - V235</f>
        <v>0</v>
      </c>
      <c r="X235" s="2">
        <f>IFERROR(W235 / M235 * 100, 0)</f>
        <v>0</v>
      </c>
    </row>
    <row r="236" spans="1:24">
      <c r="A236" t="s">
        <v>2900</v>
      </c>
      <c r="B236" t="s">
        <v>512</v>
      </c>
      <c r="C236" t="s">
        <v>3393</v>
      </c>
      <c r="D236" t="s">
        <v>1007</v>
      </c>
      <c r="E236" t="s">
        <v>3652</v>
      </c>
      <c r="F236" t="s">
        <v>3888</v>
      </c>
      <c r="G236">
        <v>10.94</v>
      </c>
      <c r="H236">
        <v>3</v>
      </c>
      <c r="I236">
        <v>32.83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s="2">
        <f>(H236 + J236) - (L236 + N236)</f>
        <v>0</v>
      </c>
      <c r="Q236" s="2">
        <f>P236 * G236</f>
        <v>0</v>
      </c>
      <c r="R236">
        <v>2</v>
      </c>
      <c r="S236" s="2">
        <f>R236 * G236</f>
        <v>0</v>
      </c>
      <c r="T236" s="2">
        <f>(H236 + J236) - (L236 + N236) - R236</f>
        <v>0</v>
      </c>
      <c r="U236" s="2">
        <f>T236 * G236</f>
        <v>0</v>
      </c>
      <c r="V236" s="2">
        <f>I236 + K236 - S236</f>
        <v>0</v>
      </c>
      <c r="W236" s="2">
        <f>M236 - V236</f>
        <v>0</v>
      </c>
      <c r="X236" s="2">
        <f>IFERROR(W236 / M236 * 100, 0)</f>
        <v>0</v>
      </c>
    </row>
    <row r="237" spans="1:24">
      <c r="A237" t="s">
        <v>2901</v>
      </c>
      <c r="B237" t="s">
        <v>512</v>
      </c>
      <c r="C237" t="s">
        <v>3394</v>
      </c>
      <c r="D237" t="s">
        <v>1007</v>
      </c>
      <c r="E237" t="s">
        <v>3652</v>
      </c>
      <c r="F237" t="s">
        <v>3889</v>
      </c>
      <c r="G237">
        <v>16</v>
      </c>
      <c r="H237">
        <v>10</v>
      </c>
      <c r="I237">
        <v>150</v>
      </c>
      <c r="J237">
        <v>-125.94</v>
      </c>
      <c r="K237">
        <v>-2008.17</v>
      </c>
      <c r="L237">
        <v>0</v>
      </c>
      <c r="M237">
        <v>0</v>
      </c>
      <c r="N237">
        <v>0</v>
      </c>
      <c r="O237">
        <v>0</v>
      </c>
      <c r="P237" s="2">
        <f>(H237 + J237) - (L237 + N237)</f>
        <v>0</v>
      </c>
      <c r="Q237" s="2">
        <f>P237 * G237</f>
        <v>0</v>
      </c>
      <c r="R237">
        <v>5</v>
      </c>
      <c r="S237" s="2">
        <f>R237 * G237</f>
        <v>0</v>
      </c>
      <c r="T237" s="2">
        <f>(H237 + J237) - (L237 + N237) - R237</f>
        <v>0</v>
      </c>
      <c r="U237" s="2">
        <f>T237 * G237</f>
        <v>0</v>
      </c>
      <c r="V237" s="2">
        <f>I237 + K237 - S237</f>
        <v>0</v>
      </c>
      <c r="W237" s="2">
        <f>M237 - V237</f>
        <v>0</v>
      </c>
      <c r="X237" s="2">
        <f>IFERROR(W237 / M237 * 100, 0)</f>
        <v>0</v>
      </c>
    </row>
    <row r="238" spans="1:24">
      <c r="A238" t="s">
        <v>2902</v>
      </c>
      <c r="B238" t="s">
        <v>512</v>
      </c>
      <c r="C238" t="s">
        <v>3395</v>
      </c>
      <c r="D238" t="s">
        <v>1007</v>
      </c>
      <c r="E238" t="s">
        <v>3652</v>
      </c>
      <c r="F238" t="s">
        <v>3890</v>
      </c>
      <c r="G238">
        <v>3.6</v>
      </c>
      <c r="H238">
        <v>5</v>
      </c>
      <c r="I238">
        <v>21.08</v>
      </c>
      <c r="J238">
        <v>-82.06</v>
      </c>
      <c r="K238">
        <v>-303.48</v>
      </c>
      <c r="L238">
        <v>0</v>
      </c>
      <c r="M238">
        <v>0</v>
      </c>
      <c r="N238">
        <v>0</v>
      </c>
      <c r="O238">
        <v>0</v>
      </c>
      <c r="P238" s="2">
        <f>(H238 + J238) - (L238 + N238)</f>
        <v>0</v>
      </c>
      <c r="Q238" s="2">
        <f>P238 * G238</f>
        <v>0</v>
      </c>
      <c r="R238">
        <v>2</v>
      </c>
      <c r="S238" s="2">
        <f>R238 * G238</f>
        <v>0</v>
      </c>
      <c r="T238" s="2">
        <f>(H238 + J238) - (L238 + N238) - R238</f>
        <v>0</v>
      </c>
      <c r="U238" s="2">
        <f>T238 * G238</f>
        <v>0</v>
      </c>
      <c r="V238" s="2">
        <f>I238 + K238 - S238</f>
        <v>0</v>
      </c>
      <c r="W238" s="2">
        <f>M238 - V238</f>
        <v>0</v>
      </c>
      <c r="X238" s="2">
        <f>IFERROR(W238 / M238 * 100, 0)</f>
        <v>0</v>
      </c>
    </row>
    <row r="239" spans="1:24">
      <c r="A239" t="s">
        <v>2903</v>
      </c>
      <c r="B239" t="s">
        <v>512</v>
      </c>
      <c r="C239" t="s">
        <v>3396</v>
      </c>
      <c r="D239" t="s">
        <v>1007</v>
      </c>
      <c r="E239" t="s">
        <v>3652</v>
      </c>
      <c r="F239" t="s">
        <v>3891</v>
      </c>
      <c r="G239">
        <v>19.5</v>
      </c>
      <c r="H239">
        <v>1</v>
      </c>
      <c r="I239">
        <v>19.5</v>
      </c>
      <c r="J239">
        <v>-2.29</v>
      </c>
      <c r="K239">
        <v>-44.55</v>
      </c>
      <c r="L239">
        <v>0</v>
      </c>
      <c r="M239">
        <v>0</v>
      </c>
      <c r="N239">
        <v>0</v>
      </c>
      <c r="O239">
        <v>0</v>
      </c>
      <c r="P239" s="2">
        <f>(H239 + J239) - (L239 + N239)</f>
        <v>0</v>
      </c>
      <c r="Q239" s="2">
        <f>P239 * G239</f>
        <v>0</v>
      </c>
      <c r="R239">
        <v>1</v>
      </c>
      <c r="S239" s="2">
        <f>R239 * G239</f>
        <v>0</v>
      </c>
      <c r="T239" s="2">
        <f>(H239 + J239) - (L239 + N239) - R239</f>
        <v>0</v>
      </c>
      <c r="U239" s="2">
        <f>T239 * G239</f>
        <v>0</v>
      </c>
      <c r="V239" s="2">
        <f>I239 + K239 - S239</f>
        <v>0</v>
      </c>
      <c r="W239" s="2">
        <f>M239 - V239</f>
        <v>0</v>
      </c>
      <c r="X239" s="2">
        <f>IFERROR(W239 / M239 * 100, 0)</f>
        <v>0</v>
      </c>
    </row>
    <row r="240" spans="1:24">
      <c r="A240" t="s">
        <v>2904</v>
      </c>
      <c r="B240" t="s">
        <v>512</v>
      </c>
      <c r="C240" t="s">
        <v>3397</v>
      </c>
      <c r="D240" t="s">
        <v>1007</v>
      </c>
      <c r="E240" t="s">
        <v>3652</v>
      </c>
      <c r="F240" t="s">
        <v>3892</v>
      </c>
      <c r="G240">
        <v>14</v>
      </c>
      <c r="H240">
        <v>3</v>
      </c>
      <c r="I240">
        <v>42</v>
      </c>
      <c r="J240">
        <v>-2.4</v>
      </c>
      <c r="K240">
        <v>-33.62</v>
      </c>
      <c r="L240">
        <v>0</v>
      </c>
      <c r="M240">
        <v>0</v>
      </c>
      <c r="N240">
        <v>0</v>
      </c>
      <c r="O240">
        <v>0</v>
      </c>
      <c r="P240" s="2">
        <f>(H240 + J240) - (L240 + N240)</f>
        <v>0</v>
      </c>
      <c r="Q240" s="2">
        <f>P240 * G240</f>
        <v>0</v>
      </c>
      <c r="R240">
        <v>1</v>
      </c>
      <c r="S240" s="2">
        <f>R240 * G240</f>
        <v>0</v>
      </c>
      <c r="T240" s="2">
        <f>(H240 + J240) - (L240 + N240) - R240</f>
        <v>0</v>
      </c>
      <c r="U240" s="2">
        <f>T240 * G240</f>
        <v>0</v>
      </c>
      <c r="V240" s="2">
        <f>I240 + K240 - S240</f>
        <v>0</v>
      </c>
      <c r="W240" s="2">
        <f>M240 - V240</f>
        <v>0</v>
      </c>
      <c r="X240" s="2">
        <f>IFERROR(W240 / M240 * 100, 0)</f>
        <v>0</v>
      </c>
    </row>
    <row r="241" spans="1:24">
      <c r="A241" t="s">
        <v>2905</v>
      </c>
      <c r="B241" t="s">
        <v>512</v>
      </c>
      <c r="C241" t="s">
        <v>3398</v>
      </c>
      <c r="D241" t="s">
        <v>1007</v>
      </c>
      <c r="E241" t="s">
        <v>3652</v>
      </c>
      <c r="F241" t="s">
        <v>3893</v>
      </c>
      <c r="G241">
        <v>24.85</v>
      </c>
      <c r="H241">
        <v>5</v>
      </c>
      <c r="I241">
        <v>124.24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s="2">
        <f>(H241 + J241) - (L241 + N241)</f>
        <v>0</v>
      </c>
      <c r="Q241" s="2">
        <f>P241 * G241</f>
        <v>0</v>
      </c>
      <c r="R241">
        <v>0</v>
      </c>
      <c r="S241" s="2">
        <f>R241 * G241</f>
        <v>0</v>
      </c>
      <c r="T241" s="2">
        <f>(H241 + J241) - (L241 + N241) - R241</f>
        <v>0</v>
      </c>
      <c r="U241" s="2">
        <f>T241 * G241</f>
        <v>0</v>
      </c>
      <c r="V241" s="2">
        <f>I241 + K241 - S241</f>
        <v>0</v>
      </c>
      <c r="W241" s="2">
        <f>M241 - V241</f>
        <v>0</v>
      </c>
      <c r="X241" s="2">
        <f>IFERROR(W241 / M241 * 100, 0)</f>
        <v>0</v>
      </c>
    </row>
    <row r="242" spans="1:24">
      <c r="A242" t="s">
        <v>2906</v>
      </c>
      <c r="B242" t="s">
        <v>512</v>
      </c>
      <c r="C242" t="s">
        <v>3399</v>
      </c>
      <c r="D242" t="s">
        <v>1007</v>
      </c>
      <c r="E242" t="s">
        <v>3652</v>
      </c>
      <c r="F242" t="s">
        <v>3894</v>
      </c>
      <c r="G242">
        <v>12.5</v>
      </c>
      <c r="H242">
        <v>0</v>
      </c>
      <c r="I242">
        <v>0</v>
      </c>
      <c r="J242">
        <v>-43.8</v>
      </c>
      <c r="K242">
        <v>-547.4400000000001</v>
      </c>
      <c r="L242">
        <v>0</v>
      </c>
      <c r="M242">
        <v>0</v>
      </c>
      <c r="N242">
        <v>0</v>
      </c>
      <c r="O242">
        <v>0</v>
      </c>
      <c r="P242" s="2">
        <f>(H242 + J242) - (L242 + N242)</f>
        <v>0</v>
      </c>
      <c r="Q242" s="2">
        <f>P242 * G242</f>
        <v>0</v>
      </c>
      <c r="R242">
        <v>0</v>
      </c>
      <c r="S242" s="2">
        <f>R242 * G242</f>
        <v>0</v>
      </c>
      <c r="T242" s="2">
        <f>(H242 + J242) - (L242 + N242) - R242</f>
        <v>0</v>
      </c>
      <c r="U242" s="2">
        <f>T242 * G242</f>
        <v>0</v>
      </c>
      <c r="V242" s="2">
        <f>I242 + K242 - S242</f>
        <v>0</v>
      </c>
      <c r="W242" s="2">
        <f>M242 - V242</f>
        <v>0</v>
      </c>
      <c r="X242" s="2">
        <f>IFERROR(W242 / M242 * 100, 0)</f>
        <v>0</v>
      </c>
    </row>
    <row r="243" spans="1:24">
      <c r="A243" t="s">
        <v>2907</v>
      </c>
      <c r="B243" t="s">
        <v>512</v>
      </c>
      <c r="C243" t="s">
        <v>3400</v>
      </c>
      <c r="D243" t="s">
        <v>1007</v>
      </c>
      <c r="E243" t="s">
        <v>3652</v>
      </c>
      <c r="F243" t="s">
        <v>3895</v>
      </c>
      <c r="G243">
        <v>18.04</v>
      </c>
      <c r="H243">
        <v>1</v>
      </c>
      <c r="I243">
        <v>18.04</v>
      </c>
      <c r="J243">
        <v>-0.93</v>
      </c>
      <c r="K243">
        <v>-16.81</v>
      </c>
      <c r="L243">
        <v>0</v>
      </c>
      <c r="M243">
        <v>0</v>
      </c>
      <c r="N243">
        <v>0</v>
      </c>
      <c r="O243">
        <v>0</v>
      </c>
      <c r="P243" s="2">
        <f>(H243 + J243) - (L243 + N243)</f>
        <v>0</v>
      </c>
      <c r="Q243" s="2">
        <f>P243 * G243</f>
        <v>0</v>
      </c>
      <c r="R243">
        <v>1</v>
      </c>
      <c r="S243" s="2">
        <f>R243 * G243</f>
        <v>0</v>
      </c>
      <c r="T243" s="2">
        <f>(H243 + J243) - (L243 + N243) - R243</f>
        <v>0</v>
      </c>
      <c r="U243" s="2">
        <f>T243 * G243</f>
        <v>0</v>
      </c>
      <c r="V243" s="2">
        <f>I243 + K243 - S243</f>
        <v>0</v>
      </c>
      <c r="W243" s="2">
        <f>M243 - V243</f>
        <v>0</v>
      </c>
      <c r="X243" s="2">
        <f>IFERROR(W243 / M243 * 100, 0)</f>
        <v>0</v>
      </c>
    </row>
    <row r="244" spans="1:24">
      <c r="A244" t="s">
        <v>2908</v>
      </c>
      <c r="B244" t="s">
        <v>512</v>
      </c>
      <c r="C244" t="s">
        <v>3401</v>
      </c>
      <c r="D244" t="s">
        <v>1007</v>
      </c>
      <c r="E244" t="s">
        <v>3652</v>
      </c>
      <c r="F244" t="s">
        <v>3896</v>
      </c>
      <c r="G244">
        <v>7.36</v>
      </c>
      <c r="H244">
        <v>30</v>
      </c>
      <c r="I244">
        <v>207.78</v>
      </c>
      <c r="J244">
        <v>43.58</v>
      </c>
      <c r="K244">
        <v>334.15</v>
      </c>
      <c r="L244">
        <v>0</v>
      </c>
      <c r="M244">
        <v>0</v>
      </c>
      <c r="N244">
        <v>0</v>
      </c>
      <c r="O244">
        <v>0</v>
      </c>
      <c r="P244" s="2">
        <f>(H244 + J244) - (L244 + N244)</f>
        <v>0</v>
      </c>
      <c r="Q244" s="2">
        <f>P244 * G244</f>
        <v>0</v>
      </c>
      <c r="R244">
        <v>13</v>
      </c>
      <c r="S244" s="2">
        <f>R244 * G244</f>
        <v>0</v>
      </c>
      <c r="T244" s="2">
        <f>(H244 + J244) - (L244 + N244) - R244</f>
        <v>0</v>
      </c>
      <c r="U244" s="2">
        <f>T244 * G244</f>
        <v>0</v>
      </c>
      <c r="V244" s="2">
        <f>I244 + K244 - S244</f>
        <v>0</v>
      </c>
      <c r="W244" s="2">
        <f>M244 - V244</f>
        <v>0</v>
      </c>
      <c r="X244" s="2">
        <f>IFERROR(W244 / M244 * 100, 0)</f>
        <v>0</v>
      </c>
    </row>
    <row r="245" spans="1:24">
      <c r="A245" t="s">
        <v>2909</v>
      </c>
      <c r="B245" t="s">
        <v>513</v>
      </c>
      <c r="C245" t="s">
        <v>3402</v>
      </c>
      <c r="D245" t="s">
        <v>1007</v>
      </c>
      <c r="E245" t="s">
        <v>3652</v>
      </c>
      <c r="F245" t="s">
        <v>3897</v>
      </c>
      <c r="G245">
        <v>0</v>
      </c>
      <c r="H245">
        <v>14</v>
      </c>
      <c r="I245">
        <v>0</v>
      </c>
      <c r="J245">
        <v>0</v>
      </c>
      <c r="K245">
        <v>0</v>
      </c>
      <c r="L245">
        <v>3.44</v>
      </c>
      <c r="M245">
        <v>103.05</v>
      </c>
      <c r="N245">
        <v>0</v>
      </c>
      <c r="O245">
        <v>0</v>
      </c>
      <c r="P245" s="2">
        <f>(H245 + J245) - (L245 + N245)</f>
        <v>0</v>
      </c>
      <c r="Q245" s="2">
        <f>P245 * G245</f>
        <v>0</v>
      </c>
      <c r="R245">
        <v>10</v>
      </c>
      <c r="S245" s="2">
        <f>R245 * G245</f>
        <v>0</v>
      </c>
      <c r="T245" s="2">
        <f>(H245 + J245) - (L245 + N245) - R245</f>
        <v>0</v>
      </c>
      <c r="U245" s="2">
        <f>T245 * G245</f>
        <v>0</v>
      </c>
      <c r="V245" s="2">
        <f>I245 + K245 - S245</f>
        <v>0</v>
      </c>
      <c r="W245" s="2">
        <f>M245 - V245</f>
        <v>0</v>
      </c>
      <c r="X245" s="2">
        <f>IFERROR(W245 / M245 * 100, 0)</f>
        <v>0</v>
      </c>
    </row>
    <row r="246" spans="1:24">
      <c r="A246" t="s">
        <v>2910</v>
      </c>
      <c r="B246" t="s">
        <v>512</v>
      </c>
      <c r="C246" t="s">
        <v>3403</v>
      </c>
      <c r="D246" t="s">
        <v>1007</v>
      </c>
      <c r="E246" t="s">
        <v>3652</v>
      </c>
      <c r="F246" t="s">
        <v>3898</v>
      </c>
      <c r="G246">
        <v>31.84</v>
      </c>
      <c r="H246">
        <v>0</v>
      </c>
      <c r="I246">
        <v>0</v>
      </c>
      <c r="J246">
        <v>0.5</v>
      </c>
      <c r="K246">
        <v>15.92</v>
      </c>
      <c r="L246">
        <v>0</v>
      </c>
      <c r="M246">
        <v>0</v>
      </c>
      <c r="N246">
        <v>0</v>
      </c>
      <c r="O246">
        <v>0</v>
      </c>
      <c r="P246" s="2">
        <f>(H246 + J246) - (L246 + N246)</f>
        <v>0</v>
      </c>
      <c r="Q246" s="2">
        <f>P246 * G246</f>
        <v>0</v>
      </c>
      <c r="R246">
        <v>0</v>
      </c>
      <c r="S246" s="2">
        <f>R246 * G246</f>
        <v>0</v>
      </c>
      <c r="T246" s="2">
        <f>(H246 + J246) - (L246 + N246) - R246</f>
        <v>0</v>
      </c>
      <c r="U246" s="2">
        <f>T246 * G246</f>
        <v>0</v>
      </c>
      <c r="V246" s="2">
        <f>I246 + K246 - S246</f>
        <v>0</v>
      </c>
      <c r="W246" s="2">
        <f>M246 - V246</f>
        <v>0</v>
      </c>
      <c r="X246" s="2">
        <f>IFERROR(W246 / M246 * 100, 0)</f>
        <v>0</v>
      </c>
    </row>
    <row r="247" spans="1:24">
      <c r="A247" t="s">
        <v>2911</v>
      </c>
      <c r="B247" t="s">
        <v>512</v>
      </c>
      <c r="C247" t="s">
        <v>3404</v>
      </c>
      <c r="D247" t="s">
        <v>1007</v>
      </c>
      <c r="E247" t="s">
        <v>3652</v>
      </c>
      <c r="F247" t="s">
        <v>3899</v>
      </c>
      <c r="G247">
        <v>25.99</v>
      </c>
      <c r="H247">
        <v>0</v>
      </c>
      <c r="I247">
        <v>0</v>
      </c>
      <c r="J247">
        <v>0.2</v>
      </c>
      <c r="K247">
        <v>5.2</v>
      </c>
      <c r="L247">
        <v>0</v>
      </c>
      <c r="M247">
        <v>0</v>
      </c>
      <c r="N247">
        <v>0</v>
      </c>
      <c r="O247">
        <v>0</v>
      </c>
      <c r="P247" s="2">
        <f>(H247 + J247) - (L247 + N247)</f>
        <v>0</v>
      </c>
      <c r="Q247" s="2">
        <f>P247 * G247</f>
        <v>0</v>
      </c>
      <c r="R247">
        <v>0</v>
      </c>
      <c r="S247" s="2">
        <f>R247 * G247</f>
        <v>0</v>
      </c>
      <c r="T247" s="2">
        <f>(H247 + J247) - (L247 + N247) - R247</f>
        <v>0</v>
      </c>
      <c r="U247" s="2">
        <f>T247 * G247</f>
        <v>0</v>
      </c>
      <c r="V247" s="2">
        <f>I247 + K247 - S247</f>
        <v>0</v>
      </c>
      <c r="W247" s="2">
        <f>M247 - V247</f>
        <v>0</v>
      </c>
      <c r="X247" s="2">
        <f>IFERROR(W247 / M247 * 100, 0)</f>
        <v>0</v>
      </c>
    </row>
    <row r="248" spans="1:24">
      <c r="A248" t="s">
        <v>2912</v>
      </c>
      <c r="B248" t="s">
        <v>512</v>
      </c>
      <c r="C248" t="s">
        <v>3405</v>
      </c>
      <c r="D248" t="s">
        <v>1007</v>
      </c>
      <c r="E248" t="s">
        <v>3652</v>
      </c>
      <c r="F248" t="s">
        <v>3900</v>
      </c>
      <c r="G248">
        <v>4.92</v>
      </c>
      <c r="H248">
        <v>0</v>
      </c>
      <c r="I248">
        <v>0</v>
      </c>
      <c r="J248">
        <v>1.5</v>
      </c>
      <c r="K248">
        <v>7.39</v>
      </c>
      <c r="L248">
        <v>0</v>
      </c>
      <c r="M248">
        <v>0</v>
      </c>
      <c r="N248">
        <v>0</v>
      </c>
      <c r="O248">
        <v>0</v>
      </c>
      <c r="P248" s="2">
        <f>(H248 + J248) - (L248 + N248)</f>
        <v>0</v>
      </c>
      <c r="Q248" s="2">
        <f>P248 * G248</f>
        <v>0</v>
      </c>
      <c r="R248">
        <v>15</v>
      </c>
      <c r="S248" s="2">
        <f>R248 * G248</f>
        <v>0</v>
      </c>
      <c r="T248" s="2">
        <f>(H248 + J248) - (L248 + N248) - R248</f>
        <v>0</v>
      </c>
      <c r="U248" s="2">
        <f>T248 * G248</f>
        <v>0</v>
      </c>
      <c r="V248" s="2">
        <f>I248 + K248 - S248</f>
        <v>0</v>
      </c>
      <c r="W248" s="2">
        <f>M248 - V248</f>
        <v>0</v>
      </c>
      <c r="X248" s="2">
        <f>IFERROR(W248 / M248 * 100, 0)</f>
        <v>0</v>
      </c>
    </row>
    <row r="249" spans="1:24">
      <c r="A249" t="s">
        <v>2913</v>
      </c>
      <c r="B249" t="s">
        <v>512</v>
      </c>
      <c r="C249" t="s">
        <v>3406</v>
      </c>
      <c r="D249" t="s">
        <v>1008</v>
      </c>
      <c r="E249" t="s">
        <v>3652</v>
      </c>
      <c r="F249" t="s">
        <v>3901</v>
      </c>
      <c r="G249">
        <v>1.47</v>
      </c>
      <c r="H249">
        <v>0</v>
      </c>
      <c r="I249">
        <v>0</v>
      </c>
      <c r="J249">
        <v>113</v>
      </c>
      <c r="K249">
        <v>166.57</v>
      </c>
      <c r="L249">
        <v>0</v>
      </c>
      <c r="M249">
        <v>0</v>
      </c>
      <c r="N249">
        <v>0</v>
      </c>
      <c r="O249">
        <v>0</v>
      </c>
      <c r="P249" s="2">
        <f>(H249 + J249) - (L249 + N249)</f>
        <v>0</v>
      </c>
      <c r="Q249" s="2">
        <f>P249 * G249</f>
        <v>0</v>
      </c>
      <c r="R249">
        <v>0</v>
      </c>
      <c r="S249" s="2">
        <f>R249 * G249</f>
        <v>0</v>
      </c>
      <c r="T249" s="2">
        <f>(H249 + J249) - (L249 + N249) - R249</f>
        <v>0</v>
      </c>
      <c r="U249" s="2">
        <f>T249 * G249</f>
        <v>0</v>
      </c>
      <c r="V249" s="2">
        <f>I249 + K249 - S249</f>
        <v>0</v>
      </c>
      <c r="W249" s="2">
        <f>M249 - V249</f>
        <v>0</v>
      </c>
      <c r="X249" s="2">
        <f>IFERROR(W249 / M249 * 100, 0)</f>
        <v>0</v>
      </c>
    </row>
    <row r="250" spans="1:24">
      <c r="A250" t="s">
        <v>2914</v>
      </c>
      <c r="B250" t="s">
        <v>512</v>
      </c>
      <c r="C250" t="s">
        <v>3407</v>
      </c>
      <c r="D250" t="s">
        <v>1007</v>
      </c>
      <c r="E250" t="s">
        <v>3652</v>
      </c>
      <c r="F250" t="s">
        <v>3902</v>
      </c>
      <c r="G250">
        <v>10</v>
      </c>
      <c r="H250">
        <v>2</v>
      </c>
      <c r="I250">
        <v>20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s="2">
        <f>(H250 + J250) - (L250 + N250)</f>
        <v>0</v>
      </c>
      <c r="Q250" s="2">
        <f>P250 * G250</f>
        <v>0</v>
      </c>
      <c r="R250">
        <v>0</v>
      </c>
      <c r="S250" s="2">
        <f>R250 * G250</f>
        <v>0</v>
      </c>
      <c r="T250" s="2">
        <f>(H250 + J250) - (L250 + N250) - R250</f>
        <v>0</v>
      </c>
      <c r="U250" s="2">
        <f>T250 * G250</f>
        <v>0</v>
      </c>
      <c r="V250" s="2">
        <f>I250 + K250 - S250</f>
        <v>0</v>
      </c>
      <c r="W250" s="2">
        <f>M250 - V250</f>
        <v>0</v>
      </c>
      <c r="X250" s="2">
        <f>IFERROR(W250 / M250 * 100, 0)</f>
        <v>0</v>
      </c>
    </row>
    <row r="251" spans="1:24">
      <c r="A251" t="s">
        <v>2915</v>
      </c>
      <c r="B251" t="s">
        <v>512</v>
      </c>
      <c r="C251" t="s">
        <v>3408</v>
      </c>
      <c r="D251" t="s">
        <v>1008</v>
      </c>
      <c r="E251" t="s">
        <v>3652</v>
      </c>
      <c r="F251" t="s">
        <v>3903</v>
      </c>
      <c r="G251">
        <v>455</v>
      </c>
      <c r="H251">
        <v>1</v>
      </c>
      <c r="I251">
        <v>455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s="2">
        <f>(H251 + J251) - (L251 + N251)</f>
        <v>0</v>
      </c>
      <c r="Q251" s="2">
        <f>P251 * G251</f>
        <v>0</v>
      </c>
      <c r="R251">
        <v>1</v>
      </c>
      <c r="S251" s="2">
        <f>R251 * G251</f>
        <v>0</v>
      </c>
      <c r="T251" s="2">
        <f>(H251 + J251) - (L251 + N251) - R251</f>
        <v>0</v>
      </c>
      <c r="U251" s="2">
        <f>T251 * G251</f>
        <v>0</v>
      </c>
      <c r="V251" s="2">
        <f>I251 + K251 - S251</f>
        <v>0</v>
      </c>
      <c r="W251" s="2">
        <f>M251 - V251</f>
        <v>0</v>
      </c>
      <c r="X251" s="2">
        <f>IFERROR(W251 / M251 * 100, 0)</f>
        <v>0</v>
      </c>
    </row>
    <row r="252" spans="1:24">
      <c r="A252" t="s">
        <v>2916</v>
      </c>
      <c r="B252" t="s">
        <v>513</v>
      </c>
      <c r="C252" t="s">
        <v>3409</v>
      </c>
      <c r="D252" t="s">
        <v>1007</v>
      </c>
      <c r="E252" t="s">
        <v>3652</v>
      </c>
      <c r="F252" t="s">
        <v>3904</v>
      </c>
      <c r="G252">
        <v>8.640000000000001</v>
      </c>
      <c r="H252">
        <v>5</v>
      </c>
      <c r="I252">
        <v>43.13</v>
      </c>
      <c r="J252">
        <v>6.99</v>
      </c>
      <c r="K252">
        <v>41.09</v>
      </c>
      <c r="L252">
        <v>3.29</v>
      </c>
      <c r="M252">
        <v>115.01</v>
      </c>
      <c r="N252">
        <v>0</v>
      </c>
      <c r="O252">
        <v>0</v>
      </c>
      <c r="P252" s="2">
        <f>(H252 + J252) - (L252 + N252)</f>
        <v>0</v>
      </c>
      <c r="Q252" s="2">
        <f>P252 * G252</f>
        <v>0</v>
      </c>
      <c r="R252">
        <v>0</v>
      </c>
      <c r="S252" s="2">
        <f>R252 * G252</f>
        <v>0</v>
      </c>
      <c r="T252" s="2">
        <f>(H252 + J252) - (L252 + N252) - R252</f>
        <v>0</v>
      </c>
      <c r="U252" s="2">
        <f>T252 * G252</f>
        <v>0</v>
      </c>
      <c r="V252" s="2">
        <f>I252 + K252 - S252</f>
        <v>0</v>
      </c>
      <c r="W252" s="2">
        <f>M252 - V252</f>
        <v>0</v>
      </c>
      <c r="X252" s="2">
        <f>IFERROR(W252 / M252 * 100, 0)</f>
        <v>0</v>
      </c>
    </row>
    <row r="253" spans="1:24">
      <c r="A253" t="s">
        <v>2917</v>
      </c>
      <c r="B253" t="s">
        <v>512</v>
      </c>
      <c r="C253" t="s">
        <v>3410</v>
      </c>
      <c r="D253" t="s">
        <v>1007</v>
      </c>
      <c r="E253" t="s">
        <v>3652</v>
      </c>
      <c r="F253" t="s">
        <v>3905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3.01</v>
      </c>
      <c r="M253">
        <v>72.12</v>
      </c>
      <c r="N253">
        <v>0</v>
      </c>
      <c r="O253">
        <v>0</v>
      </c>
      <c r="P253" s="2">
        <f>(H253 + J253) - (L253 + N253)</f>
        <v>0</v>
      </c>
      <c r="Q253" s="2">
        <f>P253 * G253</f>
        <v>0</v>
      </c>
      <c r="R253">
        <v>0</v>
      </c>
      <c r="S253" s="2">
        <f>R253 * G253</f>
        <v>0</v>
      </c>
      <c r="T253" s="2">
        <f>(H253 + J253) - (L253 + N253) - R253</f>
        <v>0</v>
      </c>
      <c r="U253" s="2">
        <f>T253 * G253</f>
        <v>0</v>
      </c>
      <c r="V253" s="2">
        <f>I253 + K253 - S253</f>
        <v>0</v>
      </c>
      <c r="W253" s="2">
        <f>M253 - V253</f>
        <v>0</v>
      </c>
      <c r="X253" s="2">
        <f>IFERROR(W253 / M253 * 100, 0)</f>
        <v>0</v>
      </c>
    </row>
    <row r="254" spans="1:24">
      <c r="A254" t="s">
        <v>2918</v>
      </c>
      <c r="B254" t="s">
        <v>512</v>
      </c>
      <c r="C254" t="s">
        <v>3411</v>
      </c>
      <c r="D254" t="s">
        <v>1008</v>
      </c>
      <c r="E254" t="s">
        <v>3652</v>
      </c>
      <c r="F254" t="s">
        <v>3906</v>
      </c>
      <c r="G254">
        <v>8</v>
      </c>
      <c r="H254">
        <v>0</v>
      </c>
      <c r="I254">
        <v>0</v>
      </c>
      <c r="J254">
        <v>0</v>
      </c>
      <c r="K254">
        <v>0</v>
      </c>
      <c r="L254">
        <v>422</v>
      </c>
      <c r="M254">
        <v>3798</v>
      </c>
      <c r="N254">
        <v>0</v>
      </c>
      <c r="O254">
        <v>0</v>
      </c>
      <c r="P254" s="2">
        <f>(H254 + J254) - (L254 + N254)</f>
        <v>0</v>
      </c>
      <c r="Q254" s="2">
        <f>P254 * G254</f>
        <v>0</v>
      </c>
      <c r="R254">
        <v>0</v>
      </c>
      <c r="S254" s="2">
        <f>R254 * G254</f>
        <v>0</v>
      </c>
      <c r="T254" s="2">
        <f>(H254 + J254) - (L254 + N254) - R254</f>
        <v>0</v>
      </c>
      <c r="U254" s="2">
        <f>T254 * G254</f>
        <v>0</v>
      </c>
      <c r="V254" s="2">
        <f>I254 + K254 - S254</f>
        <v>0</v>
      </c>
      <c r="W254" s="2">
        <f>M254 - V254</f>
        <v>0</v>
      </c>
      <c r="X254" s="2">
        <f>IFERROR(W254 / M254 * 100, 0)</f>
        <v>0</v>
      </c>
    </row>
    <row r="255" spans="1:24">
      <c r="A255" t="s">
        <v>2919</v>
      </c>
      <c r="B255" t="s">
        <v>512</v>
      </c>
      <c r="C255" t="s">
        <v>3412</v>
      </c>
      <c r="D255" t="s">
        <v>1008</v>
      </c>
      <c r="E255" t="s">
        <v>3652</v>
      </c>
      <c r="F255" t="s">
        <v>3907</v>
      </c>
      <c r="G255">
        <v>56.49</v>
      </c>
      <c r="H255">
        <v>3</v>
      </c>
      <c r="I255">
        <v>169.46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s="2">
        <f>(H255 + J255) - (L255 + N255)</f>
        <v>0</v>
      </c>
      <c r="Q255" s="2">
        <f>P255 * G255</f>
        <v>0</v>
      </c>
      <c r="R255">
        <v>5</v>
      </c>
      <c r="S255" s="2">
        <f>R255 * G255</f>
        <v>0</v>
      </c>
      <c r="T255" s="2">
        <f>(H255 + J255) - (L255 + N255) - R255</f>
        <v>0</v>
      </c>
      <c r="U255" s="2">
        <f>T255 * G255</f>
        <v>0</v>
      </c>
      <c r="V255" s="2">
        <f>I255 + K255 - S255</f>
        <v>0</v>
      </c>
      <c r="W255" s="2">
        <f>M255 - V255</f>
        <v>0</v>
      </c>
      <c r="X255" s="2">
        <f>IFERROR(W255 / M255 * 100, 0)</f>
        <v>0</v>
      </c>
    </row>
    <row r="256" spans="1:24">
      <c r="A256" t="s">
        <v>2920</v>
      </c>
      <c r="B256" t="s">
        <v>513</v>
      </c>
      <c r="C256" t="s">
        <v>3413</v>
      </c>
      <c r="D256" t="s">
        <v>1008</v>
      </c>
      <c r="E256" t="s">
        <v>3652</v>
      </c>
      <c r="F256" t="s">
        <v>3908</v>
      </c>
      <c r="G256">
        <v>0.99</v>
      </c>
      <c r="H256">
        <v>0</v>
      </c>
      <c r="I256">
        <v>0</v>
      </c>
      <c r="J256">
        <v>2571</v>
      </c>
      <c r="K256">
        <v>2572.33</v>
      </c>
      <c r="L256">
        <v>2461</v>
      </c>
      <c r="M256">
        <v>2461</v>
      </c>
      <c r="N256">
        <v>80</v>
      </c>
      <c r="O256">
        <v>78.5</v>
      </c>
      <c r="P256" s="2">
        <f>(H256 + J256) - (L256 + N256)</f>
        <v>0</v>
      </c>
      <c r="Q256" s="2">
        <f>P256 * G256</f>
        <v>0</v>
      </c>
      <c r="R256">
        <v>0</v>
      </c>
      <c r="S256" s="2">
        <f>R256 * G256</f>
        <v>0</v>
      </c>
      <c r="T256" s="2">
        <f>(H256 + J256) - (L256 + N256) - R256</f>
        <v>0</v>
      </c>
      <c r="U256" s="2">
        <f>T256 * G256</f>
        <v>0</v>
      </c>
      <c r="V256" s="2">
        <f>I256 + K256 - S256</f>
        <v>0</v>
      </c>
      <c r="W256" s="2">
        <f>M256 - V256</f>
        <v>0</v>
      </c>
      <c r="X256" s="2">
        <f>IFERROR(W256 / M256 * 100, 0)</f>
        <v>0</v>
      </c>
    </row>
    <row r="257" spans="1:24">
      <c r="A257" t="s">
        <v>2921</v>
      </c>
      <c r="B257" t="s">
        <v>513</v>
      </c>
      <c r="C257" t="s">
        <v>3414</v>
      </c>
      <c r="D257" t="s">
        <v>1007</v>
      </c>
      <c r="E257" t="s">
        <v>3652</v>
      </c>
      <c r="F257" t="s">
        <v>3909</v>
      </c>
      <c r="G257">
        <v>11.59</v>
      </c>
      <c r="H257">
        <v>0</v>
      </c>
      <c r="I257">
        <v>0</v>
      </c>
      <c r="J257">
        <v>94.2</v>
      </c>
      <c r="K257">
        <v>1088.76</v>
      </c>
      <c r="L257">
        <v>38.65</v>
      </c>
      <c r="M257">
        <v>1082.06</v>
      </c>
      <c r="N257">
        <v>24</v>
      </c>
      <c r="O257">
        <v>274.76</v>
      </c>
      <c r="P257" s="2">
        <f>(H257 + J257) - (L257 + N257)</f>
        <v>0</v>
      </c>
      <c r="Q257" s="2">
        <f>P257 * G257</f>
        <v>0</v>
      </c>
      <c r="R257">
        <v>0</v>
      </c>
      <c r="S257" s="2">
        <f>R257 * G257</f>
        <v>0</v>
      </c>
      <c r="T257" s="2">
        <f>(H257 + J257) - (L257 + N257) - R257</f>
        <v>0</v>
      </c>
      <c r="U257" s="2">
        <f>T257 * G257</f>
        <v>0</v>
      </c>
      <c r="V257" s="2">
        <f>I257 + K257 - S257</f>
        <v>0</v>
      </c>
      <c r="W257" s="2">
        <f>M257 - V257</f>
        <v>0</v>
      </c>
      <c r="X257" s="2">
        <f>IFERROR(W257 / M257 * 100, 0)</f>
        <v>0</v>
      </c>
    </row>
    <row r="258" spans="1:24">
      <c r="A258" t="s">
        <v>2922</v>
      </c>
      <c r="B258" t="s">
        <v>513</v>
      </c>
      <c r="C258" t="s">
        <v>3415</v>
      </c>
      <c r="D258" t="s">
        <v>1008</v>
      </c>
      <c r="E258" t="s">
        <v>3652</v>
      </c>
      <c r="F258" t="s">
        <v>3910</v>
      </c>
      <c r="G258">
        <v>0.23</v>
      </c>
      <c r="H258">
        <v>0</v>
      </c>
      <c r="I258">
        <v>0</v>
      </c>
      <c r="J258">
        <v>32</v>
      </c>
      <c r="K258">
        <v>7.57</v>
      </c>
      <c r="L258">
        <v>48</v>
      </c>
      <c r="M258">
        <v>48</v>
      </c>
      <c r="N258">
        <v>4</v>
      </c>
      <c r="O258">
        <v>0.98</v>
      </c>
      <c r="P258" s="2">
        <f>(H258 + J258) - (L258 + N258)</f>
        <v>0</v>
      </c>
      <c r="Q258" s="2">
        <f>P258 * G258</f>
        <v>0</v>
      </c>
      <c r="R258">
        <v>0</v>
      </c>
      <c r="S258" s="2">
        <f>R258 * G258</f>
        <v>0</v>
      </c>
      <c r="T258" s="2">
        <f>(H258 + J258) - (L258 + N258) - R258</f>
        <v>0</v>
      </c>
      <c r="U258" s="2">
        <f>T258 * G258</f>
        <v>0</v>
      </c>
      <c r="V258" s="2">
        <f>I258 + K258 - S258</f>
        <v>0</v>
      </c>
      <c r="W258" s="2">
        <f>M258 - V258</f>
        <v>0</v>
      </c>
      <c r="X258" s="2">
        <f>IFERROR(W258 / M258 * 100, 0)</f>
        <v>0</v>
      </c>
    </row>
    <row r="259" spans="1:24">
      <c r="A259" t="s">
        <v>2923</v>
      </c>
      <c r="B259" t="s">
        <v>513</v>
      </c>
      <c r="C259" t="s">
        <v>3416</v>
      </c>
      <c r="D259" t="s">
        <v>1008</v>
      </c>
      <c r="E259" t="s">
        <v>3652</v>
      </c>
      <c r="F259" t="s">
        <v>3911</v>
      </c>
      <c r="G259">
        <v>7.85</v>
      </c>
      <c r="H259">
        <v>0</v>
      </c>
      <c r="I259">
        <v>0</v>
      </c>
      <c r="J259">
        <v>102</v>
      </c>
      <c r="K259">
        <v>801.1900000000001</v>
      </c>
      <c r="L259">
        <v>1</v>
      </c>
      <c r="M259">
        <v>14</v>
      </c>
      <c r="N259">
        <v>0</v>
      </c>
      <c r="O259">
        <v>0</v>
      </c>
      <c r="P259" s="2">
        <f>(H259 + J259) - (L259 + N259)</f>
        <v>0</v>
      </c>
      <c r="Q259" s="2">
        <f>P259 * G259</f>
        <v>0</v>
      </c>
      <c r="R259">
        <v>0</v>
      </c>
      <c r="S259" s="2">
        <f>R259 * G259</f>
        <v>0</v>
      </c>
      <c r="T259" s="2">
        <f>(H259 + J259) - (L259 + N259) - R259</f>
        <v>0</v>
      </c>
      <c r="U259" s="2">
        <f>T259 * G259</f>
        <v>0</v>
      </c>
      <c r="V259" s="2">
        <f>I259 + K259 - S259</f>
        <v>0</v>
      </c>
      <c r="W259" s="2">
        <f>M259 - V259</f>
        <v>0</v>
      </c>
      <c r="X259" s="2">
        <f>IFERROR(W259 / M259 * 100, 0)</f>
        <v>0</v>
      </c>
    </row>
    <row r="260" spans="1:24">
      <c r="A260" t="s">
        <v>2924</v>
      </c>
      <c r="B260" t="s">
        <v>512</v>
      </c>
      <c r="C260" t="s">
        <v>3417</v>
      </c>
      <c r="D260" t="s">
        <v>1008</v>
      </c>
      <c r="E260" t="s">
        <v>3652</v>
      </c>
      <c r="F260" t="s">
        <v>3912</v>
      </c>
      <c r="G260">
        <v>325</v>
      </c>
      <c r="H260">
        <v>0</v>
      </c>
      <c r="I260">
        <v>0</v>
      </c>
      <c r="J260">
        <v>1</v>
      </c>
      <c r="K260">
        <v>325</v>
      </c>
      <c r="L260">
        <v>0</v>
      </c>
      <c r="M260">
        <v>0</v>
      </c>
      <c r="N260">
        <v>0</v>
      </c>
      <c r="O260">
        <v>0</v>
      </c>
      <c r="P260" s="2">
        <f>(H260 + J260) - (L260 + N260)</f>
        <v>0</v>
      </c>
      <c r="Q260" s="2">
        <f>P260 * G260</f>
        <v>0</v>
      </c>
      <c r="R260">
        <v>0</v>
      </c>
      <c r="S260" s="2">
        <f>R260 * G260</f>
        <v>0</v>
      </c>
      <c r="T260" s="2">
        <f>(H260 + J260) - (L260 + N260) - R260</f>
        <v>0</v>
      </c>
      <c r="U260" s="2">
        <f>T260 * G260</f>
        <v>0</v>
      </c>
      <c r="V260" s="2">
        <f>I260 + K260 - S260</f>
        <v>0</v>
      </c>
      <c r="W260" s="2">
        <f>M260 - V260</f>
        <v>0</v>
      </c>
      <c r="X260" s="2">
        <f>IFERROR(W260 / M260 * 100, 0)</f>
        <v>0</v>
      </c>
    </row>
    <row r="261" spans="1:24">
      <c r="A261" t="s">
        <v>2925</v>
      </c>
      <c r="B261" t="s">
        <v>512</v>
      </c>
      <c r="C261" t="s">
        <v>3418</v>
      </c>
      <c r="D261" t="s">
        <v>1007</v>
      </c>
      <c r="E261" t="s">
        <v>3652</v>
      </c>
      <c r="F261" t="s">
        <v>3913</v>
      </c>
      <c r="G261">
        <v>8.73</v>
      </c>
      <c r="H261">
        <v>1</v>
      </c>
      <c r="I261">
        <v>8.73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s="2">
        <f>(H261 + J261) - (L261 + N261)</f>
        <v>0</v>
      </c>
      <c r="Q261" s="2">
        <f>P261 * G261</f>
        <v>0</v>
      </c>
      <c r="R261">
        <v>1</v>
      </c>
      <c r="S261" s="2">
        <f>R261 * G261</f>
        <v>0</v>
      </c>
      <c r="T261" s="2">
        <f>(H261 + J261) - (L261 + N261) - R261</f>
        <v>0</v>
      </c>
      <c r="U261" s="2">
        <f>T261 * G261</f>
        <v>0</v>
      </c>
      <c r="V261" s="2">
        <f>I261 + K261 - S261</f>
        <v>0</v>
      </c>
      <c r="W261" s="2">
        <f>M261 - V261</f>
        <v>0</v>
      </c>
      <c r="X261" s="2">
        <f>IFERROR(W261 / M261 * 100, 0)</f>
        <v>0</v>
      </c>
    </row>
    <row r="262" spans="1:24">
      <c r="A262" t="s">
        <v>2926</v>
      </c>
      <c r="B262" t="s">
        <v>512</v>
      </c>
      <c r="C262" t="s">
        <v>3419</v>
      </c>
      <c r="D262" t="s">
        <v>1007</v>
      </c>
      <c r="E262" t="s">
        <v>3652</v>
      </c>
      <c r="F262" t="s">
        <v>3914</v>
      </c>
      <c r="G262">
        <v>152.36</v>
      </c>
      <c r="H262">
        <v>0</v>
      </c>
      <c r="I262">
        <v>0</v>
      </c>
      <c r="J262">
        <v>-0.03</v>
      </c>
      <c r="K262">
        <v>-1.85</v>
      </c>
      <c r="L262">
        <v>0</v>
      </c>
      <c r="M262">
        <v>0</v>
      </c>
      <c r="N262">
        <v>0</v>
      </c>
      <c r="O262">
        <v>0</v>
      </c>
      <c r="P262" s="2">
        <f>(H262 + J262) - (L262 + N262)</f>
        <v>0</v>
      </c>
      <c r="Q262" s="2">
        <f>P262 * G262</f>
        <v>0</v>
      </c>
      <c r="R262">
        <v>0</v>
      </c>
      <c r="S262" s="2">
        <f>R262 * G262</f>
        <v>0</v>
      </c>
      <c r="T262" s="2">
        <f>(H262 + J262) - (L262 + N262) - R262</f>
        <v>0</v>
      </c>
      <c r="U262" s="2">
        <f>T262 * G262</f>
        <v>0</v>
      </c>
      <c r="V262" s="2">
        <f>I262 + K262 - S262</f>
        <v>0</v>
      </c>
      <c r="W262" s="2">
        <f>M262 - V262</f>
        <v>0</v>
      </c>
      <c r="X262" s="2">
        <f>IFERROR(W262 / M262 * 100, 0)</f>
        <v>0</v>
      </c>
    </row>
    <row r="263" spans="1:24">
      <c r="A263" t="s">
        <v>2927</v>
      </c>
      <c r="B263" t="s">
        <v>512</v>
      </c>
      <c r="C263" t="s">
        <v>3420</v>
      </c>
      <c r="D263" t="s">
        <v>1007</v>
      </c>
      <c r="E263" t="s">
        <v>3652</v>
      </c>
      <c r="F263" t="s">
        <v>3915</v>
      </c>
      <c r="G263">
        <v>3.19</v>
      </c>
      <c r="H263">
        <v>1</v>
      </c>
      <c r="I263">
        <v>3.19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s="2">
        <f>(H263 + J263) - (L263 + N263)</f>
        <v>0</v>
      </c>
      <c r="Q263" s="2">
        <f>P263 * G263</f>
        <v>0</v>
      </c>
      <c r="R263">
        <v>1</v>
      </c>
      <c r="S263" s="2">
        <f>R263 * G263</f>
        <v>0</v>
      </c>
      <c r="T263" s="2">
        <f>(H263 + J263) - (L263 + N263) - R263</f>
        <v>0</v>
      </c>
      <c r="U263" s="2">
        <f>T263 * G263</f>
        <v>0</v>
      </c>
      <c r="V263" s="2">
        <f>I263 + K263 - S263</f>
        <v>0</v>
      </c>
      <c r="W263" s="2">
        <f>M263 - V263</f>
        <v>0</v>
      </c>
      <c r="X263" s="2">
        <f>IFERROR(W263 / M263 * 100, 0)</f>
        <v>0</v>
      </c>
    </row>
    <row r="264" spans="1:24">
      <c r="A264" t="s">
        <v>2928</v>
      </c>
      <c r="B264" t="s">
        <v>512</v>
      </c>
      <c r="C264" t="s">
        <v>3421</v>
      </c>
      <c r="D264" t="s">
        <v>1007</v>
      </c>
      <c r="E264" t="s">
        <v>3652</v>
      </c>
      <c r="F264" t="s">
        <v>3916</v>
      </c>
      <c r="G264">
        <v>6</v>
      </c>
      <c r="H264">
        <v>0</v>
      </c>
      <c r="I264">
        <v>0</v>
      </c>
      <c r="J264">
        <v>82</v>
      </c>
      <c r="K264">
        <v>492</v>
      </c>
      <c r="L264">
        <v>0</v>
      </c>
      <c r="M264">
        <v>0</v>
      </c>
      <c r="N264">
        <v>0</v>
      </c>
      <c r="O264">
        <v>0</v>
      </c>
      <c r="P264" s="2">
        <f>(H264 + J264) - (L264 + N264)</f>
        <v>0</v>
      </c>
      <c r="Q264" s="2">
        <f>P264 * G264</f>
        <v>0</v>
      </c>
      <c r="R264">
        <v>0</v>
      </c>
      <c r="S264" s="2">
        <f>R264 * G264</f>
        <v>0</v>
      </c>
      <c r="T264" s="2">
        <f>(H264 + J264) - (L264 + N264) - R264</f>
        <v>0</v>
      </c>
      <c r="U264" s="2">
        <f>T264 * G264</f>
        <v>0</v>
      </c>
      <c r="V264" s="2">
        <f>I264 + K264 - S264</f>
        <v>0</v>
      </c>
      <c r="W264" s="2">
        <f>M264 - V264</f>
        <v>0</v>
      </c>
      <c r="X264" s="2">
        <f>IFERROR(W264 / M264 * 100, 0)</f>
        <v>0</v>
      </c>
    </row>
    <row r="265" spans="1:24">
      <c r="A265" t="s">
        <v>2929</v>
      </c>
      <c r="B265" t="s">
        <v>513</v>
      </c>
      <c r="C265" t="s">
        <v>3422</v>
      </c>
      <c r="D265" t="s">
        <v>1007</v>
      </c>
      <c r="E265" t="s">
        <v>3652</v>
      </c>
      <c r="F265" t="s">
        <v>3917</v>
      </c>
      <c r="G265">
        <v>6.1</v>
      </c>
      <c r="H265">
        <v>0</v>
      </c>
      <c r="I265">
        <v>0</v>
      </c>
      <c r="J265">
        <v>60</v>
      </c>
      <c r="K265">
        <v>366</v>
      </c>
      <c r="L265">
        <v>16.75</v>
      </c>
      <c r="M265">
        <v>368.52</v>
      </c>
      <c r="N265">
        <v>0</v>
      </c>
      <c r="O265">
        <v>0</v>
      </c>
      <c r="P265" s="2">
        <f>(H265 + J265) - (L265 + N265)</f>
        <v>0</v>
      </c>
      <c r="Q265" s="2">
        <f>P265 * G265</f>
        <v>0</v>
      </c>
      <c r="R265">
        <v>51</v>
      </c>
      <c r="S265" s="2">
        <f>R265 * G265</f>
        <v>0</v>
      </c>
      <c r="T265" s="2">
        <f>(H265 + J265) - (L265 + N265) - R265</f>
        <v>0</v>
      </c>
      <c r="U265" s="2">
        <f>T265 * G265</f>
        <v>0</v>
      </c>
      <c r="V265" s="2">
        <f>I265 + K265 - S265</f>
        <v>0</v>
      </c>
      <c r="W265" s="2">
        <f>M265 - V265</f>
        <v>0</v>
      </c>
      <c r="X265" s="2">
        <f>IFERROR(W265 / M265 * 100, 0)</f>
        <v>0</v>
      </c>
    </row>
    <row r="266" spans="1:24">
      <c r="A266" t="s">
        <v>2930</v>
      </c>
      <c r="B266" t="s">
        <v>512</v>
      </c>
      <c r="C266" t="s">
        <v>3423</v>
      </c>
      <c r="D266" t="s">
        <v>1008</v>
      </c>
      <c r="E266" t="s">
        <v>3652</v>
      </c>
      <c r="F266" t="s">
        <v>3918</v>
      </c>
      <c r="G266">
        <v>5</v>
      </c>
      <c r="H266">
        <v>0</v>
      </c>
      <c r="I266">
        <v>0</v>
      </c>
      <c r="J266">
        <v>0</v>
      </c>
      <c r="K266">
        <v>0</v>
      </c>
      <c r="L266">
        <v>299</v>
      </c>
      <c r="M266">
        <v>2990</v>
      </c>
      <c r="N266">
        <v>0</v>
      </c>
      <c r="O266">
        <v>0</v>
      </c>
      <c r="P266" s="2">
        <f>(H266 + J266) - (L266 + N266)</f>
        <v>0</v>
      </c>
      <c r="Q266" s="2">
        <f>P266 * G266</f>
        <v>0</v>
      </c>
      <c r="R266">
        <v>0</v>
      </c>
      <c r="S266" s="2">
        <f>R266 * G266</f>
        <v>0</v>
      </c>
      <c r="T266" s="2">
        <f>(H266 + J266) - (L266 + N266) - R266</f>
        <v>0</v>
      </c>
      <c r="U266" s="2">
        <f>T266 * G266</f>
        <v>0</v>
      </c>
      <c r="V266" s="2">
        <f>I266 + K266 - S266</f>
        <v>0</v>
      </c>
      <c r="W266" s="2">
        <f>M266 - V266</f>
        <v>0</v>
      </c>
      <c r="X266" s="2">
        <f>IFERROR(W266 / M266 * 100, 0)</f>
        <v>0</v>
      </c>
    </row>
    <row r="267" spans="1:24">
      <c r="A267" t="s">
        <v>2931</v>
      </c>
      <c r="B267" t="s">
        <v>512</v>
      </c>
      <c r="C267" t="s">
        <v>3424</v>
      </c>
      <c r="D267" t="s">
        <v>1008</v>
      </c>
      <c r="E267" t="s">
        <v>3652</v>
      </c>
      <c r="F267" t="s">
        <v>3919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35</v>
      </c>
      <c r="M267">
        <v>35</v>
      </c>
      <c r="N267">
        <v>0</v>
      </c>
      <c r="O267">
        <v>0</v>
      </c>
      <c r="P267" s="2">
        <f>(H267 + J267) - (L267 + N267)</f>
        <v>0</v>
      </c>
      <c r="Q267" s="2">
        <f>P267 * G267</f>
        <v>0</v>
      </c>
      <c r="R267">
        <v>0</v>
      </c>
      <c r="S267" s="2">
        <f>R267 * G267</f>
        <v>0</v>
      </c>
      <c r="T267" s="2">
        <f>(H267 + J267) - (L267 + N267) - R267</f>
        <v>0</v>
      </c>
      <c r="U267" s="2">
        <f>T267 * G267</f>
        <v>0</v>
      </c>
      <c r="V267" s="2">
        <f>I267 + K267 - S267</f>
        <v>0</v>
      </c>
      <c r="W267" s="2">
        <f>M267 - V267</f>
        <v>0</v>
      </c>
      <c r="X267" s="2">
        <f>IFERROR(W267 / M267 * 100, 0)</f>
        <v>0</v>
      </c>
    </row>
    <row r="268" spans="1:24">
      <c r="A268" t="s">
        <v>2932</v>
      </c>
      <c r="B268" t="s">
        <v>513</v>
      </c>
      <c r="C268" t="s">
        <v>3425</v>
      </c>
      <c r="D268" t="s">
        <v>1007</v>
      </c>
      <c r="E268" t="s">
        <v>3652</v>
      </c>
      <c r="F268" t="s">
        <v>3920</v>
      </c>
      <c r="G268">
        <v>12.91</v>
      </c>
      <c r="H268">
        <v>4</v>
      </c>
      <c r="I268">
        <v>48.95</v>
      </c>
      <c r="J268">
        <v>9.279999999999999</v>
      </c>
      <c r="K268">
        <v>119.64</v>
      </c>
      <c r="L268">
        <v>8.31</v>
      </c>
      <c r="M268">
        <v>290.78</v>
      </c>
      <c r="N268">
        <v>0</v>
      </c>
      <c r="O268">
        <v>0</v>
      </c>
      <c r="P268" s="2">
        <f>(H268 + J268) - (L268 + N268)</f>
        <v>0</v>
      </c>
      <c r="Q268" s="2">
        <f>P268 * G268</f>
        <v>0</v>
      </c>
      <c r="R268">
        <v>3</v>
      </c>
      <c r="S268" s="2">
        <f>R268 * G268</f>
        <v>0</v>
      </c>
      <c r="T268" s="2">
        <f>(H268 + J268) - (L268 + N268) - R268</f>
        <v>0</v>
      </c>
      <c r="U268" s="2">
        <f>T268 * G268</f>
        <v>0</v>
      </c>
      <c r="V268" s="2">
        <f>I268 + K268 - S268</f>
        <v>0</v>
      </c>
      <c r="W268" s="2">
        <f>M268 - V268</f>
        <v>0</v>
      </c>
      <c r="X268" s="2">
        <f>IFERROR(W268 / M268 * 100, 0)</f>
        <v>0</v>
      </c>
    </row>
    <row r="269" spans="1:24">
      <c r="A269" t="s">
        <v>2933</v>
      </c>
      <c r="B269" t="s">
        <v>513</v>
      </c>
      <c r="C269" t="s">
        <v>3426</v>
      </c>
      <c r="D269" t="s">
        <v>1008</v>
      </c>
      <c r="E269" t="s">
        <v>3652</v>
      </c>
      <c r="F269" t="s">
        <v>3921</v>
      </c>
      <c r="G269">
        <v>1.08</v>
      </c>
      <c r="H269">
        <v>30</v>
      </c>
      <c r="I269">
        <v>31.54</v>
      </c>
      <c r="J269">
        <v>885</v>
      </c>
      <c r="K269">
        <v>837.21</v>
      </c>
      <c r="L269">
        <v>640</v>
      </c>
      <c r="M269">
        <v>1440</v>
      </c>
      <c r="N269">
        <v>0</v>
      </c>
      <c r="O269">
        <v>0</v>
      </c>
      <c r="P269" s="2">
        <f>(H269 + J269) - (L269 + N269)</f>
        <v>0</v>
      </c>
      <c r="Q269" s="2">
        <f>P269 * G269</f>
        <v>0</v>
      </c>
      <c r="R269">
        <v>100</v>
      </c>
      <c r="S269" s="2">
        <f>R269 * G269</f>
        <v>0</v>
      </c>
      <c r="T269" s="2">
        <f>(H269 + J269) - (L269 + N269) - R269</f>
        <v>0</v>
      </c>
      <c r="U269" s="2">
        <f>T269 * G269</f>
        <v>0</v>
      </c>
      <c r="V269" s="2">
        <f>I269 + K269 - S269</f>
        <v>0</v>
      </c>
      <c r="W269" s="2">
        <f>M269 - V269</f>
        <v>0</v>
      </c>
      <c r="X269" s="2">
        <f>IFERROR(W269 / M269 * 100, 0)</f>
        <v>0</v>
      </c>
    </row>
    <row r="270" spans="1:24">
      <c r="A270" t="s">
        <v>2934</v>
      </c>
      <c r="B270" t="s">
        <v>513</v>
      </c>
      <c r="C270" t="s">
        <v>3427</v>
      </c>
      <c r="D270" t="s">
        <v>1007</v>
      </c>
      <c r="E270" t="s">
        <v>3652</v>
      </c>
      <c r="F270" t="s">
        <v>3922</v>
      </c>
      <c r="G270">
        <v>12.82</v>
      </c>
      <c r="H270">
        <v>4</v>
      </c>
      <c r="I270">
        <v>49.52</v>
      </c>
      <c r="J270">
        <v>19.45</v>
      </c>
      <c r="K270">
        <v>230.66</v>
      </c>
      <c r="L270">
        <v>4.83</v>
      </c>
      <c r="M270">
        <v>193.2</v>
      </c>
      <c r="N270">
        <v>0</v>
      </c>
      <c r="O270">
        <v>0</v>
      </c>
      <c r="P270" s="2">
        <f>(H270 + J270) - (L270 + N270)</f>
        <v>0</v>
      </c>
      <c r="Q270" s="2">
        <f>P270 * G270</f>
        <v>0</v>
      </c>
      <c r="R270">
        <v>4</v>
      </c>
      <c r="S270" s="2">
        <f>R270 * G270</f>
        <v>0</v>
      </c>
      <c r="T270" s="2">
        <f>(H270 + J270) - (L270 + N270) - R270</f>
        <v>0</v>
      </c>
      <c r="U270" s="2">
        <f>T270 * G270</f>
        <v>0</v>
      </c>
      <c r="V270" s="2">
        <f>I270 + K270 - S270</f>
        <v>0</v>
      </c>
      <c r="W270" s="2">
        <f>M270 - V270</f>
        <v>0</v>
      </c>
      <c r="X270" s="2">
        <f>IFERROR(W270 / M270 * 100, 0)</f>
        <v>0</v>
      </c>
    </row>
    <row r="271" spans="1:24">
      <c r="A271" t="s">
        <v>2935</v>
      </c>
      <c r="B271" t="s">
        <v>513</v>
      </c>
      <c r="C271" t="s">
        <v>3428</v>
      </c>
      <c r="D271" t="s">
        <v>1008</v>
      </c>
      <c r="E271" t="s">
        <v>3652</v>
      </c>
      <c r="F271" t="s">
        <v>3923</v>
      </c>
      <c r="G271">
        <v>4.55</v>
      </c>
      <c r="H271">
        <v>0</v>
      </c>
      <c r="I271">
        <v>0</v>
      </c>
      <c r="J271">
        <v>497</v>
      </c>
      <c r="K271">
        <v>2248.34</v>
      </c>
      <c r="L271">
        <v>512</v>
      </c>
      <c r="M271">
        <v>4608.95</v>
      </c>
      <c r="N271">
        <v>10</v>
      </c>
      <c r="O271">
        <v>45.27</v>
      </c>
      <c r="P271" s="2">
        <f>(H271 + J271) - (L271 + N271)</f>
        <v>0</v>
      </c>
      <c r="Q271" s="2">
        <f>P271 * G271</f>
        <v>0</v>
      </c>
      <c r="R271">
        <v>0</v>
      </c>
      <c r="S271" s="2">
        <f>R271 * G271</f>
        <v>0</v>
      </c>
      <c r="T271" s="2">
        <f>(H271 + J271) - (L271 + N271) - R271</f>
        <v>0</v>
      </c>
      <c r="U271" s="2">
        <f>T271 * G271</f>
        <v>0</v>
      </c>
      <c r="V271" s="2">
        <f>I271 + K271 - S271</f>
        <v>0</v>
      </c>
      <c r="W271" s="2">
        <f>M271 - V271</f>
        <v>0</v>
      </c>
      <c r="X271" s="2">
        <f>IFERROR(W271 / M271 * 100, 0)</f>
        <v>0</v>
      </c>
    </row>
    <row r="272" spans="1:24">
      <c r="A272" t="s">
        <v>2936</v>
      </c>
      <c r="B272" t="s">
        <v>513</v>
      </c>
      <c r="C272" t="s">
        <v>3429</v>
      </c>
      <c r="D272" t="s">
        <v>1007</v>
      </c>
      <c r="E272" t="s">
        <v>3652</v>
      </c>
      <c r="F272" t="s">
        <v>3924</v>
      </c>
      <c r="G272">
        <v>12.89</v>
      </c>
      <c r="H272">
        <v>0</v>
      </c>
      <c r="I272">
        <v>0</v>
      </c>
      <c r="J272">
        <v>44</v>
      </c>
      <c r="K272">
        <v>567.22</v>
      </c>
      <c r="L272">
        <v>26.59</v>
      </c>
      <c r="M272">
        <v>1063.4</v>
      </c>
      <c r="N272">
        <v>8.300000000000001</v>
      </c>
      <c r="O272">
        <v>107.02</v>
      </c>
      <c r="P272" s="2">
        <f>(H272 + J272) - (L272 + N272)</f>
        <v>0</v>
      </c>
      <c r="Q272" s="2">
        <f>P272 * G272</f>
        <v>0</v>
      </c>
      <c r="R272">
        <v>0</v>
      </c>
      <c r="S272" s="2">
        <f>R272 * G272</f>
        <v>0</v>
      </c>
      <c r="T272" s="2">
        <f>(H272 + J272) - (L272 + N272) - R272</f>
        <v>0</v>
      </c>
      <c r="U272" s="2">
        <f>T272 * G272</f>
        <v>0</v>
      </c>
      <c r="V272" s="2">
        <f>I272 + K272 - S272</f>
        <v>0</v>
      </c>
      <c r="W272" s="2">
        <f>M272 - V272</f>
        <v>0</v>
      </c>
      <c r="X272" s="2">
        <f>IFERROR(W272 / M272 * 100, 0)</f>
        <v>0</v>
      </c>
    </row>
    <row r="273" spans="1:24">
      <c r="A273" t="s">
        <v>2937</v>
      </c>
      <c r="B273" t="s">
        <v>513</v>
      </c>
      <c r="C273" t="s">
        <v>3430</v>
      </c>
      <c r="D273" t="s">
        <v>1008</v>
      </c>
      <c r="E273" t="s">
        <v>3652</v>
      </c>
      <c r="F273" t="s">
        <v>3925</v>
      </c>
      <c r="G273">
        <v>0.29</v>
      </c>
      <c r="H273">
        <v>0</v>
      </c>
      <c r="I273">
        <v>0</v>
      </c>
      <c r="J273">
        <v>537</v>
      </c>
      <c r="K273">
        <v>158.8</v>
      </c>
      <c r="L273">
        <v>300</v>
      </c>
      <c r="M273">
        <v>300</v>
      </c>
      <c r="N273">
        <v>49</v>
      </c>
      <c r="O273">
        <v>14.57</v>
      </c>
      <c r="P273" s="2">
        <f>(H273 + J273) - (L273 + N273)</f>
        <v>0</v>
      </c>
      <c r="Q273" s="2">
        <f>P273 * G273</f>
        <v>0</v>
      </c>
      <c r="R273">
        <v>0</v>
      </c>
      <c r="S273" s="2">
        <f>R273 * G273</f>
        <v>0</v>
      </c>
      <c r="T273" s="2">
        <f>(H273 + J273) - (L273 + N273) - R273</f>
        <v>0</v>
      </c>
      <c r="U273" s="2">
        <f>T273 * G273</f>
        <v>0</v>
      </c>
      <c r="V273" s="2">
        <f>I273 + K273 - S273</f>
        <v>0</v>
      </c>
      <c r="W273" s="2">
        <f>M273 - V273</f>
        <v>0</v>
      </c>
      <c r="X273" s="2">
        <f>IFERROR(W273 / M273 * 100, 0)</f>
        <v>0</v>
      </c>
    </row>
    <row r="274" spans="1:24">
      <c r="A274" t="s">
        <v>2938</v>
      </c>
      <c r="B274" t="s">
        <v>513</v>
      </c>
      <c r="C274" t="s">
        <v>3431</v>
      </c>
      <c r="D274" t="s">
        <v>1008</v>
      </c>
      <c r="E274" t="s">
        <v>3652</v>
      </c>
      <c r="F274" t="s">
        <v>3926</v>
      </c>
      <c r="G274">
        <v>2.06</v>
      </c>
      <c r="H274">
        <v>0</v>
      </c>
      <c r="I274">
        <v>0</v>
      </c>
      <c r="J274">
        <v>662</v>
      </c>
      <c r="K274">
        <v>1431.07</v>
      </c>
      <c r="L274">
        <v>649</v>
      </c>
      <c r="M274">
        <v>2271.5</v>
      </c>
      <c r="N274">
        <v>0</v>
      </c>
      <c r="O274">
        <v>0</v>
      </c>
      <c r="P274" s="2">
        <f>(H274 + J274) - (L274 + N274)</f>
        <v>0</v>
      </c>
      <c r="Q274" s="2">
        <f>P274 * G274</f>
        <v>0</v>
      </c>
      <c r="R274">
        <v>0</v>
      </c>
      <c r="S274" s="2">
        <f>R274 * G274</f>
        <v>0</v>
      </c>
      <c r="T274" s="2">
        <f>(H274 + J274) - (L274 + N274) - R274</f>
        <v>0</v>
      </c>
      <c r="U274" s="2">
        <f>T274 * G274</f>
        <v>0</v>
      </c>
      <c r="V274" s="2">
        <f>I274 + K274 - S274</f>
        <v>0</v>
      </c>
      <c r="W274" s="2">
        <f>M274 - V274</f>
        <v>0</v>
      </c>
      <c r="X274" s="2">
        <f>IFERROR(W274 / M274 * 100, 0)</f>
        <v>0</v>
      </c>
    </row>
    <row r="275" spans="1:24">
      <c r="A275" t="s">
        <v>2939</v>
      </c>
      <c r="B275" t="s">
        <v>513</v>
      </c>
      <c r="C275" t="s">
        <v>3432</v>
      </c>
      <c r="D275" t="s">
        <v>1008</v>
      </c>
      <c r="E275" t="s">
        <v>3652</v>
      </c>
      <c r="F275" t="s">
        <v>3927</v>
      </c>
      <c r="G275">
        <v>0.32</v>
      </c>
      <c r="H275">
        <v>0</v>
      </c>
      <c r="I275">
        <v>0</v>
      </c>
      <c r="J275">
        <v>587</v>
      </c>
      <c r="K275">
        <v>153.24</v>
      </c>
      <c r="L275">
        <v>538</v>
      </c>
      <c r="M275">
        <v>538</v>
      </c>
      <c r="N275">
        <v>74</v>
      </c>
      <c r="O275">
        <v>23.84</v>
      </c>
      <c r="P275" s="2">
        <f>(H275 + J275) - (L275 + N275)</f>
        <v>0</v>
      </c>
      <c r="Q275" s="2">
        <f>P275 * G275</f>
        <v>0</v>
      </c>
      <c r="R275">
        <v>0</v>
      </c>
      <c r="S275" s="2">
        <f>R275 * G275</f>
        <v>0</v>
      </c>
      <c r="T275" s="2">
        <f>(H275 + J275) - (L275 + N275) - R275</f>
        <v>0</v>
      </c>
      <c r="U275" s="2">
        <f>T275 * G275</f>
        <v>0</v>
      </c>
      <c r="V275" s="2">
        <f>I275 + K275 - S275</f>
        <v>0</v>
      </c>
      <c r="W275" s="2">
        <f>M275 - V275</f>
        <v>0</v>
      </c>
      <c r="X275" s="2">
        <f>IFERROR(W275 / M275 * 100, 0)</f>
        <v>0</v>
      </c>
    </row>
    <row r="276" spans="1:24">
      <c r="A276" t="s">
        <v>2940</v>
      </c>
      <c r="B276" t="s">
        <v>513</v>
      </c>
      <c r="C276" t="s">
        <v>3433</v>
      </c>
      <c r="D276" t="s">
        <v>1008</v>
      </c>
      <c r="E276" t="s">
        <v>3652</v>
      </c>
      <c r="F276" t="s">
        <v>3928</v>
      </c>
      <c r="G276">
        <v>0.28</v>
      </c>
      <c r="H276">
        <v>0</v>
      </c>
      <c r="I276">
        <v>0</v>
      </c>
      <c r="J276">
        <v>1267</v>
      </c>
      <c r="K276">
        <v>333.88</v>
      </c>
      <c r="L276">
        <v>1156</v>
      </c>
      <c r="M276">
        <v>1156</v>
      </c>
      <c r="N276">
        <v>39</v>
      </c>
      <c r="O276">
        <v>11.13</v>
      </c>
      <c r="P276" s="2">
        <f>(H276 + J276) - (L276 + N276)</f>
        <v>0</v>
      </c>
      <c r="Q276" s="2">
        <f>P276 * G276</f>
        <v>0</v>
      </c>
      <c r="R276">
        <v>0</v>
      </c>
      <c r="S276" s="2">
        <f>R276 * G276</f>
        <v>0</v>
      </c>
      <c r="T276" s="2">
        <f>(H276 + J276) - (L276 + N276) - R276</f>
        <v>0</v>
      </c>
      <c r="U276" s="2">
        <f>T276 * G276</f>
        <v>0</v>
      </c>
      <c r="V276" s="2">
        <f>I276 + K276 - S276</f>
        <v>0</v>
      </c>
      <c r="W276" s="2">
        <f>M276 - V276</f>
        <v>0</v>
      </c>
      <c r="X276" s="2">
        <f>IFERROR(W276 / M276 * 100, 0)</f>
        <v>0</v>
      </c>
    </row>
    <row r="277" spans="1:24">
      <c r="A277" t="s">
        <v>2941</v>
      </c>
      <c r="B277" t="s">
        <v>513</v>
      </c>
      <c r="C277" t="s">
        <v>3434</v>
      </c>
      <c r="D277" t="s">
        <v>1008</v>
      </c>
      <c r="E277" t="s">
        <v>3652</v>
      </c>
      <c r="F277" t="s">
        <v>3929</v>
      </c>
      <c r="G277">
        <v>0.5</v>
      </c>
      <c r="H277">
        <v>0</v>
      </c>
      <c r="I277">
        <v>0</v>
      </c>
      <c r="J277">
        <v>2124</v>
      </c>
      <c r="K277">
        <v>1046.74</v>
      </c>
      <c r="L277">
        <v>1683</v>
      </c>
      <c r="M277">
        <v>1683</v>
      </c>
      <c r="N277">
        <v>41</v>
      </c>
      <c r="O277">
        <v>19.71</v>
      </c>
      <c r="P277" s="2">
        <f>(H277 + J277) - (L277 + N277)</f>
        <v>0</v>
      </c>
      <c r="Q277" s="2">
        <f>P277 * G277</f>
        <v>0</v>
      </c>
      <c r="R277">
        <v>0</v>
      </c>
      <c r="S277" s="2">
        <f>R277 * G277</f>
        <v>0</v>
      </c>
      <c r="T277" s="2">
        <f>(H277 + J277) - (L277 + N277) - R277</f>
        <v>0</v>
      </c>
      <c r="U277" s="2">
        <f>T277 * G277</f>
        <v>0</v>
      </c>
      <c r="V277" s="2">
        <f>I277 + K277 - S277</f>
        <v>0</v>
      </c>
      <c r="W277" s="2">
        <f>M277 - V277</f>
        <v>0</v>
      </c>
      <c r="X277" s="2">
        <f>IFERROR(W277 / M277 * 100, 0)</f>
        <v>0</v>
      </c>
    </row>
    <row r="278" spans="1:24">
      <c r="A278" t="s">
        <v>2942</v>
      </c>
      <c r="B278" t="s">
        <v>513</v>
      </c>
      <c r="C278" t="s">
        <v>3435</v>
      </c>
      <c r="D278" t="s">
        <v>1008</v>
      </c>
      <c r="E278" t="s">
        <v>3652</v>
      </c>
      <c r="F278" t="s">
        <v>3930</v>
      </c>
      <c r="G278">
        <v>2.06</v>
      </c>
      <c r="H278">
        <v>0</v>
      </c>
      <c r="I278">
        <v>0</v>
      </c>
      <c r="J278">
        <v>32</v>
      </c>
      <c r="K278">
        <v>67.58</v>
      </c>
      <c r="L278">
        <v>36</v>
      </c>
      <c r="M278">
        <v>144</v>
      </c>
      <c r="N278">
        <v>0</v>
      </c>
      <c r="O278">
        <v>0</v>
      </c>
      <c r="P278" s="2">
        <f>(H278 + J278) - (L278 + N278)</f>
        <v>0</v>
      </c>
      <c r="Q278" s="2">
        <f>P278 * G278</f>
        <v>0</v>
      </c>
      <c r="R278">
        <v>0</v>
      </c>
      <c r="S278" s="2">
        <f>R278 * G278</f>
        <v>0</v>
      </c>
      <c r="T278" s="2">
        <f>(H278 + J278) - (L278 + N278) - R278</f>
        <v>0</v>
      </c>
      <c r="U278" s="2">
        <f>T278 * G278</f>
        <v>0</v>
      </c>
      <c r="V278" s="2">
        <f>I278 + K278 - S278</f>
        <v>0</v>
      </c>
      <c r="W278" s="2">
        <f>M278 - V278</f>
        <v>0</v>
      </c>
      <c r="X278" s="2">
        <f>IFERROR(W278 / M278 * 100, 0)</f>
        <v>0</v>
      </c>
    </row>
    <row r="279" spans="1:24">
      <c r="A279" t="s">
        <v>2943</v>
      </c>
      <c r="B279" t="s">
        <v>513</v>
      </c>
      <c r="C279" t="s">
        <v>3436</v>
      </c>
      <c r="D279" t="s">
        <v>1008</v>
      </c>
      <c r="E279" t="s">
        <v>3652</v>
      </c>
      <c r="F279" t="s">
        <v>3931</v>
      </c>
      <c r="G279">
        <v>2.9</v>
      </c>
      <c r="H279">
        <v>0</v>
      </c>
      <c r="I279">
        <v>0</v>
      </c>
      <c r="J279">
        <v>1</v>
      </c>
      <c r="K279">
        <v>2.9</v>
      </c>
      <c r="L279">
        <v>1</v>
      </c>
      <c r="M279">
        <v>5</v>
      </c>
      <c r="N279">
        <v>0</v>
      </c>
      <c r="O279">
        <v>0</v>
      </c>
      <c r="P279" s="2">
        <f>(H279 + J279) - (L279 + N279)</f>
        <v>0</v>
      </c>
      <c r="Q279" s="2">
        <f>P279 * G279</f>
        <v>0</v>
      </c>
      <c r="R279">
        <v>0</v>
      </c>
      <c r="S279" s="2">
        <f>R279 * G279</f>
        <v>0</v>
      </c>
      <c r="T279" s="2">
        <f>(H279 + J279) - (L279 + N279) - R279</f>
        <v>0</v>
      </c>
      <c r="U279" s="2">
        <f>T279 * G279</f>
        <v>0</v>
      </c>
      <c r="V279" s="2">
        <f>I279 + K279 - S279</f>
        <v>0</v>
      </c>
      <c r="W279" s="2">
        <f>M279 - V279</f>
        <v>0</v>
      </c>
      <c r="X279" s="2">
        <f>IFERROR(W279 / M279 * 100, 0)</f>
        <v>0</v>
      </c>
    </row>
    <row r="280" spans="1:24">
      <c r="A280" t="s">
        <v>2944</v>
      </c>
      <c r="B280" t="s">
        <v>513</v>
      </c>
      <c r="C280" t="s">
        <v>3437</v>
      </c>
      <c r="D280" t="s">
        <v>1008</v>
      </c>
      <c r="E280" t="s">
        <v>3652</v>
      </c>
      <c r="F280" t="s">
        <v>3932</v>
      </c>
      <c r="G280">
        <v>3.44</v>
      </c>
      <c r="H280">
        <v>0</v>
      </c>
      <c r="I280">
        <v>0</v>
      </c>
      <c r="J280">
        <v>290</v>
      </c>
      <c r="K280">
        <v>1039.22</v>
      </c>
      <c r="L280">
        <v>322</v>
      </c>
      <c r="M280">
        <v>1127</v>
      </c>
      <c r="N280">
        <v>0</v>
      </c>
      <c r="O280">
        <v>0</v>
      </c>
      <c r="P280" s="2">
        <f>(H280 + J280) - (L280 + N280)</f>
        <v>0</v>
      </c>
      <c r="Q280" s="2">
        <f>P280 * G280</f>
        <v>0</v>
      </c>
      <c r="R280">
        <v>0</v>
      </c>
      <c r="S280" s="2">
        <f>R280 * G280</f>
        <v>0</v>
      </c>
      <c r="T280" s="2">
        <f>(H280 + J280) - (L280 + N280) - R280</f>
        <v>0</v>
      </c>
      <c r="U280" s="2">
        <f>T280 * G280</f>
        <v>0</v>
      </c>
      <c r="V280" s="2">
        <f>I280 + K280 - S280</f>
        <v>0</v>
      </c>
      <c r="W280" s="2">
        <f>M280 - V280</f>
        <v>0</v>
      </c>
      <c r="X280" s="2">
        <f>IFERROR(W280 / M280 * 100, 0)</f>
        <v>0</v>
      </c>
    </row>
    <row r="281" spans="1:24">
      <c r="A281" t="s">
        <v>2945</v>
      </c>
      <c r="B281" t="s">
        <v>513</v>
      </c>
      <c r="C281" t="s">
        <v>3438</v>
      </c>
      <c r="D281" t="s">
        <v>1007</v>
      </c>
      <c r="E281" t="s">
        <v>3652</v>
      </c>
      <c r="F281" t="s">
        <v>3933</v>
      </c>
      <c r="G281">
        <v>13.75</v>
      </c>
      <c r="H281">
        <v>0</v>
      </c>
      <c r="I281">
        <v>0</v>
      </c>
      <c r="J281">
        <v>43.3</v>
      </c>
      <c r="K281">
        <v>603.65</v>
      </c>
      <c r="L281">
        <v>35.8</v>
      </c>
      <c r="M281">
        <v>1790</v>
      </c>
      <c r="N281">
        <v>1.9</v>
      </c>
      <c r="O281">
        <v>26.18</v>
      </c>
      <c r="P281" s="2">
        <f>(H281 + J281) - (L281 + N281)</f>
        <v>0</v>
      </c>
      <c r="Q281" s="2">
        <f>P281 * G281</f>
        <v>0</v>
      </c>
      <c r="R281">
        <v>0</v>
      </c>
      <c r="S281" s="2">
        <f>R281 * G281</f>
        <v>0</v>
      </c>
      <c r="T281" s="2">
        <f>(H281 + J281) - (L281 + N281) - R281</f>
        <v>0</v>
      </c>
      <c r="U281" s="2">
        <f>T281 * G281</f>
        <v>0</v>
      </c>
      <c r="V281" s="2">
        <f>I281 + K281 - S281</f>
        <v>0</v>
      </c>
      <c r="W281" s="2">
        <f>M281 - V281</f>
        <v>0</v>
      </c>
      <c r="X281" s="2">
        <f>IFERROR(W281 / M281 * 100, 0)</f>
        <v>0</v>
      </c>
    </row>
    <row r="282" spans="1:24">
      <c r="A282" t="s">
        <v>2946</v>
      </c>
      <c r="B282" t="s">
        <v>513</v>
      </c>
      <c r="C282" t="s">
        <v>3439</v>
      </c>
      <c r="D282" t="s">
        <v>1007</v>
      </c>
      <c r="E282" t="s">
        <v>3652</v>
      </c>
      <c r="F282" t="s">
        <v>3934</v>
      </c>
      <c r="G282">
        <v>7.41</v>
      </c>
      <c r="H282">
        <v>0</v>
      </c>
      <c r="I282">
        <v>0</v>
      </c>
      <c r="J282">
        <v>53.5</v>
      </c>
      <c r="K282">
        <v>401.32</v>
      </c>
      <c r="L282">
        <v>31.99</v>
      </c>
      <c r="M282">
        <v>959.7</v>
      </c>
      <c r="N282">
        <v>8.4</v>
      </c>
      <c r="O282">
        <v>63.85</v>
      </c>
      <c r="P282" s="2">
        <f>(H282 + J282) - (L282 + N282)</f>
        <v>0</v>
      </c>
      <c r="Q282" s="2">
        <f>P282 * G282</f>
        <v>0</v>
      </c>
      <c r="R282">
        <v>0</v>
      </c>
      <c r="S282" s="2">
        <f>R282 * G282</f>
        <v>0</v>
      </c>
      <c r="T282" s="2">
        <f>(H282 + J282) - (L282 + N282) - R282</f>
        <v>0</v>
      </c>
      <c r="U282" s="2">
        <f>T282 * G282</f>
        <v>0</v>
      </c>
      <c r="V282" s="2">
        <f>I282 + K282 - S282</f>
        <v>0</v>
      </c>
      <c r="W282" s="2">
        <f>M282 - V282</f>
        <v>0</v>
      </c>
      <c r="X282" s="2">
        <f>IFERROR(W282 / M282 * 100, 0)</f>
        <v>0</v>
      </c>
    </row>
    <row r="283" spans="1:24">
      <c r="A283" t="s">
        <v>2947</v>
      </c>
      <c r="B283" t="s">
        <v>513</v>
      </c>
      <c r="C283" t="s">
        <v>3440</v>
      </c>
      <c r="D283" t="s">
        <v>1008</v>
      </c>
      <c r="E283" t="s">
        <v>3652</v>
      </c>
      <c r="F283" t="s">
        <v>3935</v>
      </c>
      <c r="G283">
        <v>5.24</v>
      </c>
      <c r="H283">
        <v>0</v>
      </c>
      <c r="I283">
        <v>0</v>
      </c>
      <c r="J283">
        <v>89</v>
      </c>
      <c r="K283">
        <v>471.49</v>
      </c>
      <c r="L283">
        <v>47</v>
      </c>
      <c r="M283">
        <v>470</v>
      </c>
      <c r="N283">
        <v>6</v>
      </c>
      <c r="O283">
        <v>31.83</v>
      </c>
      <c r="P283" s="2">
        <f>(H283 + J283) - (L283 + N283)</f>
        <v>0</v>
      </c>
      <c r="Q283" s="2">
        <f>P283 * G283</f>
        <v>0</v>
      </c>
      <c r="R283">
        <v>0</v>
      </c>
      <c r="S283" s="2">
        <f>R283 * G283</f>
        <v>0</v>
      </c>
      <c r="T283" s="2">
        <f>(H283 + J283) - (L283 + N283) - R283</f>
        <v>0</v>
      </c>
      <c r="U283" s="2">
        <f>T283 * G283</f>
        <v>0</v>
      </c>
      <c r="V283" s="2">
        <f>I283 + K283 - S283</f>
        <v>0</v>
      </c>
      <c r="W283" s="2">
        <f>M283 - V283</f>
        <v>0</v>
      </c>
      <c r="X283" s="2">
        <f>IFERROR(W283 / M283 * 100, 0)</f>
        <v>0</v>
      </c>
    </row>
    <row r="284" spans="1:24">
      <c r="A284" t="s">
        <v>2948</v>
      </c>
      <c r="B284" t="s">
        <v>513</v>
      </c>
      <c r="C284" t="s">
        <v>3441</v>
      </c>
      <c r="D284" t="s">
        <v>1007</v>
      </c>
      <c r="E284" t="s">
        <v>3652</v>
      </c>
      <c r="F284" t="s">
        <v>3936</v>
      </c>
      <c r="G284">
        <v>8.140000000000001</v>
      </c>
      <c r="H284">
        <v>0</v>
      </c>
      <c r="I284">
        <v>0</v>
      </c>
      <c r="J284">
        <v>9.6</v>
      </c>
      <c r="K284">
        <v>78.06</v>
      </c>
      <c r="L284">
        <v>4.71</v>
      </c>
      <c r="M284">
        <v>131.74</v>
      </c>
      <c r="N284">
        <v>5.1</v>
      </c>
      <c r="O284">
        <v>41.78</v>
      </c>
      <c r="P284" s="2">
        <f>(H284 + J284) - (L284 + N284)</f>
        <v>0</v>
      </c>
      <c r="Q284" s="2">
        <f>P284 * G284</f>
        <v>0</v>
      </c>
      <c r="R284">
        <v>0</v>
      </c>
      <c r="S284" s="2">
        <f>R284 * G284</f>
        <v>0</v>
      </c>
      <c r="T284" s="2">
        <f>(H284 + J284) - (L284 + N284) - R284</f>
        <v>0</v>
      </c>
      <c r="U284" s="2">
        <f>T284 * G284</f>
        <v>0</v>
      </c>
      <c r="V284" s="2">
        <f>I284 + K284 - S284</f>
        <v>0</v>
      </c>
      <c r="W284" s="2">
        <f>M284 - V284</f>
        <v>0</v>
      </c>
      <c r="X284" s="2">
        <f>IFERROR(W284 / M284 * 100, 0)</f>
        <v>0</v>
      </c>
    </row>
    <row r="285" spans="1:24">
      <c r="A285" t="s">
        <v>2949</v>
      </c>
      <c r="B285" t="s">
        <v>513</v>
      </c>
      <c r="C285" t="s">
        <v>3442</v>
      </c>
      <c r="D285" t="s">
        <v>1007</v>
      </c>
      <c r="E285" t="s">
        <v>3652</v>
      </c>
      <c r="F285" t="s">
        <v>3937</v>
      </c>
      <c r="G285">
        <v>12.25</v>
      </c>
      <c r="H285">
        <v>0</v>
      </c>
      <c r="I285">
        <v>0</v>
      </c>
      <c r="J285">
        <v>61.1</v>
      </c>
      <c r="K285">
        <v>753.97</v>
      </c>
      <c r="L285">
        <v>43.57</v>
      </c>
      <c r="M285">
        <v>1219.96</v>
      </c>
      <c r="N285">
        <v>0</v>
      </c>
      <c r="O285">
        <v>0</v>
      </c>
      <c r="P285" s="2">
        <f>(H285 + J285) - (L285 + N285)</f>
        <v>0</v>
      </c>
      <c r="Q285" s="2">
        <f>P285 * G285</f>
        <v>0</v>
      </c>
      <c r="R285">
        <v>0</v>
      </c>
      <c r="S285" s="2">
        <f>R285 * G285</f>
        <v>0</v>
      </c>
      <c r="T285" s="2">
        <f>(H285 + J285) - (L285 + N285) - R285</f>
        <v>0</v>
      </c>
      <c r="U285" s="2">
        <f>T285 * G285</f>
        <v>0</v>
      </c>
      <c r="V285" s="2">
        <f>I285 + K285 - S285</f>
        <v>0</v>
      </c>
      <c r="W285" s="2">
        <f>M285 - V285</f>
        <v>0</v>
      </c>
      <c r="X285" s="2">
        <f>IFERROR(W285 / M285 * 100, 0)</f>
        <v>0</v>
      </c>
    </row>
    <row r="286" spans="1:24">
      <c r="A286" t="s">
        <v>2950</v>
      </c>
      <c r="B286" t="s">
        <v>513</v>
      </c>
      <c r="C286" t="s">
        <v>3443</v>
      </c>
      <c r="D286" t="s">
        <v>1007</v>
      </c>
      <c r="E286" t="s">
        <v>3652</v>
      </c>
      <c r="F286" t="s">
        <v>3938</v>
      </c>
      <c r="G286">
        <v>13.62</v>
      </c>
      <c r="H286">
        <v>0</v>
      </c>
      <c r="I286">
        <v>0</v>
      </c>
      <c r="J286">
        <v>65</v>
      </c>
      <c r="K286">
        <v>892.64</v>
      </c>
      <c r="L286">
        <v>40.39</v>
      </c>
      <c r="M286">
        <v>1454.04</v>
      </c>
      <c r="N286">
        <v>4.7</v>
      </c>
      <c r="O286">
        <v>65</v>
      </c>
      <c r="P286" s="2">
        <f>(H286 + J286) - (L286 + N286)</f>
        <v>0</v>
      </c>
      <c r="Q286" s="2">
        <f>P286 * G286</f>
        <v>0</v>
      </c>
      <c r="R286">
        <v>0</v>
      </c>
      <c r="S286" s="2">
        <f>R286 * G286</f>
        <v>0</v>
      </c>
      <c r="T286" s="2">
        <f>(H286 + J286) - (L286 + N286) - R286</f>
        <v>0</v>
      </c>
      <c r="U286" s="2">
        <f>T286 * G286</f>
        <v>0</v>
      </c>
      <c r="V286" s="2">
        <f>I286 + K286 - S286</f>
        <v>0</v>
      </c>
      <c r="W286" s="2">
        <f>M286 - V286</f>
        <v>0</v>
      </c>
      <c r="X286" s="2">
        <f>IFERROR(W286 / M286 * 100, 0)</f>
        <v>0</v>
      </c>
    </row>
    <row r="287" spans="1:24">
      <c r="A287" t="s">
        <v>2951</v>
      </c>
      <c r="B287" t="s">
        <v>513</v>
      </c>
      <c r="C287" t="s">
        <v>3444</v>
      </c>
      <c r="D287" t="s">
        <v>1007</v>
      </c>
      <c r="E287" t="s">
        <v>3652</v>
      </c>
      <c r="F287" t="s">
        <v>3939</v>
      </c>
      <c r="G287">
        <v>10.99</v>
      </c>
      <c r="H287">
        <v>0</v>
      </c>
      <c r="I287">
        <v>0</v>
      </c>
      <c r="J287">
        <v>31.9</v>
      </c>
      <c r="K287">
        <v>349.31</v>
      </c>
      <c r="L287">
        <v>14.88</v>
      </c>
      <c r="M287">
        <v>535.5</v>
      </c>
      <c r="N287">
        <v>5.6</v>
      </c>
      <c r="O287">
        <v>61.31</v>
      </c>
      <c r="P287" s="2">
        <f>(H287 + J287) - (L287 + N287)</f>
        <v>0</v>
      </c>
      <c r="Q287" s="2">
        <f>P287 * G287</f>
        <v>0</v>
      </c>
      <c r="R287">
        <v>0</v>
      </c>
      <c r="S287" s="2">
        <f>R287 * G287</f>
        <v>0</v>
      </c>
      <c r="T287" s="2">
        <f>(H287 + J287) - (L287 + N287) - R287</f>
        <v>0</v>
      </c>
      <c r="U287" s="2">
        <f>T287 * G287</f>
        <v>0</v>
      </c>
      <c r="V287" s="2">
        <f>I287 + K287 - S287</f>
        <v>0</v>
      </c>
      <c r="W287" s="2">
        <f>M287 - V287</f>
        <v>0</v>
      </c>
      <c r="X287" s="2">
        <f>IFERROR(W287 / M287 * 100, 0)</f>
        <v>0</v>
      </c>
    </row>
    <row r="288" spans="1:24">
      <c r="A288" t="s">
        <v>2952</v>
      </c>
      <c r="B288" t="s">
        <v>513</v>
      </c>
      <c r="C288" t="s">
        <v>3445</v>
      </c>
      <c r="D288" t="s">
        <v>1008</v>
      </c>
      <c r="E288" t="s">
        <v>3652</v>
      </c>
      <c r="F288" t="s">
        <v>3940</v>
      </c>
      <c r="G288">
        <v>1.13</v>
      </c>
      <c r="H288">
        <v>180</v>
      </c>
      <c r="I288">
        <v>208.75</v>
      </c>
      <c r="J288">
        <v>5379</v>
      </c>
      <c r="K288">
        <v>5931.72</v>
      </c>
      <c r="L288">
        <v>4650</v>
      </c>
      <c r="M288">
        <v>9300</v>
      </c>
      <c r="N288">
        <v>0</v>
      </c>
      <c r="O288">
        <v>0</v>
      </c>
      <c r="P288" s="2">
        <f>(H288 + J288) - (L288 + N288)</f>
        <v>0</v>
      </c>
      <c r="Q288" s="2">
        <f>P288 * G288</f>
        <v>0</v>
      </c>
      <c r="R288">
        <v>200</v>
      </c>
      <c r="S288" s="2">
        <f>R288 * G288</f>
        <v>0</v>
      </c>
      <c r="T288" s="2">
        <f>(H288 + J288) - (L288 + N288) - R288</f>
        <v>0</v>
      </c>
      <c r="U288" s="2">
        <f>T288 * G288</f>
        <v>0</v>
      </c>
      <c r="V288" s="2">
        <f>I288 + K288 - S288</f>
        <v>0</v>
      </c>
      <c r="W288" s="2">
        <f>M288 - V288</f>
        <v>0</v>
      </c>
      <c r="X288" s="2">
        <f>IFERROR(W288 / M288 * 100, 0)</f>
        <v>0</v>
      </c>
    </row>
    <row r="289" spans="1:24">
      <c r="A289" t="s">
        <v>2953</v>
      </c>
      <c r="B289" t="s">
        <v>513</v>
      </c>
      <c r="C289" t="s">
        <v>3446</v>
      </c>
      <c r="D289" t="s">
        <v>1007</v>
      </c>
      <c r="E289" t="s">
        <v>3652</v>
      </c>
      <c r="F289" t="s">
        <v>3941</v>
      </c>
      <c r="G289">
        <v>7.63</v>
      </c>
      <c r="H289">
        <v>0</v>
      </c>
      <c r="I289">
        <v>0</v>
      </c>
      <c r="J289">
        <v>44.1</v>
      </c>
      <c r="K289">
        <v>341.66</v>
      </c>
      <c r="L289">
        <v>29.24</v>
      </c>
      <c r="M289">
        <v>818.72</v>
      </c>
      <c r="N289">
        <v>4.4</v>
      </c>
      <c r="O289">
        <v>34.28</v>
      </c>
      <c r="P289" s="2">
        <f>(H289 + J289) - (L289 + N289)</f>
        <v>0</v>
      </c>
      <c r="Q289" s="2">
        <f>P289 * G289</f>
        <v>0</v>
      </c>
      <c r="R289">
        <v>0</v>
      </c>
      <c r="S289" s="2">
        <f>R289 * G289</f>
        <v>0</v>
      </c>
      <c r="T289" s="2">
        <f>(H289 + J289) - (L289 + N289) - R289</f>
        <v>0</v>
      </c>
      <c r="U289" s="2">
        <f>T289 * G289</f>
        <v>0</v>
      </c>
      <c r="V289" s="2">
        <f>I289 + K289 - S289</f>
        <v>0</v>
      </c>
      <c r="W289" s="2">
        <f>M289 - V289</f>
        <v>0</v>
      </c>
      <c r="X289" s="2">
        <f>IFERROR(W289 / M289 * 100, 0)</f>
        <v>0</v>
      </c>
    </row>
    <row r="290" spans="1:24">
      <c r="A290" t="s">
        <v>2954</v>
      </c>
      <c r="B290" t="s">
        <v>513</v>
      </c>
      <c r="C290" t="s">
        <v>3447</v>
      </c>
      <c r="D290" t="s">
        <v>1008</v>
      </c>
      <c r="E290" t="s">
        <v>3652</v>
      </c>
      <c r="F290" t="s">
        <v>3942</v>
      </c>
      <c r="G290">
        <v>1.13</v>
      </c>
      <c r="H290">
        <v>0</v>
      </c>
      <c r="I290">
        <v>0</v>
      </c>
      <c r="J290">
        <v>0</v>
      </c>
      <c r="K290">
        <v>0</v>
      </c>
      <c r="L290">
        <v>9</v>
      </c>
      <c r="M290">
        <v>22.5</v>
      </c>
      <c r="N290">
        <v>0</v>
      </c>
      <c r="O290">
        <v>0</v>
      </c>
      <c r="P290" s="2">
        <f>(H290 + J290) - (L290 + N290)</f>
        <v>0</v>
      </c>
      <c r="Q290" s="2">
        <f>P290 * G290</f>
        <v>0</v>
      </c>
      <c r="R290">
        <v>0</v>
      </c>
      <c r="S290" s="2">
        <f>R290 * G290</f>
        <v>0</v>
      </c>
      <c r="T290" s="2">
        <f>(H290 + J290) - (L290 + N290) - R290</f>
        <v>0</v>
      </c>
      <c r="U290" s="2">
        <f>T290 * G290</f>
        <v>0</v>
      </c>
      <c r="V290" s="2">
        <f>I290 + K290 - S290</f>
        <v>0</v>
      </c>
      <c r="W290" s="2">
        <f>M290 - V290</f>
        <v>0</v>
      </c>
      <c r="X290" s="2">
        <f>IFERROR(W290 / M290 * 100, 0)</f>
        <v>0</v>
      </c>
    </row>
    <row r="291" spans="1:24">
      <c r="A291" t="s">
        <v>2955</v>
      </c>
      <c r="B291" t="s">
        <v>513</v>
      </c>
      <c r="C291" t="s">
        <v>3448</v>
      </c>
      <c r="D291" t="s">
        <v>1007</v>
      </c>
      <c r="E291" t="s">
        <v>3652</v>
      </c>
      <c r="F291" t="s">
        <v>3943</v>
      </c>
      <c r="G291">
        <v>8.17</v>
      </c>
      <c r="H291">
        <v>0</v>
      </c>
      <c r="I291">
        <v>0</v>
      </c>
      <c r="J291">
        <v>0</v>
      </c>
      <c r="K291">
        <v>0</v>
      </c>
      <c r="L291">
        <v>3</v>
      </c>
      <c r="M291">
        <v>48</v>
      </c>
      <c r="N291">
        <v>0</v>
      </c>
      <c r="O291">
        <v>0</v>
      </c>
      <c r="P291" s="2">
        <f>(H291 + J291) - (L291 + N291)</f>
        <v>0</v>
      </c>
      <c r="Q291" s="2">
        <f>P291 * G291</f>
        <v>0</v>
      </c>
      <c r="R291">
        <v>0</v>
      </c>
      <c r="S291" s="2">
        <f>R291 * G291</f>
        <v>0</v>
      </c>
      <c r="T291" s="2">
        <f>(H291 + J291) - (L291 + N291) - R291</f>
        <v>0</v>
      </c>
      <c r="U291" s="2">
        <f>T291 * G291</f>
        <v>0</v>
      </c>
      <c r="V291" s="2">
        <f>I291 + K291 - S291</f>
        <v>0</v>
      </c>
      <c r="W291" s="2">
        <f>M291 - V291</f>
        <v>0</v>
      </c>
      <c r="X291" s="2">
        <f>IFERROR(W291 / M291 * 100, 0)</f>
        <v>0</v>
      </c>
    </row>
    <row r="292" spans="1:24">
      <c r="A292" t="s">
        <v>2956</v>
      </c>
      <c r="B292" t="s">
        <v>513</v>
      </c>
      <c r="C292" t="s">
        <v>3449</v>
      </c>
      <c r="D292" t="s">
        <v>1007</v>
      </c>
      <c r="E292" t="s">
        <v>3652</v>
      </c>
      <c r="F292" t="s">
        <v>3944</v>
      </c>
      <c r="G292">
        <v>1.53</v>
      </c>
      <c r="H292">
        <v>0</v>
      </c>
      <c r="I292">
        <v>0</v>
      </c>
      <c r="J292">
        <v>17.9</v>
      </c>
      <c r="K292">
        <v>28.48</v>
      </c>
      <c r="L292">
        <v>11.47</v>
      </c>
      <c r="M292">
        <v>389.98</v>
      </c>
      <c r="N292">
        <v>2</v>
      </c>
      <c r="O292">
        <v>3.22</v>
      </c>
      <c r="P292" s="2">
        <f>(H292 + J292) - (L292 + N292)</f>
        <v>0</v>
      </c>
      <c r="Q292" s="2">
        <f>P292 * G292</f>
        <v>0</v>
      </c>
      <c r="R292">
        <v>0</v>
      </c>
      <c r="S292" s="2">
        <f>R292 * G292</f>
        <v>0</v>
      </c>
      <c r="T292" s="2">
        <f>(H292 + J292) - (L292 + N292) - R292</f>
        <v>0</v>
      </c>
      <c r="U292" s="2">
        <f>T292 * G292</f>
        <v>0</v>
      </c>
      <c r="V292" s="2">
        <f>I292 + K292 - S292</f>
        <v>0</v>
      </c>
      <c r="W292" s="2">
        <f>M292 - V292</f>
        <v>0</v>
      </c>
      <c r="X292" s="2">
        <f>IFERROR(W292 / M292 * 100, 0)</f>
        <v>0</v>
      </c>
    </row>
    <row r="293" spans="1:24">
      <c r="A293" t="s">
        <v>2957</v>
      </c>
      <c r="B293" t="s">
        <v>513</v>
      </c>
      <c r="C293" t="s">
        <v>3450</v>
      </c>
      <c r="D293" t="s">
        <v>1007</v>
      </c>
      <c r="E293" t="s">
        <v>3652</v>
      </c>
      <c r="F293" t="s">
        <v>3945</v>
      </c>
      <c r="G293">
        <v>9.08</v>
      </c>
      <c r="H293">
        <v>0</v>
      </c>
      <c r="I293">
        <v>0</v>
      </c>
      <c r="J293">
        <v>16.5</v>
      </c>
      <c r="K293">
        <v>151.15</v>
      </c>
      <c r="L293">
        <v>14.74</v>
      </c>
      <c r="M293">
        <v>442.05</v>
      </c>
      <c r="N293">
        <v>0</v>
      </c>
      <c r="O293">
        <v>0</v>
      </c>
      <c r="P293" s="2">
        <f>(H293 + J293) - (L293 + N293)</f>
        <v>0</v>
      </c>
      <c r="Q293" s="2">
        <f>P293 * G293</f>
        <v>0</v>
      </c>
      <c r="R293">
        <v>0</v>
      </c>
      <c r="S293" s="2">
        <f>R293 * G293</f>
        <v>0</v>
      </c>
      <c r="T293" s="2">
        <f>(H293 + J293) - (L293 + N293) - R293</f>
        <v>0</v>
      </c>
      <c r="U293" s="2">
        <f>T293 * G293</f>
        <v>0</v>
      </c>
      <c r="V293" s="2">
        <f>I293 + K293 - S293</f>
        <v>0</v>
      </c>
      <c r="W293" s="2">
        <f>M293 - V293</f>
        <v>0</v>
      </c>
      <c r="X293" s="2">
        <f>IFERROR(W293 / M293 * 100, 0)</f>
        <v>0</v>
      </c>
    </row>
    <row r="294" spans="1:24">
      <c r="A294" t="s">
        <v>2958</v>
      </c>
      <c r="B294" t="s">
        <v>513</v>
      </c>
      <c r="C294" t="s">
        <v>3451</v>
      </c>
      <c r="D294" t="s">
        <v>1007</v>
      </c>
      <c r="E294" t="s">
        <v>3652</v>
      </c>
      <c r="F294" t="s">
        <v>3946</v>
      </c>
      <c r="G294">
        <v>8.58</v>
      </c>
      <c r="H294">
        <v>0</v>
      </c>
      <c r="I294">
        <v>0</v>
      </c>
      <c r="J294">
        <v>384</v>
      </c>
      <c r="K294">
        <v>3317.3</v>
      </c>
      <c r="L294">
        <v>216.53</v>
      </c>
      <c r="M294">
        <v>4385.8</v>
      </c>
      <c r="N294">
        <v>121.53</v>
      </c>
      <c r="O294">
        <v>1056.22</v>
      </c>
      <c r="P294" s="2">
        <f>(H294 + J294) - (L294 + N294)</f>
        <v>0</v>
      </c>
      <c r="Q294" s="2">
        <f>P294 * G294</f>
        <v>0</v>
      </c>
      <c r="R294">
        <v>0</v>
      </c>
      <c r="S294" s="2">
        <f>R294 * G294</f>
        <v>0</v>
      </c>
      <c r="T294" s="2">
        <f>(H294 + J294) - (L294 + N294) - R294</f>
        <v>0</v>
      </c>
      <c r="U294" s="2">
        <f>T294 * G294</f>
        <v>0</v>
      </c>
      <c r="V294" s="2">
        <f>I294 + K294 - S294</f>
        <v>0</v>
      </c>
      <c r="W294" s="2">
        <f>M294 - V294</f>
        <v>0</v>
      </c>
      <c r="X294" s="2">
        <f>IFERROR(W294 / M294 * 100, 0)</f>
        <v>0</v>
      </c>
    </row>
    <row r="295" spans="1:24">
      <c r="A295" t="s">
        <v>2959</v>
      </c>
      <c r="B295" t="s">
        <v>513</v>
      </c>
      <c r="C295" t="s">
        <v>3452</v>
      </c>
      <c r="D295" t="s">
        <v>1007</v>
      </c>
      <c r="E295" t="s">
        <v>3652</v>
      </c>
      <c r="F295" t="s">
        <v>3947</v>
      </c>
      <c r="G295">
        <v>10.77</v>
      </c>
      <c r="H295">
        <v>0</v>
      </c>
      <c r="I295">
        <v>0</v>
      </c>
      <c r="J295">
        <v>237.2</v>
      </c>
      <c r="K295">
        <v>2539.1</v>
      </c>
      <c r="L295">
        <v>138.73</v>
      </c>
      <c r="M295">
        <v>3329.4</v>
      </c>
      <c r="N295">
        <v>59.3</v>
      </c>
      <c r="O295">
        <v>634.95</v>
      </c>
      <c r="P295" s="2">
        <f>(H295 + J295) - (L295 + N295)</f>
        <v>0</v>
      </c>
      <c r="Q295" s="2">
        <f>P295 * G295</f>
        <v>0</v>
      </c>
      <c r="R295">
        <v>0</v>
      </c>
      <c r="S295" s="2">
        <f>R295 * G295</f>
        <v>0</v>
      </c>
      <c r="T295" s="2">
        <f>(H295 + J295) - (L295 + N295) - R295</f>
        <v>0</v>
      </c>
      <c r="U295" s="2">
        <f>T295 * G295</f>
        <v>0</v>
      </c>
      <c r="V295" s="2">
        <f>I295 + K295 - S295</f>
        <v>0</v>
      </c>
      <c r="W295" s="2">
        <f>M295 - V295</f>
        <v>0</v>
      </c>
      <c r="X295" s="2">
        <f>IFERROR(W295 / M295 * 100, 0)</f>
        <v>0</v>
      </c>
    </row>
    <row r="296" spans="1:24">
      <c r="A296" t="s">
        <v>2960</v>
      </c>
      <c r="B296" t="s">
        <v>513</v>
      </c>
      <c r="C296" t="s">
        <v>3453</v>
      </c>
      <c r="D296" t="s">
        <v>1007</v>
      </c>
      <c r="E296" t="s">
        <v>3652</v>
      </c>
      <c r="F296" t="s">
        <v>3948</v>
      </c>
      <c r="G296">
        <v>8.279999999999999</v>
      </c>
      <c r="H296">
        <v>0</v>
      </c>
      <c r="I296">
        <v>0</v>
      </c>
      <c r="J296">
        <v>240.1</v>
      </c>
      <c r="K296">
        <v>1938.08</v>
      </c>
      <c r="L296">
        <v>170.98</v>
      </c>
      <c r="M296">
        <v>3661.11</v>
      </c>
      <c r="N296">
        <v>44</v>
      </c>
      <c r="O296">
        <v>354.07</v>
      </c>
      <c r="P296" s="2">
        <f>(H296 + J296) - (L296 + N296)</f>
        <v>0</v>
      </c>
      <c r="Q296" s="2">
        <f>P296 * G296</f>
        <v>0</v>
      </c>
      <c r="R296">
        <v>0</v>
      </c>
      <c r="S296" s="2">
        <f>R296 * G296</f>
        <v>0</v>
      </c>
      <c r="T296" s="2">
        <f>(H296 + J296) - (L296 + N296) - R296</f>
        <v>0</v>
      </c>
      <c r="U296" s="2">
        <f>T296 * G296</f>
        <v>0</v>
      </c>
      <c r="V296" s="2">
        <f>I296 + K296 - S296</f>
        <v>0</v>
      </c>
      <c r="W296" s="2">
        <f>M296 - V296</f>
        <v>0</v>
      </c>
      <c r="X296" s="2">
        <f>IFERROR(W296 / M296 * 100, 0)</f>
        <v>0</v>
      </c>
    </row>
    <row r="297" spans="1:24">
      <c r="A297" t="s">
        <v>2961</v>
      </c>
      <c r="B297" t="s">
        <v>513</v>
      </c>
      <c r="C297" t="s">
        <v>3454</v>
      </c>
      <c r="D297" t="s">
        <v>1008</v>
      </c>
      <c r="E297" t="s">
        <v>3652</v>
      </c>
      <c r="F297" t="s">
        <v>3949</v>
      </c>
      <c r="G297">
        <v>9.289999999999999</v>
      </c>
      <c r="H297">
        <v>0</v>
      </c>
      <c r="I297">
        <v>0</v>
      </c>
      <c r="J297">
        <v>361</v>
      </c>
      <c r="K297">
        <v>3411.05</v>
      </c>
      <c r="L297">
        <v>378</v>
      </c>
      <c r="M297">
        <v>5292</v>
      </c>
      <c r="N297">
        <v>23</v>
      </c>
      <c r="O297">
        <v>217.73</v>
      </c>
      <c r="P297" s="2">
        <f>(H297 + J297) - (L297 + N297)</f>
        <v>0</v>
      </c>
      <c r="Q297" s="2">
        <f>P297 * G297</f>
        <v>0</v>
      </c>
      <c r="R297">
        <v>0</v>
      </c>
      <c r="S297" s="2">
        <f>R297 * G297</f>
        <v>0</v>
      </c>
      <c r="T297" s="2">
        <f>(H297 + J297) - (L297 + N297) - R297</f>
        <v>0</v>
      </c>
      <c r="U297" s="2">
        <f>T297 * G297</f>
        <v>0</v>
      </c>
      <c r="V297" s="2">
        <f>I297 + K297 - S297</f>
        <v>0</v>
      </c>
      <c r="W297" s="2">
        <f>M297 - V297</f>
        <v>0</v>
      </c>
      <c r="X297" s="2">
        <f>IFERROR(W297 / M297 * 100, 0)</f>
        <v>0</v>
      </c>
    </row>
    <row r="298" spans="1:24">
      <c r="A298" t="s">
        <v>2962</v>
      </c>
      <c r="B298" t="s">
        <v>513</v>
      </c>
      <c r="C298" t="s">
        <v>3455</v>
      </c>
      <c r="D298" t="s">
        <v>1008</v>
      </c>
      <c r="E298" t="s">
        <v>3652</v>
      </c>
      <c r="F298" t="s">
        <v>3950</v>
      </c>
      <c r="G298">
        <v>2.37</v>
      </c>
      <c r="H298">
        <v>0</v>
      </c>
      <c r="I298">
        <v>0</v>
      </c>
      <c r="J298">
        <v>2983</v>
      </c>
      <c r="K298">
        <v>7064.79</v>
      </c>
      <c r="L298">
        <v>3220</v>
      </c>
      <c r="M298">
        <v>9660</v>
      </c>
      <c r="N298">
        <v>128</v>
      </c>
      <c r="O298">
        <v>304.27</v>
      </c>
      <c r="P298" s="2">
        <f>(H298 + J298) - (L298 + N298)</f>
        <v>0</v>
      </c>
      <c r="Q298" s="2">
        <f>P298 * G298</f>
        <v>0</v>
      </c>
      <c r="R298">
        <v>0</v>
      </c>
      <c r="S298" s="2">
        <f>R298 * G298</f>
        <v>0</v>
      </c>
      <c r="T298" s="2">
        <f>(H298 + J298) - (L298 + N298) - R298</f>
        <v>0</v>
      </c>
      <c r="U298" s="2">
        <f>T298 * G298</f>
        <v>0</v>
      </c>
      <c r="V298" s="2">
        <f>I298 + K298 - S298</f>
        <v>0</v>
      </c>
      <c r="W298" s="2">
        <f>M298 - V298</f>
        <v>0</v>
      </c>
      <c r="X298" s="2">
        <f>IFERROR(W298 / M298 * 100, 0)</f>
        <v>0</v>
      </c>
    </row>
    <row r="299" spans="1:24">
      <c r="A299" t="s">
        <v>2963</v>
      </c>
      <c r="B299" t="s">
        <v>512</v>
      </c>
      <c r="C299" t="s">
        <v>3456</v>
      </c>
      <c r="D299" t="s">
        <v>1008</v>
      </c>
      <c r="E299" t="s">
        <v>3652</v>
      </c>
      <c r="F299" t="s">
        <v>3951</v>
      </c>
      <c r="G299">
        <v>215</v>
      </c>
      <c r="H299">
        <v>1</v>
      </c>
      <c r="I299">
        <v>215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s="2">
        <f>(H299 + J299) - (L299 + N299)</f>
        <v>0</v>
      </c>
      <c r="Q299" s="2">
        <f>P299 * G299</f>
        <v>0</v>
      </c>
      <c r="R299">
        <v>1</v>
      </c>
      <c r="S299" s="2">
        <f>R299 * G299</f>
        <v>0</v>
      </c>
      <c r="T299" s="2">
        <f>(H299 + J299) - (L299 + N299) - R299</f>
        <v>0</v>
      </c>
      <c r="U299" s="2">
        <f>T299 * G299</f>
        <v>0</v>
      </c>
      <c r="V299" s="2">
        <f>I299 + K299 - S299</f>
        <v>0</v>
      </c>
      <c r="W299" s="2">
        <f>M299 - V299</f>
        <v>0</v>
      </c>
      <c r="X299" s="2">
        <f>IFERROR(W299 / M299 * 100, 0)</f>
        <v>0</v>
      </c>
    </row>
    <row r="300" spans="1:24">
      <c r="A300" t="s">
        <v>2964</v>
      </c>
      <c r="B300" t="s">
        <v>512</v>
      </c>
      <c r="C300" t="s">
        <v>3457</v>
      </c>
      <c r="D300" t="s">
        <v>1007</v>
      </c>
      <c r="E300" t="s">
        <v>3652</v>
      </c>
      <c r="F300" t="s">
        <v>3952</v>
      </c>
      <c r="G300">
        <v>9.5</v>
      </c>
      <c r="H300">
        <v>0</v>
      </c>
      <c r="I300">
        <v>0</v>
      </c>
      <c r="J300">
        <v>3</v>
      </c>
      <c r="K300">
        <v>28.5</v>
      </c>
      <c r="L300">
        <v>0</v>
      </c>
      <c r="M300">
        <v>0</v>
      </c>
      <c r="N300">
        <v>0</v>
      </c>
      <c r="O300">
        <v>0</v>
      </c>
      <c r="P300" s="2">
        <f>(H300 + J300) - (L300 + N300)</f>
        <v>0</v>
      </c>
      <c r="Q300" s="2">
        <f>P300 * G300</f>
        <v>0</v>
      </c>
      <c r="R300">
        <v>0</v>
      </c>
      <c r="S300" s="2">
        <f>R300 * G300</f>
        <v>0</v>
      </c>
      <c r="T300" s="2">
        <f>(H300 + J300) - (L300 + N300) - R300</f>
        <v>0</v>
      </c>
      <c r="U300" s="2">
        <f>T300 * G300</f>
        <v>0</v>
      </c>
      <c r="V300" s="2">
        <f>I300 + K300 - S300</f>
        <v>0</v>
      </c>
      <c r="W300" s="2">
        <f>M300 - V300</f>
        <v>0</v>
      </c>
      <c r="X300" s="2">
        <f>IFERROR(W300 / M300 * 100, 0)</f>
        <v>0</v>
      </c>
    </row>
    <row r="301" spans="1:24">
      <c r="A301" t="s">
        <v>2965</v>
      </c>
      <c r="B301" t="s">
        <v>512</v>
      </c>
      <c r="C301" t="s">
        <v>3458</v>
      </c>
      <c r="D301" t="s">
        <v>1007</v>
      </c>
      <c r="E301" t="s">
        <v>3652</v>
      </c>
      <c r="F301" t="s">
        <v>3953</v>
      </c>
      <c r="G301">
        <v>3.1</v>
      </c>
      <c r="H301">
        <v>0</v>
      </c>
      <c r="I301">
        <v>0</v>
      </c>
      <c r="J301">
        <v>4.45</v>
      </c>
      <c r="K301">
        <v>13.81</v>
      </c>
      <c r="L301">
        <v>0</v>
      </c>
      <c r="M301">
        <v>0</v>
      </c>
      <c r="N301">
        <v>0</v>
      </c>
      <c r="O301">
        <v>0</v>
      </c>
      <c r="P301" s="2">
        <f>(H301 + J301) - (L301 + N301)</f>
        <v>0</v>
      </c>
      <c r="Q301" s="2">
        <f>P301 * G301</f>
        <v>0</v>
      </c>
      <c r="R301">
        <v>0</v>
      </c>
      <c r="S301" s="2">
        <f>R301 * G301</f>
        <v>0</v>
      </c>
      <c r="T301" s="2">
        <f>(H301 + J301) - (L301 + N301) - R301</f>
        <v>0</v>
      </c>
      <c r="U301" s="2">
        <f>T301 * G301</f>
        <v>0</v>
      </c>
      <c r="V301" s="2">
        <f>I301 + K301 - S301</f>
        <v>0</v>
      </c>
      <c r="W301" s="2">
        <f>M301 - V301</f>
        <v>0</v>
      </c>
      <c r="X301" s="2">
        <f>IFERROR(W301 / M301 * 100, 0)</f>
        <v>0</v>
      </c>
    </row>
    <row r="302" spans="1:24">
      <c r="A302" t="s">
        <v>2966</v>
      </c>
      <c r="B302" t="s">
        <v>513</v>
      </c>
      <c r="C302" t="s">
        <v>3459</v>
      </c>
      <c r="D302" t="s">
        <v>1008</v>
      </c>
      <c r="E302" t="s">
        <v>3652</v>
      </c>
      <c r="F302" t="s">
        <v>3954</v>
      </c>
      <c r="G302">
        <v>10.17</v>
      </c>
      <c r="H302">
        <v>0</v>
      </c>
      <c r="I302">
        <v>0</v>
      </c>
      <c r="J302">
        <v>3</v>
      </c>
      <c r="K302">
        <v>30.02</v>
      </c>
      <c r="L302">
        <v>4</v>
      </c>
      <c r="M302">
        <v>68</v>
      </c>
      <c r="N302">
        <v>0</v>
      </c>
      <c r="O302">
        <v>0</v>
      </c>
      <c r="P302" s="2">
        <f>(H302 + J302) - (L302 + N302)</f>
        <v>0</v>
      </c>
      <c r="Q302" s="2">
        <f>P302 * G302</f>
        <v>0</v>
      </c>
      <c r="R302">
        <v>0</v>
      </c>
      <c r="S302" s="2">
        <f>R302 * G302</f>
        <v>0</v>
      </c>
      <c r="T302" s="2">
        <f>(H302 + J302) - (L302 + N302) - R302</f>
        <v>0</v>
      </c>
      <c r="U302" s="2">
        <f>T302 * G302</f>
        <v>0</v>
      </c>
      <c r="V302" s="2">
        <f>I302 + K302 - S302</f>
        <v>0</v>
      </c>
      <c r="W302" s="2">
        <f>M302 - V302</f>
        <v>0</v>
      </c>
      <c r="X302" s="2">
        <f>IFERROR(W302 / M302 * 100, 0)</f>
        <v>0</v>
      </c>
    </row>
    <row r="303" spans="1:24">
      <c r="A303" t="s">
        <v>2967</v>
      </c>
      <c r="B303" t="s">
        <v>513</v>
      </c>
      <c r="C303" t="s">
        <v>3460</v>
      </c>
      <c r="D303" t="s">
        <v>1008</v>
      </c>
      <c r="E303" t="s">
        <v>3652</v>
      </c>
      <c r="F303" t="s">
        <v>3955</v>
      </c>
      <c r="G303">
        <v>13.19</v>
      </c>
      <c r="H303">
        <v>0</v>
      </c>
      <c r="I303">
        <v>0</v>
      </c>
      <c r="J303">
        <v>1</v>
      </c>
      <c r="K303">
        <v>13.19</v>
      </c>
      <c r="L303">
        <v>1</v>
      </c>
      <c r="M303">
        <v>17</v>
      </c>
      <c r="N303">
        <v>0</v>
      </c>
      <c r="O303">
        <v>0</v>
      </c>
      <c r="P303" s="2">
        <f>(H303 + J303) - (L303 + N303)</f>
        <v>0</v>
      </c>
      <c r="Q303" s="2">
        <f>P303 * G303</f>
        <v>0</v>
      </c>
      <c r="R303">
        <v>0</v>
      </c>
      <c r="S303" s="2">
        <f>R303 * G303</f>
        <v>0</v>
      </c>
      <c r="T303" s="2">
        <f>(H303 + J303) - (L303 + N303) - R303</f>
        <v>0</v>
      </c>
      <c r="U303" s="2">
        <f>T303 * G303</f>
        <v>0</v>
      </c>
      <c r="V303" s="2">
        <f>I303 + K303 - S303</f>
        <v>0</v>
      </c>
      <c r="W303" s="2">
        <f>M303 - V303</f>
        <v>0</v>
      </c>
      <c r="X303" s="2">
        <f>IFERROR(W303 / M303 * 100, 0)</f>
        <v>0</v>
      </c>
    </row>
    <row r="304" spans="1:24">
      <c r="A304" t="s">
        <v>2968</v>
      </c>
      <c r="B304" t="s">
        <v>513</v>
      </c>
      <c r="C304" t="s">
        <v>3461</v>
      </c>
      <c r="D304" t="s">
        <v>1008</v>
      </c>
      <c r="E304" t="s">
        <v>3652</v>
      </c>
      <c r="F304" t="s">
        <v>3956</v>
      </c>
      <c r="G304">
        <v>11.41</v>
      </c>
      <c r="H304">
        <v>0</v>
      </c>
      <c r="I304">
        <v>0</v>
      </c>
      <c r="J304">
        <v>7</v>
      </c>
      <c r="K304">
        <v>78.89</v>
      </c>
      <c r="L304">
        <v>8</v>
      </c>
      <c r="M304">
        <v>128</v>
      </c>
      <c r="N304">
        <v>0</v>
      </c>
      <c r="O304">
        <v>0</v>
      </c>
      <c r="P304" s="2">
        <f>(H304 + J304) - (L304 + N304)</f>
        <v>0</v>
      </c>
      <c r="Q304" s="2">
        <f>P304 * G304</f>
        <v>0</v>
      </c>
      <c r="R304">
        <v>0</v>
      </c>
      <c r="S304" s="2">
        <f>R304 * G304</f>
        <v>0</v>
      </c>
      <c r="T304" s="2">
        <f>(H304 + J304) - (L304 + N304) - R304</f>
        <v>0</v>
      </c>
      <c r="U304" s="2">
        <f>T304 * G304</f>
        <v>0</v>
      </c>
      <c r="V304" s="2">
        <f>I304 + K304 - S304</f>
        <v>0</v>
      </c>
      <c r="W304" s="2">
        <f>M304 - V304</f>
        <v>0</v>
      </c>
      <c r="X304" s="2">
        <f>IFERROR(W304 / M304 * 100, 0)</f>
        <v>0</v>
      </c>
    </row>
    <row r="305" spans="1:24">
      <c r="A305" t="s">
        <v>2969</v>
      </c>
      <c r="B305" t="s">
        <v>513</v>
      </c>
      <c r="C305" t="s">
        <v>3462</v>
      </c>
      <c r="D305" t="s">
        <v>1008</v>
      </c>
      <c r="E305" t="s">
        <v>3652</v>
      </c>
      <c r="F305" t="s">
        <v>3957</v>
      </c>
      <c r="G305">
        <v>33.21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52</v>
      </c>
      <c r="N305">
        <v>0</v>
      </c>
      <c r="O305">
        <v>0</v>
      </c>
      <c r="P305" s="2">
        <f>(H305 + J305) - (L305 + N305)</f>
        <v>0</v>
      </c>
      <c r="Q305" s="2">
        <f>P305 * G305</f>
        <v>0</v>
      </c>
      <c r="R305">
        <v>0</v>
      </c>
      <c r="S305" s="2">
        <f>R305 * G305</f>
        <v>0</v>
      </c>
      <c r="T305" s="2">
        <f>(H305 + J305) - (L305 + N305) - R305</f>
        <v>0</v>
      </c>
      <c r="U305" s="2">
        <f>T305 * G305</f>
        <v>0</v>
      </c>
      <c r="V305" s="2">
        <f>I305 + K305 - S305</f>
        <v>0</v>
      </c>
      <c r="W305" s="2">
        <f>M305 - V305</f>
        <v>0</v>
      </c>
      <c r="X305" s="2">
        <f>IFERROR(W305 / M305 * 100, 0)</f>
        <v>0</v>
      </c>
    </row>
    <row r="306" spans="1:24">
      <c r="A306" t="s">
        <v>2970</v>
      </c>
      <c r="B306" t="s">
        <v>513</v>
      </c>
      <c r="C306" t="s">
        <v>3463</v>
      </c>
      <c r="D306" t="s">
        <v>1008</v>
      </c>
      <c r="E306" t="s">
        <v>3652</v>
      </c>
      <c r="F306" t="s">
        <v>3958</v>
      </c>
      <c r="G306">
        <v>22.78</v>
      </c>
      <c r="H306">
        <v>0</v>
      </c>
      <c r="I306">
        <v>0</v>
      </c>
      <c r="J306">
        <v>4</v>
      </c>
      <c r="K306">
        <v>88.94</v>
      </c>
      <c r="L306">
        <v>4</v>
      </c>
      <c r="M306">
        <v>120</v>
      </c>
      <c r="N306">
        <v>0</v>
      </c>
      <c r="O306">
        <v>0</v>
      </c>
      <c r="P306" s="2">
        <f>(H306 + J306) - (L306 + N306)</f>
        <v>0</v>
      </c>
      <c r="Q306" s="2">
        <f>P306 * G306</f>
        <v>0</v>
      </c>
      <c r="R306">
        <v>0</v>
      </c>
      <c r="S306" s="2">
        <f>R306 * G306</f>
        <v>0</v>
      </c>
      <c r="T306" s="2">
        <f>(H306 + J306) - (L306 + N306) - R306</f>
        <v>0</v>
      </c>
      <c r="U306" s="2">
        <f>T306 * G306</f>
        <v>0</v>
      </c>
      <c r="V306" s="2">
        <f>I306 + K306 - S306</f>
        <v>0</v>
      </c>
      <c r="W306" s="2">
        <f>M306 - V306</f>
        <v>0</v>
      </c>
      <c r="X306" s="2">
        <f>IFERROR(W306 / M306 * 100, 0)</f>
        <v>0</v>
      </c>
    </row>
    <row r="307" spans="1:24">
      <c r="A307" t="s">
        <v>2971</v>
      </c>
      <c r="B307" t="s">
        <v>512</v>
      </c>
      <c r="C307" t="s">
        <v>3464</v>
      </c>
      <c r="D307" t="s">
        <v>1008</v>
      </c>
      <c r="E307" t="s">
        <v>3652</v>
      </c>
      <c r="F307" t="s">
        <v>3959</v>
      </c>
      <c r="G307">
        <v>0.95</v>
      </c>
      <c r="H307">
        <v>16</v>
      </c>
      <c r="I307">
        <v>15.17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s="2">
        <f>(H307 + J307) - (L307 + N307)</f>
        <v>0</v>
      </c>
      <c r="Q307" s="2">
        <f>P307 * G307</f>
        <v>0</v>
      </c>
      <c r="R307">
        <v>3</v>
      </c>
      <c r="S307" s="2">
        <f>R307 * G307</f>
        <v>0</v>
      </c>
      <c r="T307" s="2">
        <f>(H307 + J307) - (L307 + N307) - R307</f>
        <v>0</v>
      </c>
      <c r="U307" s="2">
        <f>T307 * G307</f>
        <v>0</v>
      </c>
      <c r="V307" s="2">
        <f>I307 + K307 - S307</f>
        <v>0</v>
      </c>
      <c r="W307" s="2">
        <f>M307 - V307</f>
        <v>0</v>
      </c>
      <c r="X307" s="2">
        <f>IFERROR(W307 / M307 * 100, 0)</f>
        <v>0</v>
      </c>
    </row>
    <row r="308" spans="1:24">
      <c r="A308" t="s">
        <v>2972</v>
      </c>
      <c r="B308" t="s">
        <v>512</v>
      </c>
      <c r="C308" t="s">
        <v>3465</v>
      </c>
      <c r="D308" t="s">
        <v>1008</v>
      </c>
      <c r="E308" t="s">
        <v>3652</v>
      </c>
      <c r="F308" t="s">
        <v>3960</v>
      </c>
      <c r="G308">
        <v>1.36</v>
      </c>
      <c r="H308">
        <v>22</v>
      </c>
      <c r="I308">
        <v>29.99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s="2">
        <f>(H308 + J308) - (L308 + N308)</f>
        <v>0</v>
      </c>
      <c r="Q308" s="2">
        <f>P308 * G308</f>
        <v>0</v>
      </c>
      <c r="R308">
        <v>16</v>
      </c>
      <c r="S308" s="2">
        <f>R308 * G308</f>
        <v>0</v>
      </c>
      <c r="T308" s="2">
        <f>(H308 + J308) - (L308 + N308) - R308</f>
        <v>0</v>
      </c>
      <c r="U308" s="2">
        <f>T308 * G308</f>
        <v>0</v>
      </c>
      <c r="V308" s="2">
        <f>I308 + K308 - S308</f>
        <v>0</v>
      </c>
      <c r="W308" s="2">
        <f>M308 - V308</f>
        <v>0</v>
      </c>
      <c r="X308" s="2">
        <f>IFERROR(W308 / M308 * 100, 0)</f>
        <v>0</v>
      </c>
    </row>
    <row r="309" spans="1:24">
      <c r="A309" t="s">
        <v>2973</v>
      </c>
      <c r="B309" t="s">
        <v>512</v>
      </c>
      <c r="C309" t="s">
        <v>3466</v>
      </c>
      <c r="D309" t="s">
        <v>1008</v>
      </c>
      <c r="E309" t="s">
        <v>3652</v>
      </c>
      <c r="F309" t="s">
        <v>3961</v>
      </c>
      <c r="G309">
        <v>2.35</v>
      </c>
      <c r="H309">
        <v>6</v>
      </c>
      <c r="I309">
        <v>14.07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s="2">
        <f>(H309 + J309) - (L309 + N309)</f>
        <v>0</v>
      </c>
      <c r="Q309" s="2">
        <f>P309 * G309</f>
        <v>0</v>
      </c>
      <c r="R309">
        <v>6</v>
      </c>
      <c r="S309" s="2">
        <f>R309 * G309</f>
        <v>0</v>
      </c>
      <c r="T309" s="2">
        <f>(H309 + J309) - (L309 + N309) - R309</f>
        <v>0</v>
      </c>
      <c r="U309" s="2">
        <f>T309 * G309</f>
        <v>0</v>
      </c>
      <c r="V309" s="2">
        <f>I309 + K309 - S309</f>
        <v>0</v>
      </c>
      <c r="W309" s="2">
        <f>M309 - V309</f>
        <v>0</v>
      </c>
      <c r="X309" s="2">
        <f>IFERROR(W309 / M309 * 100, 0)</f>
        <v>0</v>
      </c>
    </row>
    <row r="310" spans="1:24">
      <c r="A310" t="s">
        <v>2974</v>
      </c>
      <c r="B310" t="s">
        <v>512</v>
      </c>
      <c r="C310" t="s">
        <v>3467</v>
      </c>
      <c r="D310" t="s">
        <v>1008</v>
      </c>
      <c r="E310" t="s">
        <v>3652</v>
      </c>
      <c r="F310" t="s">
        <v>3962</v>
      </c>
      <c r="G310">
        <v>175</v>
      </c>
      <c r="H310">
        <v>1</v>
      </c>
      <c r="I310">
        <v>175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s="2">
        <f>(H310 + J310) - (L310 + N310)</f>
        <v>0</v>
      </c>
      <c r="Q310" s="2">
        <f>P310 * G310</f>
        <v>0</v>
      </c>
      <c r="R310">
        <v>1</v>
      </c>
      <c r="S310" s="2">
        <f>R310 * G310</f>
        <v>0</v>
      </c>
      <c r="T310" s="2">
        <f>(H310 + J310) - (L310 + N310) - R310</f>
        <v>0</v>
      </c>
      <c r="U310" s="2">
        <f>T310 * G310</f>
        <v>0</v>
      </c>
      <c r="V310" s="2">
        <f>I310 + K310 - S310</f>
        <v>0</v>
      </c>
      <c r="W310" s="2">
        <f>M310 - V310</f>
        <v>0</v>
      </c>
      <c r="X310" s="2">
        <f>IFERROR(W310 / M310 * 100, 0)</f>
        <v>0</v>
      </c>
    </row>
    <row r="311" spans="1:24">
      <c r="A311" t="s">
        <v>2975</v>
      </c>
      <c r="B311" t="s">
        <v>512</v>
      </c>
      <c r="C311" t="s">
        <v>3468</v>
      </c>
      <c r="D311" t="s">
        <v>1008</v>
      </c>
      <c r="E311" t="s">
        <v>3652</v>
      </c>
      <c r="F311" t="s">
        <v>3963</v>
      </c>
      <c r="G311">
        <v>5</v>
      </c>
      <c r="H311">
        <v>0</v>
      </c>
      <c r="I311">
        <v>0</v>
      </c>
      <c r="J311">
        <v>33</v>
      </c>
      <c r="K311">
        <v>165</v>
      </c>
      <c r="L311">
        <v>0</v>
      </c>
      <c r="M311">
        <v>0</v>
      </c>
      <c r="N311">
        <v>0</v>
      </c>
      <c r="O311">
        <v>0</v>
      </c>
      <c r="P311" s="2">
        <f>(H311 + J311) - (L311 + N311)</f>
        <v>0</v>
      </c>
      <c r="Q311" s="2">
        <f>P311 * G311</f>
        <v>0</v>
      </c>
      <c r="R311">
        <v>0</v>
      </c>
      <c r="S311" s="2">
        <f>R311 * G311</f>
        <v>0</v>
      </c>
      <c r="T311" s="2">
        <f>(H311 + J311) - (L311 + N311) - R311</f>
        <v>0</v>
      </c>
      <c r="U311" s="2">
        <f>T311 * G311</f>
        <v>0</v>
      </c>
      <c r="V311" s="2">
        <f>I311 + K311 - S311</f>
        <v>0</v>
      </c>
      <c r="W311" s="2">
        <f>M311 - V311</f>
        <v>0</v>
      </c>
      <c r="X311" s="2">
        <f>IFERROR(W311 / M311 * 100, 0)</f>
        <v>0</v>
      </c>
    </row>
    <row r="312" spans="1:24">
      <c r="A312" t="s">
        <v>2976</v>
      </c>
      <c r="B312" t="s">
        <v>512</v>
      </c>
      <c r="C312" t="s">
        <v>3469</v>
      </c>
      <c r="D312" t="s">
        <v>1008</v>
      </c>
      <c r="E312" t="s">
        <v>3652</v>
      </c>
      <c r="F312" t="s">
        <v>3964</v>
      </c>
      <c r="G312">
        <v>0.58</v>
      </c>
      <c r="H312">
        <v>150</v>
      </c>
      <c r="I312">
        <v>87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s="2">
        <f>(H312 + J312) - (L312 + N312)</f>
        <v>0</v>
      </c>
      <c r="Q312" s="2">
        <f>P312 * G312</f>
        <v>0</v>
      </c>
      <c r="R312">
        <v>0</v>
      </c>
      <c r="S312" s="2">
        <f>R312 * G312</f>
        <v>0</v>
      </c>
      <c r="T312" s="2">
        <f>(H312 + J312) - (L312 + N312) - R312</f>
        <v>0</v>
      </c>
      <c r="U312" s="2">
        <f>T312 * G312</f>
        <v>0</v>
      </c>
      <c r="V312" s="2">
        <f>I312 + K312 - S312</f>
        <v>0</v>
      </c>
      <c r="W312" s="2">
        <f>M312 - V312</f>
        <v>0</v>
      </c>
      <c r="X312" s="2">
        <f>IFERROR(W312 / M312 * 100, 0)</f>
        <v>0</v>
      </c>
    </row>
    <row r="313" spans="1:24">
      <c r="A313" t="s">
        <v>2977</v>
      </c>
      <c r="B313" t="s">
        <v>512</v>
      </c>
      <c r="C313" t="s">
        <v>3470</v>
      </c>
      <c r="D313" t="s">
        <v>1008</v>
      </c>
      <c r="E313" t="s">
        <v>3652</v>
      </c>
      <c r="F313" t="s">
        <v>3965</v>
      </c>
      <c r="G313">
        <v>0.77</v>
      </c>
      <c r="H313">
        <v>150</v>
      </c>
      <c r="I313">
        <v>115.5</v>
      </c>
      <c r="J313">
        <v>200</v>
      </c>
      <c r="K313">
        <v>154</v>
      </c>
      <c r="L313">
        <v>0</v>
      </c>
      <c r="M313">
        <v>0</v>
      </c>
      <c r="N313">
        <v>0</v>
      </c>
      <c r="O313">
        <v>0</v>
      </c>
      <c r="P313" s="2">
        <f>(H313 + J313) - (L313 + N313)</f>
        <v>0</v>
      </c>
      <c r="Q313" s="2">
        <f>P313 * G313</f>
        <v>0</v>
      </c>
      <c r="R313">
        <v>200</v>
      </c>
      <c r="S313" s="2">
        <f>R313 * G313</f>
        <v>0</v>
      </c>
      <c r="T313" s="2">
        <f>(H313 + J313) - (L313 + N313) - R313</f>
        <v>0</v>
      </c>
      <c r="U313" s="2">
        <f>T313 * G313</f>
        <v>0</v>
      </c>
      <c r="V313" s="2">
        <f>I313 + K313 - S313</f>
        <v>0</v>
      </c>
      <c r="W313" s="2">
        <f>M313 - V313</f>
        <v>0</v>
      </c>
      <c r="X313" s="2">
        <f>IFERROR(W313 / M313 * 100, 0)</f>
        <v>0</v>
      </c>
    </row>
    <row r="314" spans="1:24">
      <c r="A314" t="s">
        <v>2978</v>
      </c>
      <c r="B314" t="s">
        <v>513</v>
      </c>
      <c r="C314" t="s">
        <v>3471</v>
      </c>
      <c r="D314" t="s">
        <v>1008</v>
      </c>
      <c r="E314" t="s">
        <v>3652</v>
      </c>
      <c r="F314" t="s">
        <v>3966</v>
      </c>
      <c r="G314">
        <v>19.93</v>
      </c>
      <c r="H314">
        <v>0</v>
      </c>
      <c r="I314">
        <v>0</v>
      </c>
      <c r="J314">
        <v>1</v>
      </c>
      <c r="K314">
        <v>19.93</v>
      </c>
      <c r="L314">
        <v>1</v>
      </c>
      <c r="M314">
        <v>35</v>
      </c>
      <c r="N314">
        <v>0</v>
      </c>
      <c r="O314">
        <v>0</v>
      </c>
      <c r="P314" s="2">
        <f>(H314 + J314) - (L314 + N314)</f>
        <v>0</v>
      </c>
      <c r="Q314" s="2">
        <f>P314 * G314</f>
        <v>0</v>
      </c>
      <c r="R314">
        <v>0</v>
      </c>
      <c r="S314" s="2">
        <f>R314 * G314</f>
        <v>0</v>
      </c>
      <c r="T314" s="2">
        <f>(H314 + J314) - (L314 + N314) - R314</f>
        <v>0</v>
      </c>
      <c r="U314" s="2">
        <f>T314 * G314</f>
        <v>0</v>
      </c>
      <c r="V314" s="2">
        <f>I314 + K314 - S314</f>
        <v>0</v>
      </c>
      <c r="W314" s="2">
        <f>M314 - V314</f>
        <v>0</v>
      </c>
      <c r="X314" s="2">
        <f>IFERROR(W314 / M314 * 100, 0)</f>
        <v>0</v>
      </c>
    </row>
    <row r="315" spans="1:24">
      <c r="A315" t="s">
        <v>2979</v>
      </c>
      <c r="B315" t="s">
        <v>512</v>
      </c>
      <c r="C315" t="s">
        <v>3472</v>
      </c>
      <c r="D315" t="s">
        <v>1007</v>
      </c>
      <c r="E315" t="s">
        <v>3652</v>
      </c>
      <c r="F315" t="s">
        <v>3967</v>
      </c>
      <c r="G315">
        <v>0</v>
      </c>
      <c r="H315">
        <v>0</v>
      </c>
      <c r="I315">
        <v>0</v>
      </c>
      <c r="J315">
        <v>-1.09</v>
      </c>
      <c r="K315">
        <v>0</v>
      </c>
      <c r="L315">
        <v>0</v>
      </c>
      <c r="M315">
        <v>0</v>
      </c>
      <c r="N315">
        <v>0</v>
      </c>
      <c r="O315">
        <v>0</v>
      </c>
      <c r="P315" s="2">
        <f>(H315 + J315) - (L315 + N315)</f>
        <v>0</v>
      </c>
      <c r="Q315" s="2">
        <f>P315 * G315</f>
        <v>0</v>
      </c>
      <c r="R315">
        <v>0</v>
      </c>
      <c r="S315" s="2">
        <f>R315 * G315</f>
        <v>0</v>
      </c>
      <c r="T315" s="2">
        <f>(H315 + J315) - (L315 + N315) - R315</f>
        <v>0</v>
      </c>
      <c r="U315" s="2">
        <f>T315 * G315</f>
        <v>0</v>
      </c>
      <c r="V315" s="2">
        <f>I315 + K315 - S315</f>
        <v>0</v>
      </c>
      <c r="W315" s="2">
        <f>M315 - V315</f>
        <v>0</v>
      </c>
      <c r="X315" s="2">
        <f>IFERROR(W315 / M315 * 100, 0)</f>
        <v>0</v>
      </c>
    </row>
    <row r="316" spans="1:24">
      <c r="A316" t="s">
        <v>2980</v>
      </c>
      <c r="B316" t="s">
        <v>513</v>
      </c>
      <c r="C316" t="s">
        <v>3473</v>
      </c>
      <c r="D316" t="s">
        <v>1008</v>
      </c>
      <c r="E316" t="s">
        <v>3652</v>
      </c>
      <c r="F316" t="s">
        <v>3968</v>
      </c>
      <c r="G316">
        <v>16.1</v>
      </c>
      <c r="H316">
        <v>0</v>
      </c>
      <c r="I316">
        <v>0</v>
      </c>
      <c r="J316">
        <v>13</v>
      </c>
      <c r="K316">
        <v>208.91</v>
      </c>
      <c r="L316">
        <v>17</v>
      </c>
      <c r="M316">
        <v>425</v>
      </c>
      <c r="N316">
        <v>0</v>
      </c>
      <c r="O316">
        <v>0</v>
      </c>
      <c r="P316" s="2">
        <f>(H316 + J316) - (L316 + N316)</f>
        <v>0</v>
      </c>
      <c r="Q316" s="2">
        <f>P316 * G316</f>
        <v>0</v>
      </c>
      <c r="R316">
        <v>0</v>
      </c>
      <c r="S316" s="2">
        <f>R316 * G316</f>
        <v>0</v>
      </c>
      <c r="T316" s="2">
        <f>(H316 + J316) - (L316 + N316) - R316</f>
        <v>0</v>
      </c>
      <c r="U316" s="2">
        <f>T316 * G316</f>
        <v>0</v>
      </c>
      <c r="V316" s="2">
        <f>I316 + K316 - S316</f>
        <v>0</v>
      </c>
      <c r="W316" s="2">
        <f>M316 - V316</f>
        <v>0</v>
      </c>
      <c r="X316" s="2">
        <f>IFERROR(W316 / M316 * 100, 0)</f>
        <v>0</v>
      </c>
    </row>
    <row r="317" spans="1:24">
      <c r="A317" t="s">
        <v>2981</v>
      </c>
      <c r="B317" t="s">
        <v>513</v>
      </c>
      <c r="C317" t="s">
        <v>3474</v>
      </c>
      <c r="D317" t="s">
        <v>1008</v>
      </c>
      <c r="E317" t="s">
        <v>3652</v>
      </c>
      <c r="F317" t="s">
        <v>3969</v>
      </c>
      <c r="G317">
        <v>5.56</v>
      </c>
      <c r="H317">
        <v>0</v>
      </c>
      <c r="I317">
        <v>0</v>
      </c>
      <c r="J317">
        <v>228</v>
      </c>
      <c r="K317">
        <v>1269.37</v>
      </c>
      <c r="L317">
        <v>234</v>
      </c>
      <c r="M317">
        <v>2106</v>
      </c>
      <c r="N317">
        <v>0</v>
      </c>
      <c r="O317">
        <v>0</v>
      </c>
      <c r="P317" s="2">
        <f>(H317 + J317) - (L317 + N317)</f>
        <v>0</v>
      </c>
      <c r="Q317" s="2">
        <f>P317 * G317</f>
        <v>0</v>
      </c>
      <c r="R317">
        <v>0</v>
      </c>
      <c r="S317" s="2">
        <f>R317 * G317</f>
        <v>0</v>
      </c>
      <c r="T317" s="2">
        <f>(H317 + J317) - (L317 + N317) - R317</f>
        <v>0</v>
      </c>
      <c r="U317" s="2">
        <f>T317 * G317</f>
        <v>0</v>
      </c>
      <c r="V317" s="2">
        <f>I317 + K317 - S317</f>
        <v>0</v>
      </c>
      <c r="W317" s="2">
        <f>M317 - V317</f>
        <v>0</v>
      </c>
      <c r="X317" s="2">
        <f>IFERROR(W317 / M317 * 100, 0)</f>
        <v>0</v>
      </c>
    </row>
    <row r="318" spans="1:24">
      <c r="A318" t="s">
        <v>2982</v>
      </c>
      <c r="B318" t="s">
        <v>513</v>
      </c>
      <c r="C318" t="s">
        <v>3475</v>
      </c>
      <c r="D318" t="s">
        <v>1008</v>
      </c>
      <c r="E318" t="s">
        <v>3652</v>
      </c>
      <c r="F318" t="s">
        <v>3970</v>
      </c>
      <c r="G318">
        <v>21.74</v>
      </c>
      <c r="H318">
        <v>0</v>
      </c>
      <c r="I318">
        <v>0</v>
      </c>
      <c r="J318">
        <v>7</v>
      </c>
      <c r="K318">
        <v>151.82</v>
      </c>
      <c r="L318">
        <v>7</v>
      </c>
      <c r="M318">
        <v>231</v>
      </c>
      <c r="N318">
        <v>0</v>
      </c>
      <c r="O318">
        <v>0</v>
      </c>
      <c r="P318" s="2">
        <f>(H318 + J318) - (L318 + N318)</f>
        <v>0</v>
      </c>
      <c r="Q318" s="2">
        <f>P318 * G318</f>
        <v>0</v>
      </c>
      <c r="R318">
        <v>0</v>
      </c>
      <c r="S318" s="2">
        <f>R318 * G318</f>
        <v>0</v>
      </c>
      <c r="T318" s="2">
        <f>(H318 + J318) - (L318 + N318) - R318</f>
        <v>0</v>
      </c>
      <c r="U318" s="2">
        <f>T318 * G318</f>
        <v>0</v>
      </c>
      <c r="V318" s="2">
        <f>I318 + K318 - S318</f>
        <v>0</v>
      </c>
      <c r="W318" s="2">
        <f>M318 - V318</f>
        <v>0</v>
      </c>
      <c r="X318" s="2">
        <f>IFERROR(W318 / M318 * 100, 0)</f>
        <v>0</v>
      </c>
    </row>
    <row r="319" spans="1:24">
      <c r="A319" t="s">
        <v>2983</v>
      </c>
      <c r="B319" t="s">
        <v>513</v>
      </c>
      <c r="C319" t="s">
        <v>3476</v>
      </c>
      <c r="D319" t="s">
        <v>1008</v>
      </c>
      <c r="E319" t="s">
        <v>3652</v>
      </c>
      <c r="F319" t="s">
        <v>3971</v>
      </c>
      <c r="G319">
        <v>31.67</v>
      </c>
      <c r="H319">
        <v>0</v>
      </c>
      <c r="I319">
        <v>0</v>
      </c>
      <c r="J319">
        <v>4</v>
      </c>
      <c r="K319">
        <v>126.28</v>
      </c>
      <c r="L319">
        <v>4</v>
      </c>
      <c r="M319">
        <v>196</v>
      </c>
      <c r="N319">
        <v>0</v>
      </c>
      <c r="O319">
        <v>0</v>
      </c>
      <c r="P319" s="2">
        <f>(H319 + J319) - (L319 + N319)</f>
        <v>0</v>
      </c>
      <c r="Q319" s="2">
        <f>P319 * G319</f>
        <v>0</v>
      </c>
      <c r="R319">
        <v>0</v>
      </c>
      <c r="S319" s="2">
        <f>R319 * G319</f>
        <v>0</v>
      </c>
      <c r="T319" s="2">
        <f>(H319 + J319) - (L319 + N319) - R319</f>
        <v>0</v>
      </c>
      <c r="U319" s="2">
        <f>T319 * G319</f>
        <v>0</v>
      </c>
      <c r="V319" s="2">
        <f>I319 + K319 - S319</f>
        <v>0</v>
      </c>
      <c r="W319" s="2">
        <f>M319 - V319</f>
        <v>0</v>
      </c>
      <c r="X319" s="2">
        <f>IFERROR(W319 / M319 * 100, 0)</f>
        <v>0</v>
      </c>
    </row>
    <row r="320" spans="1:24">
      <c r="A320" t="s">
        <v>2984</v>
      </c>
      <c r="B320" t="s">
        <v>513</v>
      </c>
      <c r="C320" t="s">
        <v>3477</v>
      </c>
      <c r="D320" t="s">
        <v>1008</v>
      </c>
      <c r="E320" t="s">
        <v>3652</v>
      </c>
      <c r="F320" t="s">
        <v>3972</v>
      </c>
      <c r="G320">
        <v>10.84</v>
      </c>
      <c r="H320">
        <v>0</v>
      </c>
      <c r="I320">
        <v>0</v>
      </c>
      <c r="J320">
        <v>38</v>
      </c>
      <c r="K320">
        <v>360.18</v>
      </c>
      <c r="L320">
        <v>57</v>
      </c>
      <c r="M320">
        <v>897</v>
      </c>
      <c r="N320">
        <v>0</v>
      </c>
      <c r="O320">
        <v>0</v>
      </c>
      <c r="P320" s="2">
        <f>(H320 + J320) - (L320 + N320)</f>
        <v>0</v>
      </c>
      <c r="Q320" s="2">
        <f>P320 * G320</f>
        <v>0</v>
      </c>
      <c r="R320">
        <v>0</v>
      </c>
      <c r="S320" s="2">
        <f>R320 * G320</f>
        <v>0</v>
      </c>
      <c r="T320" s="2">
        <f>(H320 + J320) - (L320 + N320) - R320</f>
        <v>0</v>
      </c>
      <c r="U320" s="2">
        <f>T320 * G320</f>
        <v>0</v>
      </c>
      <c r="V320" s="2">
        <f>I320 + K320 - S320</f>
        <v>0</v>
      </c>
      <c r="W320" s="2">
        <f>M320 - V320</f>
        <v>0</v>
      </c>
      <c r="X320" s="2">
        <f>IFERROR(W320 / M320 * 100, 0)</f>
        <v>0</v>
      </c>
    </row>
    <row r="321" spans="1:24">
      <c r="A321" t="s">
        <v>2985</v>
      </c>
      <c r="B321" t="s">
        <v>513</v>
      </c>
      <c r="C321" t="s">
        <v>3478</v>
      </c>
      <c r="D321" t="s">
        <v>1007</v>
      </c>
      <c r="E321" t="s">
        <v>3652</v>
      </c>
      <c r="F321" t="s">
        <v>3973</v>
      </c>
      <c r="G321">
        <v>4.52</v>
      </c>
      <c r="H321">
        <v>0</v>
      </c>
      <c r="I321">
        <v>0</v>
      </c>
      <c r="J321">
        <v>37.2</v>
      </c>
      <c r="K321">
        <v>165.83</v>
      </c>
      <c r="L321">
        <v>39.33</v>
      </c>
      <c r="M321">
        <v>629.28</v>
      </c>
      <c r="N321">
        <v>0</v>
      </c>
      <c r="O321">
        <v>0</v>
      </c>
      <c r="P321" s="2">
        <f>(H321 + J321) - (L321 + N321)</f>
        <v>0</v>
      </c>
      <c r="Q321" s="2">
        <f>P321 * G321</f>
        <v>0</v>
      </c>
      <c r="R321">
        <v>0</v>
      </c>
      <c r="S321" s="2">
        <f>R321 * G321</f>
        <v>0</v>
      </c>
      <c r="T321" s="2">
        <f>(H321 + J321) - (L321 + N321) - R321</f>
        <v>0</v>
      </c>
      <c r="U321" s="2">
        <f>T321 * G321</f>
        <v>0</v>
      </c>
      <c r="V321" s="2">
        <f>I321 + K321 - S321</f>
        <v>0</v>
      </c>
      <c r="W321" s="2">
        <f>M321 - V321</f>
        <v>0</v>
      </c>
      <c r="X321" s="2">
        <f>IFERROR(W321 / M321 * 100, 0)</f>
        <v>0</v>
      </c>
    </row>
    <row r="322" spans="1:24">
      <c r="A322" t="s">
        <v>2986</v>
      </c>
      <c r="B322" t="s">
        <v>513</v>
      </c>
      <c r="C322" t="s">
        <v>3479</v>
      </c>
      <c r="D322" t="s">
        <v>1007</v>
      </c>
      <c r="E322" t="s">
        <v>3652</v>
      </c>
      <c r="F322" t="s">
        <v>3974</v>
      </c>
      <c r="G322">
        <v>1.97</v>
      </c>
      <c r="H322">
        <v>0</v>
      </c>
      <c r="I322">
        <v>0</v>
      </c>
      <c r="J322">
        <v>912.6</v>
      </c>
      <c r="K322">
        <v>1778.11</v>
      </c>
      <c r="L322">
        <v>909.87</v>
      </c>
      <c r="M322">
        <v>5459.2</v>
      </c>
      <c r="N322">
        <v>0</v>
      </c>
      <c r="O322">
        <v>0</v>
      </c>
      <c r="P322" s="2">
        <f>(H322 + J322) - (L322 + N322)</f>
        <v>0</v>
      </c>
      <c r="Q322" s="2">
        <f>P322 * G322</f>
        <v>0</v>
      </c>
      <c r="R322">
        <v>0</v>
      </c>
      <c r="S322" s="2">
        <f>R322 * G322</f>
        <v>0</v>
      </c>
      <c r="T322" s="2">
        <f>(H322 + J322) - (L322 + N322) - R322</f>
        <v>0</v>
      </c>
      <c r="U322" s="2">
        <f>T322 * G322</f>
        <v>0</v>
      </c>
      <c r="V322" s="2">
        <f>I322 + K322 - S322</f>
        <v>0</v>
      </c>
      <c r="W322" s="2">
        <f>M322 - V322</f>
        <v>0</v>
      </c>
      <c r="X322" s="2">
        <f>IFERROR(W322 / M322 * 100, 0)</f>
        <v>0</v>
      </c>
    </row>
    <row r="323" spans="1:24">
      <c r="A323" t="s">
        <v>2987</v>
      </c>
      <c r="B323" t="s">
        <v>513</v>
      </c>
      <c r="C323" t="s">
        <v>3480</v>
      </c>
      <c r="D323" t="s">
        <v>1008</v>
      </c>
      <c r="E323" t="s">
        <v>3652</v>
      </c>
      <c r="F323" t="s">
        <v>3975</v>
      </c>
      <c r="G323">
        <v>3.1</v>
      </c>
      <c r="H323">
        <v>0</v>
      </c>
      <c r="I323">
        <v>0</v>
      </c>
      <c r="J323">
        <v>16</v>
      </c>
      <c r="K323">
        <v>51.16</v>
      </c>
      <c r="L323">
        <v>77</v>
      </c>
      <c r="M323">
        <v>577.5</v>
      </c>
      <c r="N323">
        <v>0</v>
      </c>
      <c r="O323">
        <v>0</v>
      </c>
      <c r="P323" s="2">
        <f>(H323 + J323) - (L323 + N323)</f>
        <v>0</v>
      </c>
      <c r="Q323" s="2">
        <f>P323 * G323</f>
        <v>0</v>
      </c>
      <c r="R323">
        <v>23</v>
      </c>
      <c r="S323" s="2">
        <f>R323 * G323</f>
        <v>0</v>
      </c>
      <c r="T323" s="2">
        <f>(H323 + J323) - (L323 + N323) - R323</f>
        <v>0</v>
      </c>
      <c r="U323" s="2">
        <f>T323 * G323</f>
        <v>0</v>
      </c>
      <c r="V323" s="2">
        <f>I323 + K323 - S323</f>
        <v>0</v>
      </c>
      <c r="W323" s="2">
        <f>M323 - V323</f>
        <v>0</v>
      </c>
      <c r="X323" s="2">
        <f>IFERROR(W323 / M323 * 100, 0)</f>
        <v>0</v>
      </c>
    </row>
    <row r="324" spans="1:24">
      <c r="A324" t="s">
        <v>2988</v>
      </c>
      <c r="B324" t="s">
        <v>512</v>
      </c>
      <c r="C324" t="s">
        <v>3481</v>
      </c>
      <c r="D324" t="s">
        <v>1007</v>
      </c>
      <c r="E324" t="s">
        <v>3652</v>
      </c>
      <c r="F324" t="s">
        <v>3976</v>
      </c>
      <c r="G324">
        <v>20</v>
      </c>
      <c r="H324">
        <v>0</v>
      </c>
      <c r="I324">
        <v>0</v>
      </c>
      <c r="J324">
        <v>0</v>
      </c>
      <c r="K324">
        <v>0</v>
      </c>
      <c r="L324">
        <v>3.29</v>
      </c>
      <c r="M324">
        <v>65.8</v>
      </c>
      <c r="N324">
        <v>0</v>
      </c>
      <c r="O324">
        <v>0</v>
      </c>
      <c r="P324" s="2">
        <f>(H324 + J324) - (L324 + N324)</f>
        <v>0</v>
      </c>
      <c r="Q324" s="2">
        <f>P324 * G324</f>
        <v>0</v>
      </c>
      <c r="R324">
        <v>0</v>
      </c>
      <c r="S324" s="2">
        <f>R324 * G324</f>
        <v>0</v>
      </c>
      <c r="T324" s="2">
        <f>(H324 + J324) - (L324 + N324) - R324</f>
        <v>0</v>
      </c>
      <c r="U324" s="2">
        <f>T324 * G324</f>
        <v>0</v>
      </c>
      <c r="V324" s="2">
        <f>I324 + K324 - S324</f>
        <v>0</v>
      </c>
      <c r="W324" s="2">
        <f>M324 - V324</f>
        <v>0</v>
      </c>
      <c r="X324" s="2">
        <f>IFERROR(W324 / M324 * 100, 0)</f>
        <v>0</v>
      </c>
    </row>
    <row r="325" spans="1:24">
      <c r="A325" t="s">
        <v>2989</v>
      </c>
      <c r="B325" t="s">
        <v>513</v>
      </c>
      <c r="C325" t="s">
        <v>3482</v>
      </c>
      <c r="D325" t="s">
        <v>1007</v>
      </c>
      <c r="E325" t="s">
        <v>3652</v>
      </c>
      <c r="F325" t="s">
        <v>3977</v>
      </c>
      <c r="G325">
        <v>3.64</v>
      </c>
      <c r="H325">
        <v>8</v>
      </c>
      <c r="I325">
        <v>29.09</v>
      </c>
      <c r="J325">
        <v>0</v>
      </c>
      <c r="K325">
        <v>0</v>
      </c>
      <c r="L325">
        <v>20.23</v>
      </c>
      <c r="M325">
        <v>647.36</v>
      </c>
      <c r="N325">
        <v>0</v>
      </c>
      <c r="O325">
        <v>0</v>
      </c>
      <c r="P325" s="2">
        <f>(H325 + J325) - (L325 + N325)</f>
        <v>0</v>
      </c>
      <c r="Q325" s="2">
        <f>P325 * G325</f>
        <v>0</v>
      </c>
      <c r="R325">
        <v>24</v>
      </c>
      <c r="S325" s="2">
        <f>R325 * G325</f>
        <v>0</v>
      </c>
      <c r="T325" s="2">
        <f>(H325 + J325) - (L325 + N325) - R325</f>
        <v>0</v>
      </c>
      <c r="U325" s="2">
        <f>T325 * G325</f>
        <v>0</v>
      </c>
      <c r="V325" s="2">
        <f>I325 + K325 - S325</f>
        <v>0</v>
      </c>
      <c r="W325" s="2">
        <f>M325 - V325</f>
        <v>0</v>
      </c>
      <c r="X325" s="2">
        <f>IFERROR(W325 / M325 * 100, 0)</f>
        <v>0</v>
      </c>
    </row>
    <row r="326" spans="1:24">
      <c r="A326" t="s">
        <v>2990</v>
      </c>
      <c r="B326" t="s">
        <v>513</v>
      </c>
      <c r="C326" t="s">
        <v>3483</v>
      </c>
      <c r="D326" t="s">
        <v>1007</v>
      </c>
      <c r="E326" t="s">
        <v>3652</v>
      </c>
      <c r="F326" t="s">
        <v>3978</v>
      </c>
      <c r="G326">
        <v>9.27</v>
      </c>
      <c r="H326">
        <v>6</v>
      </c>
      <c r="I326">
        <v>48.68</v>
      </c>
      <c r="J326">
        <v>35.01</v>
      </c>
      <c r="K326">
        <v>185.38</v>
      </c>
      <c r="L326">
        <v>25.37</v>
      </c>
      <c r="M326">
        <v>1395.36</v>
      </c>
      <c r="N326">
        <v>0</v>
      </c>
      <c r="O326">
        <v>0</v>
      </c>
      <c r="P326" s="2">
        <f>(H326 + J326) - (L326 + N326)</f>
        <v>0</v>
      </c>
      <c r="Q326" s="2">
        <f>P326 * G326</f>
        <v>0</v>
      </c>
      <c r="R326">
        <v>6</v>
      </c>
      <c r="S326" s="2">
        <f>R326 * G326</f>
        <v>0</v>
      </c>
      <c r="T326" s="2">
        <f>(H326 + J326) - (L326 + N326) - R326</f>
        <v>0</v>
      </c>
      <c r="U326" s="2">
        <f>T326 * G326</f>
        <v>0</v>
      </c>
      <c r="V326" s="2">
        <f>I326 + K326 - S326</f>
        <v>0</v>
      </c>
      <c r="W326" s="2">
        <f>M326 - V326</f>
        <v>0</v>
      </c>
      <c r="X326" s="2">
        <f>IFERROR(W326 / M326 * 100, 0)</f>
        <v>0</v>
      </c>
    </row>
    <row r="327" spans="1:24">
      <c r="A327" t="s">
        <v>2991</v>
      </c>
      <c r="B327" t="s">
        <v>513</v>
      </c>
      <c r="C327" t="s">
        <v>3484</v>
      </c>
      <c r="D327" t="s">
        <v>1007</v>
      </c>
      <c r="E327" t="s">
        <v>3652</v>
      </c>
      <c r="F327" t="s">
        <v>3979</v>
      </c>
      <c r="G327">
        <v>7.32</v>
      </c>
      <c r="H327">
        <v>0</v>
      </c>
      <c r="I327">
        <v>0</v>
      </c>
      <c r="J327">
        <v>129.8</v>
      </c>
      <c r="K327">
        <v>939.23</v>
      </c>
      <c r="L327">
        <v>78.06</v>
      </c>
      <c r="M327">
        <v>2185.54</v>
      </c>
      <c r="N327">
        <v>17.1</v>
      </c>
      <c r="O327">
        <v>123.94</v>
      </c>
      <c r="P327" s="2">
        <f>(H327 + J327) - (L327 + N327)</f>
        <v>0</v>
      </c>
      <c r="Q327" s="2">
        <f>P327 * G327</f>
        <v>0</v>
      </c>
      <c r="R327">
        <v>0</v>
      </c>
      <c r="S327" s="2">
        <f>R327 * G327</f>
        <v>0</v>
      </c>
      <c r="T327" s="2">
        <f>(H327 + J327) - (L327 + N327) - R327</f>
        <v>0</v>
      </c>
      <c r="U327" s="2">
        <f>T327 * G327</f>
        <v>0</v>
      </c>
      <c r="V327" s="2">
        <f>I327 + K327 - S327</f>
        <v>0</v>
      </c>
      <c r="W327" s="2">
        <f>M327 - V327</f>
        <v>0</v>
      </c>
      <c r="X327" s="2">
        <f>IFERROR(W327 / M327 * 100, 0)</f>
        <v>0</v>
      </c>
    </row>
    <row r="328" spans="1:24">
      <c r="A328" t="s">
        <v>2992</v>
      </c>
      <c r="B328" t="s">
        <v>513</v>
      </c>
      <c r="C328" t="s">
        <v>3485</v>
      </c>
      <c r="D328" t="s">
        <v>1008</v>
      </c>
      <c r="E328" t="s">
        <v>3652</v>
      </c>
      <c r="F328" t="s">
        <v>3980</v>
      </c>
      <c r="G328">
        <v>0.55</v>
      </c>
      <c r="H328">
        <v>0</v>
      </c>
      <c r="I328">
        <v>0</v>
      </c>
      <c r="J328">
        <v>2098</v>
      </c>
      <c r="K328">
        <v>1072.75</v>
      </c>
      <c r="L328">
        <v>1851</v>
      </c>
      <c r="M328">
        <v>1851</v>
      </c>
      <c r="N328">
        <v>120</v>
      </c>
      <c r="O328">
        <v>64.34</v>
      </c>
      <c r="P328" s="2">
        <f>(H328 + J328) - (L328 + N328)</f>
        <v>0</v>
      </c>
      <c r="Q328" s="2">
        <f>P328 * G328</f>
        <v>0</v>
      </c>
      <c r="R328">
        <v>0</v>
      </c>
      <c r="S328" s="2">
        <f>R328 * G328</f>
        <v>0</v>
      </c>
      <c r="T328" s="2">
        <f>(H328 + J328) - (L328 + N328) - R328</f>
        <v>0</v>
      </c>
      <c r="U328" s="2">
        <f>T328 * G328</f>
        <v>0</v>
      </c>
      <c r="V328" s="2">
        <f>I328 + K328 - S328</f>
        <v>0</v>
      </c>
      <c r="W328" s="2">
        <f>M328 - V328</f>
        <v>0</v>
      </c>
      <c r="X328" s="2">
        <f>IFERROR(W328 / M328 * 100, 0)</f>
        <v>0</v>
      </c>
    </row>
    <row r="329" spans="1:24">
      <c r="A329" t="s">
        <v>2993</v>
      </c>
      <c r="B329" t="s">
        <v>513</v>
      </c>
      <c r="C329" t="s">
        <v>3486</v>
      </c>
      <c r="D329" t="s">
        <v>1007</v>
      </c>
      <c r="E329" t="s">
        <v>3652</v>
      </c>
      <c r="F329" t="s">
        <v>3981</v>
      </c>
      <c r="G329">
        <v>9.130000000000001</v>
      </c>
      <c r="H329">
        <v>0</v>
      </c>
      <c r="I329">
        <v>0</v>
      </c>
      <c r="J329">
        <v>122</v>
      </c>
      <c r="K329">
        <v>613.7</v>
      </c>
      <c r="L329">
        <v>86.45999999999999</v>
      </c>
      <c r="M329">
        <v>2766.56</v>
      </c>
      <c r="N329">
        <v>0</v>
      </c>
      <c r="O329">
        <v>0</v>
      </c>
      <c r="P329" s="2">
        <f>(H329 + J329) - (L329 + N329)</f>
        <v>0</v>
      </c>
      <c r="Q329" s="2">
        <f>P329 * G329</f>
        <v>0</v>
      </c>
      <c r="R329">
        <v>0</v>
      </c>
      <c r="S329" s="2">
        <f>R329 * G329</f>
        <v>0</v>
      </c>
      <c r="T329" s="2">
        <f>(H329 + J329) - (L329 + N329) - R329</f>
        <v>0</v>
      </c>
      <c r="U329" s="2">
        <f>T329 * G329</f>
        <v>0</v>
      </c>
      <c r="V329" s="2">
        <f>I329 + K329 - S329</f>
        <v>0</v>
      </c>
      <c r="W329" s="2">
        <f>M329 - V329</f>
        <v>0</v>
      </c>
      <c r="X329" s="2">
        <f>IFERROR(W329 / M329 * 100, 0)</f>
        <v>0</v>
      </c>
    </row>
    <row r="330" spans="1:24">
      <c r="A330" t="s">
        <v>2994</v>
      </c>
      <c r="B330" t="s">
        <v>513</v>
      </c>
      <c r="C330" t="s">
        <v>3487</v>
      </c>
      <c r="D330" t="s">
        <v>1008</v>
      </c>
      <c r="E330" t="s">
        <v>3652</v>
      </c>
      <c r="F330" t="s">
        <v>3982</v>
      </c>
      <c r="G330">
        <v>10.52</v>
      </c>
      <c r="H330">
        <v>0</v>
      </c>
      <c r="I330">
        <v>0</v>
      </c>
      <c r="J330">
        <v>95</v>
      </c>
      <c r="K330">
        <v>1009.62</v>
      </c>
      <c r="L330">
        <v>29</v>
      </c>
      <c r="M330">
        <v>464</v>
      </c>
      <c r="N330">
        <v>34</v>
      </c>
      <c r="O330">
        <v>362.06</v>
      </c>
      <c r="P330" s="2">
        <f>(H330 + J330) - (L330 + N330)</f>
        <v>0</v>
      </c>
      <c r="Q330" s="2">
        <f>P330 * G330</f>
        <v>0</v>
      </c>
      <c r="R330">
        <v>0</v>
      </c>
      <c r="S330" s="2">
        <f>R330 * G330</f>
        <v>0</v>
      </c>
      <c r="T330" s="2">
        <f>(H330 + J330) - (L330 + N330) - R330</f>
        <v>0</v>
      </c>
      <c r="U330" s="2">
        <f>T330 * G330</f>
        <v>0</v>
      </c>
      <c r="V330" s="2">
        <f>I330 + K330 - S330</f>
        <v>0</v>
      </c>
      <c r="W330" s="2">
        <f>M330 - V330</f>
        <v>0</v>
      </c>
      <c r="X330" s="2">
        <f>IFERROR(W330 / M330 * 100, 0)</f>
        <v>0</v>
      </c>
    </row>
    <row r="331" spans="1:24">
      <c r="A331" t="s">
        <v>2995</v>
      </c>
      <c r="B331" t="s">
        <v>513</v>
      </c>
      <c r="C331" t="s">
        <v>3488</v>
      </c>
      <c r="D331" t="s">
        <v>1007</v>
      </c>
      <c r="E331" t="s">
        <v>3652</v>
      </c>
      <c r="F331" t="s">
        <v>3983</v>
      </c>
      <c r="G331">
        <v>10.32</v>
      </c>
      <c r="H331">
        <v>0</v>
      </c>
      <c r="I331">
        <v>0</v>
      </c>
      <c r="J331">
        <v>67.59999999999999</v>
      </c>
      <c r="K331">
        <v>683.52</v>
      </c>
      <c r="L331">
        <v>27.28</v>
      </c>
      <c r="M331">
        <v>763.7</v>
      </c>
      <c r="N331">
        <v>26.5</v>
      </c>
      <c r="O331">
        <v>266.43</v>
      </c>
      <c r="P331" s="2">
        <f>(H331 + J331) - (L331 + N331)</f>
        <v>0</v>
      </c>
      <c r="Q331" s="2">
        <f>P331 * G331</f>
        <v>0</v>
      </c>
      <c r="R331">
        <v>0</v>
      </c>
      <c r="S331" s="2">
        <f>R331 * G331</f>
        <v>0</v>
      </c>
      <c r="T331" s="2">
        <f>(H331 + J331) - (L331 + N331) - R331</f>
        <v>0</v>
      </c>
      <c r="U331" s="2">
        <f>T331 * G331</f>
        <v>0</v>
      </c>
      <c r="V331" s="2">
        <f>I331 + K331 - S331</f>
        <v>0</v>
      </c>
      <c r="W331" s="2">
        <f>M331 - V331</f>
        <v>0</v>
      </c>
      <c r="X331" s="2">
        <f>IFERROR(W331 / M331 * 100, 0)</f>
        <v>0</v>
      </c>
    </row>
    <row r="332" spans="1:24">
      <c r="A332" t="s">
        <v>2996</v>
      </c>
      <c r="B332" t="s">
        <v>513</v>
      </c>
      <c r="C332" t="s">
        <v>3489</v>
      </c>
      <c r="D332" t="s">
        <v>1007</v>
      </c>
      <c r="E332" t="s">
        <v>3652</v>
      </c>
      <c r="F332" t="s">
        <v>3984</v>
      </c>
      <c r="G332">
        <v>12.26</v>
      </c>
      <c r="H332">
        <v>0</v>
      </c>
      <c r="I332">
        <v>0</v>
      </c>
      <c r="J332">
        <v>0</v>
      </c>
      <c r="K332">
        <v>0</v>
      </c>
      <c r="L332">
        <v>0.97</v>
      </c>
      <c r="M332">
        <v>19.3</v>
      </c>
      <c r="N332">
        <v>0</v>
      </c>
      <c r="O332">
        <v>0</v>
      </c>
      <c r="P332" s="2">
        <f>(H332 + J332) - (L332 + N332)</f>
        <v>0</v>
      </c>
      <c r="Q332" s="2">
        <f>P332 * G332</f>
        <v>0</v>
      </c>
      <c r="R332">
        <v>0</v>
      </c>
      <c r="S332" s="2">
        <f>R332 * G332</f>
        <v>0</v>
      </c>
      <c r="T332" s="2">
        <f>(H332 + J332) - (L332 + N332) - R332</f>
        <v>0</v>
      </c>
      <c r="U332" s="2">
        <f>T332 * G332</f>
        <v>0</v>
      </c>
      <c r="V332" s="2">
        <f>I332 + K332 - S332</f>
        <v>0</v>
      </c>
      <c r="W332" s="2">
        <f>M332 - V332</f>
        <v>0</v>
      </c>
      <c r="X332" s="2">
        <f>IFERROR(W332 / M332 * 100, 0)</f>
        <v>0</v>
      </c>
    </row>
    <row r="333" spans="1:24">
      <c r="A333" t="s">
        <v>2997</v>
      </c>
      <c r="B333" t="s">
        <v>512</v>
      </c>
      <c r="C333" t="s">
        <v>3490</v>
      </c>
      <c r="D333" t="s">
        <v>1007</v>
      </c>
      <c r="E333" t="s">
        <v>3652</v>
      </c>
      <c r="F333" t="s">
        <v>3985</v>
      </c>
      <c r="G333">
        <v>11.06</v>
      </c>
      <c r="H333">
        <v>0</v>
      </c>
      <c r="I333">
        <v>0</v>
      </c>
      <c r="J333">
        <v>0.8</v>
      </c>
      <c r="K333">
        <v>8.85</v>
      </c>
      <c r="L333">
        <v>0</v>
      </c>
      <c r="M333">
        <v>0</v>
      </c>
      <c r="N333">
        <v>0</v>
      </c>
      <c r="O333">
        <v>0</v>
      </c>
      <c r="P333" s="2">
        <f>(H333 + J333) - (L333 + N333)</f>
        <v>0</v>
      </c>
      <c r="Q333" s="2">
        <f>P333 * G333</f>
        <v>0</v>
      </c>
      <c r="R333">
        <v>0</v>
      </c>
      <c r="S333" s="2">
        <f>R333 * G333</f>
        <v>0</v>
      </c>
      <c r="T333" s="2">
        <f>(H333 + J333) - (L333 + N333) - R333</f>
        <v>0</v>
      </c>
      <c r="U333" s="2">
        <f>T333 * G333</f>
        <v>0</v>
      </c>
      <c r="V333" s="2">
        <f>I333 + K333 - S333</f>
        <v>0</v>
      </c>
      <c r="W333" s="2">
        <f>M333 - V333</f>
        <v>0</v>
      </c>
      <c r="X333" s="2">
        <f>IFERROR(W333 / M333 * 100, 0)</f>
        <v>0</v>
      </c>
    </row>
    <row r="334" spans="1:24">
      <c r="A334" t="s">
        <v>2998</v>
      </c>
      <c r="B334" t="s">
        <v>512</v>
      </c>
      <c r="C334" t="s">
        <v>3491</v>
      </c>
      <c r="D334" t="s">
        <v>1007</v>
      </c>
      <c r="E334" t="s">
        <v>3652</v>
      </c>
      <c r="F334" t="s">
        <v>3986</v>
      </c>
      <c r="G334">
        <v>0</v>
      </c>
      <c r="H334">
        <v>0</v>
      </c>
      <c r="I334">
        <v>0</v>
      </c>
      <c r="J334">
        <v>-17.93</v>
      </c>
      <c r="K334">
        <v>0</v>
      </c>
      <c r="L334">
        <v>0</v>
      </c>
      <c r="M334">
        <v>0</v>
      </c>
      <c r="N334">
        <v>0</v>
      </c>
      <c r="O334">
        <v>0</v>
      </c>
      <c r="P334" s="2">
        <f>(H334 + J334) - (L334 + N334)</f>
        <v>0</v>
      </c>
      <c r="Q334" s="2">
        <f>P334 * G334</f>
        <v>0</v>
      </c>
      <c r="R334">
        <v>0</v>
      </c>
      <c r="S334" s="2">
        <f>R334 * G334</f>
        <v>0</v>
      </c>
      <c r="T334" s="2">
        <f>(H334 + J334) - (L334 + N334) - R334</f>
        <v>0</v>
      </c>
      <c r="U334" s="2">
        <f>T334 * G334</f>
        <v>0</v>
      </c>
      <c r="V334" s="2">
        <f>I334 + K334 - S334</f>
        <v>0</v>
      </c>
      <c r="W334" s="2">
        <f>M334 - V334</f>
        <v>0</v>
      </c>
      <c r="X334" s="2">
        <f>IFERROR(W334 / M334 * 100, 0)</f>
        <v>0</v>
      </c>
    </row>
    <row r="335" spans="1:24">
      <c r="A335" t="s">
        <v>2999</v>
      </c>
      <c r="B335" t="s">
        <v>513</v>
      </c>
      <c r="C335" t="s">
        <v>3492</v>
      </c>
      <c r="D335" t="s">
        <v>1008</v>
      </c>
      <c r="E335" t="s">
        <v>3652</v>
      </c>
      <c r="F335" t="s">
        <v>3987</v>
      </c>
      <c r="G335">
        <v>0.17</v>
      </c>
      <c r="H335">
        <v>0</v>
      </c>
      <c r="I335">
        <v>0</v>
      </c>
      <c r="J335">
        <v>427</v>
      </c>
      <c r="K335">
        <v>75.91</v>
      </c>
      <c r="L335">
        <v>230</v>
      </c>
      <c r="M335">
        <v>230</v>
      </c>
      <c r="N335">
        <v>39</v>
      </c>
      <c r="O335">
        <v>7.18</v>
      </c>
      <c r="P335" s="2">
        <f>(H335 + J335) - (L335 + N335)</f>
        <v>0</v>
      </c>
      <c r="Q335" s="2">
        <f>P335 * G335</f>
        <v>0</v>
      </c>
      <c r="R335">
        <v>0</v>
      </c>
      <c r="S335" s="2">
        <f>R335 * G335</f>
        <v>0</v>
      </c>
      <c r="T335" s="2">
        <f>(H335 + J335) - (L335 + N335) - R335</f>
        <v>0</v>
      </c>
      <c r="U335" s="2">
        <f>T335 * G335</f>
        <v>0</v>
      </c>
      <c r="V335" s="2">
        <f>I335 + K335 - S335</f>
        <v>0</v>
      </c>
      <c r="W335" s="2">
        <f>M335 - V335</f>
        <v>0</v>
      </c>
      <c r="X335" s="2">
        <f>IFERROR(W335 / M335 * 100, 0)</f>
        <v>0</v>
      </c>
    </row>
    <row r="336" spans="1:24">
      <c r="A336" t="s">
        <v>3000</v>
      </c>
      <c r="B336" t="s">
        <v>512</v>
      </c>
      <c r="C336" t="s">
        <v>3493</v>
      </c>
      <c r="D336" t="s">
        <v>1008</v>
      </c>
      <c r="E336" t="s">
        <v>3652</v>
      </c>
      <c r="F336" t="s">
        <v>3988</v>
      </c>
      <c r="G336">
        <v>44</v>
      </c>
      <c r="H336">
        <v>32</v>
      </c>
      <c r="I336">
        <v>1408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 s="2">
        <f>(H336 + J336) - (L336 + N336)</f>
        <v>0</v>
      </c>
      <c r="Q336" s="2">
        <f>P336 * G336</f>
        <v>0</v>
      </c>
      <c r="R336">
        <v>28</v>
      </c>
      <c r="S336" s="2">
        <f>R336 * G336</f>
        <v>0</v>
      </c>
      <c r="T336" s="2">
        <f>(H336 + J336) - (L336 + N336) - R336</f>
        <v>0</v>
      </c>
      <c r="U336" s="2">
        <f>T336 * G336</f>
        <v>0</v>
      </c>
      <c r="V336" s="2">
        <f>I336 + K336 - S336</f>
        <v>0</v>
      </c>
      <c r="W336" s="2">
        <f>M336 - V336</f>
        <v>0</v>
      </c>
      <c r="X336" s="2">
        <f>IFERROR(W336 / M336 * 100, 0)</f>
        <v>0</v>
      </c>
    </row>
    <row r="337" spans="1:24">
      <c r="A337" t="s">
        <v>3001</v>
      </c>
      <c r="B337" t="s">
        <v>512</v>
      </c>
      <c r="C337" t="s">
        <v>3494</v>
      </c>
      <c r="D337" t="s">
        <v>1007</v>
      </c>
      <c r="E337" t="s">
        <v>3652</v>
      </c>
      <c r="F337" t="s">
        <v>3989</v>
      </c>
      <c r="G337">
        <v>9.81</v>
      </c>
      <c r="H337">
        <v>10</v>
      </c>
      <c r="I337">
        <v>98.13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 s="2">
        <f>(H337 + J337) - (L337 + N337)</f>
        <v>0</v>
      </c>
      <c r="Q337" s="2">
        <f>P337 * G337</f>
        <v>0</v>
      </c>
      <c r="R337">
        <v>10</v>
      </c>
      <c r="S337" s="2">
        <f>R337 * G337</f>
        <v>0</v>
      </c>
      <c r="T337" s="2">
        <f>(H337 + J337) - (L337 + N337) - R337</f>
        <v>0</v>
      </c>
      <c r="U337" s="2">
        <f>T337 * G337</f>
        <v>0</v>
      </c>
      <c r="V337" s="2">
        <f>I337 + K337 - S337</f>
        <v>0</v>
      </c>
      <c r="W337" s="2">
        <f>M337 - V337</f>
        <v>0</v>
      </c>
      <c r="X337" s="2">
        <f>IFERROR(W337 / M337 * 100, 0)</f>
        <v>0</v>
      </c>
    </row>
    <row r="338" spans="1:24">
      <c r="A338" t="s">
        <v>3002</v>
      </c>
      <c r="B338" t="s">
        <v>512</v>
      </c>
      <c r="C338" t="s">
        <v>3495</v>
      </c>
      <c r="D338" t="s">
        <v>1008</v>
      </c>
      <c r="E338" t="s">
        <v>3652</v>
      </c>
      <c r="F338" t="s">
        <v>3990</v>
      </c>
      <c r="G338">
        <v>117</v>
      </c>
      <c r="H338">
        <v>1</v>
      </c>
      <c r="I338">
        <v>117</v>
      </c>
      <c r="J338">
        <v>3</v>
      </c>
      <c r="K338">
        <v>351</v>
      </c>
      <c r="L338">
        <v>0</v>
      </c>
      <c r="M338">
        <v>0</v>
      </c>
      <c r="N338">
        <v>0</v>
      </c>
      <c r="O338">
        <v>0</v>
      </c>
      <c r="P338" s="2">
        <f>(H338 + J338) - (L338 + N338)</f>
        <v>0</v>
      </c>
      <c r="Q338" s="2">
        <f>P338 * G338</f>
        <v>0</v>
      </c>
      <c r="R338">
        <v>1</v>
      </c>
      <c r="S338" s="2">
        <f>R338 * G338</f>
        <v>0</v>
      </c>
      <c r="T338" s="2">
        <f>(H338 + J338) - (L338 + N338) - R338</f>
        <v>0</v>
      </c>
      <c r="U338" s="2">
        <f>T338 * G338</f>
        <v>0</v>
      </c>
      <c r="V338" s="2">
        <f>I338 + K338 - S338</f>
        <v>0</v>
      </c>
      <c r="W338" s="2">
        <f>M338 - V338</f>
        <v>0</v>
      </c>
      <c r="X338" s="2">
        <f>IFERROR(W338 / M338 * 100, 0)</f>
        <v>0</v>
      </c>
    </row>
    <row r="339" spans="1:24">
      <c r="A339" t="s">
        <v>3003</v>
      </c>
      <c r="B339" t="s">
        <v>513</v>
      </c>
      <c r="C339" t="s">
        <v>3496</v>
      </c>
      <c r="D339" t="s">
        <v>1007</v>
      </c>
      <c r="E339" t="s">
        <v>3652</v>
      </c>
      <c r="F339" t="s">
        <v>3991</v>
      </c>
      <c r="G339">
        <v>4.36</v>
      </c>
      <c r="H339">
        <v>0</v>
      </c>
      <c r="I339">
        <v>0</v>
      </c>
      <c r="J339">
        <v>26.4</v>
      </c>
      <c r="K339">
        <v>96.25</v>
      </c>
      <c r="L339">
        <v>19.48</v>
      </c>
      <c r="M339">
        <v>311.6</v>
      </c>
      <c r="N339">
        <v>6.7</v>
      </c>
      <c r="O339">
        <v>28.75</v>
      </c>
      <c r="P339" s="2">
        <f>(H339 + J339) - (L339 + N339)</f>
        <v>0</v>
      </c>
      <c r="Q339" s="2">
        <f>P339 * G339</f>
        <v>0</v>
      </c>
      <c r="R339">
        <v>0</v>
      </c>
      <c r="S339" s="2">
        <f>R339 * G339</f>
        <v>0</v>
      </c>
      <c r="T339" s="2">
        <f>(H339 + J339) - (L339 + N339) - R339</f>
        <v>0</v>
      </c>
      <c r="U339" s="2">
        <f>T339 * G339</f>
        <v>0</v>
      </c>
      <c r="V339" s="2">
        <f>I339 + K339 - S339</f>
        <v>0</v>
      </c>
      <c r="W339" s="2">
        <f>M339 - V339</f>
        <v>0</v>
      </c>
      <c r="X339" s="2">
        <f>IFERROR(W339 / M339 * 100, 0)</f>
        <v>0</v>
      </c>
    </row>
    <row r="340" spans="1:24">
      <c r="A340" t="s">
        <v>3004</v>
      </c>
      <c r="B340" t="s">
        <v>513</v>
      </c>
      <c r="C340" t="s">
        <v>3497</v>
      </c>
      <c r="D340" t="s">
        <v>1008</v>
      </c>
      <c r="E340" t="s">
        <v>3652</v>
      </c>
      <c r="F340" t="s">
        <v>3992</v>
      </c>
      <c r="G340">
        <v>2.21</v>
      </c>
      <c r="H340">
        <v>0</v>
      </c>
      <c r="I340">
        <v>0</v>
      </c>
      <c r="J340">
        <v>989</v>
      </c>
      <c r="K340">
        <v>2328.5</v>
      </c>
      <c r="L340">
        <v>1049</v>
      </c>
      <c r="M340">
        <v>5245.97</v>
      </c>
      <c r="N340">
        <v>0</v>
      </c>
      <c r="O340">
        <v>0</v>
      </c>
      <c r="P340" s="2">
        <f>(H340 + J340) - (L340 + N340)</f>
        <v>0</v>
      </c>
      <c r="Q340" s="2">
        <f>P340 * G340</f>
        <v>0</v>
      </c>
      <c r="R340">
        <v>0</v>
      </c>
      <c r="S340" s="2">
        <f>R340 * G340</f>
        <v>0</v>
      </c>
      <c r="T340" s="2">
        <f>(H340 + J340) - (L340 + N340) - R340</f>
        <v>0</v>
      </c>
      <c r="U340" s="2">
        <f>T340 * G340</f>
        <v>0</v>
      </c>
      <c r="V340" s="2">
        <f>I340 + K340 - S340</f>
        <v>0</v>
      </c>
      <c r="W340" s="2">
        <f>M340 - V340</f>
        <v>0</v>
      </c>
      <c r="X340" s="2">
        <f>IFERROR(W340 / M340 * 100, 0)</f>
        <v>0</v>
      </c>
    </row>
    <row r="341" spans="1:24">
      <c r="A341" t="s">
        <v>3005</v>
      </c>
      <c r="B341" t="s">
        <v>513</v>
      </c>
      <c r="C341" t="s">
        <v>3498</v>
      </c>
      <c r="D341" t="s">
        <v>1008</v>
      </c>
      <c r="E341" t="s">
        <v>3652</v>
      </c>
      <c r="F341" t="s">
        <v>3993</v>
      </c>
      <c r="G341">
        <v>2.2</v>
      </c>
      <c r="H341">
        <v>0</v>
      </c>
      <c r="I341">
        <v>0</v>
      </c>
      <c r="J341">
        <v>15</v>
      </c>
      <c r="K341">
        <v>34.76</v>
      </c>
      <c r="L341">
        <v>28</v>
      </c>
      <c r="M341">
        <v>140</v>
      </c>
      <c r="N341">
        <v>0</v>
      </c>
      <c r="O341">
        <v>0</v>
      </c>
      <c r="P341" s="2">
        <f>(H341 + J341) - (L341 + N341)</f>
        <v>0</v>
      </c>
      <c r="Q341" s="2">
        <f>P341 * G341</f>
        <v>0</v>
      </c>
      <c r="R341">
        <v>0</v>
      </c>
      <c r="S341" s="2">
        <f>R341 * G341</f>
        <v>0</v>
      </c>
      <c r="T341" s="2">
        <f>(H341 + J341) - (L341 + N341) - R341</f>
        <v>0</v>
      </c>
      <c r="U341" s="2">
        <f>T341 * G341</f>
        <v>0</v>
      </c>
      <c r="V341" s="2">
        <f>I341 + K341 - S341</f>
        <v>0</v>
      </c>
      <c r="W341" s="2">
        <f>M341 - V341</f>
        <v>0</v>
      </c>
      <c r="X341" s="2">
        <f>IFERROR(W341 / M341 * 100, 0)</f>
        <v>0</v>
      </c>
    </row>
    <row r="342" spans="1:24">
      <c r="A342" t="s">
        <v>3006</v>
      </c>
      <c r="B342" t="s">
        <v>513</v>
      </c>
      <c r="C342" t="s">
        <v>3499</v>
      </c>
      <c r="D342" t="s">
        <v>1008</v>
      </c>
      <c r="E342" t="s">
        <v>3652</v>
      </c>
      <c r="F342" t="s">
        <v>3994</v>
      </c>
      <c r="G342">
        <v>2</v>
      </c>
      <c r="H342">
        <v>0</v>
      </c>
      <c r="I342">
        <v>0</v>
      </c>
      <c r="J342">
        <v>28</v>
      </c>
      <c r="K342">
        <v>62.64</v>
      </c>
      <c r="L342">
        <v>28</v>
      </c>
      <c r="M342">
        <v>168</v>
      </c>
      <c r="N342">
        <v>0</v>
      </c>
      <c r="O342">
        <v>0</v>
      </c>
      <c r="P342" s="2">
        <f>(H342 + J342) - (L342 + N342)</f>
        <v>0</v>
      </c>
      <c r="Q342" s="2">
        <f>P342 * G342</f>
        <v>0</v>
      </c>
      <c r="R342">
        <v>0</v>
      </c>
      <c r="S342" s="2">
        <f>R342 * G342</f>
        <v>0</v>
      </c>
      <c r="T342" s="2">
        <f>(H342 + J342) - (L342 + N342) - R342</f>
        <v>0</v>
      </c>
      <c r="U342" s="2">
        <f>T342 * G342</f>
        <v>0</v>
      </c>
      <c r="V342" s="2">
        <f>I342 + K342 - S342</f>
        <v>0</v>
      </c>
      <c r="W342" s="2">
        <f>M342 - V342</f>
        <v>0</v>
      </c>
      <c r="X342" s="2">
        <f>IFERROR(W342 / M342 * 100, 0)</f>
        <v>0</v>
      </c>
    </row>
    <row r="343" spans="1:24">
      <c r="A343" t="s">
        <v>3007</v>
      </c>
      <c r="B343" t="s">
        <v>513</v>
      </c>
      <c r="C343" t="s">
        <v>3500</v>
      </c>
      <c r="D343" t="s">
        <v>1007</v>
      </c>
      <c r="E343" t="s">
        <v>3652</v>
      </c>
      <c r="F343" t="s">
        <v>3995</v>
      </c>
      <c r="G343">
        <v>12.87</v>
      </c>
      <c r="H343">
        <v>0</v>
      </c>
      <c r="I343">
        <v>0</v>
      </c>
      <c r="J343">
        <v>95.5</v>
      </c>
      <c r="K343">
        <v>1230.33</v>
      </c>
      <c r="L343">
        <v>58.46</v>
      </c>
      <c r="M343">
        <v>1462.25</v>
      </c>
      <c r="N343">
        <v>12</v>
      </c>
      <c r="O343">
        <v>154.58</v>
      </c>
      <c r="P343" s="2">
        <f>(H343 + J343) - (L343 + N343)</f>
        <v>0</v>
      </c>
      <c r="Q343" s="2">
        <f>P343 * G343</f>
        <v>0</v>
      </c>
      <c r="R343">
        <v>0</v>
      </c>
      <c r="S343" s="2">
        <f>R343 * G343</f>
        <v>0</v>
      </c>
      <c r="T343" s="2">
        <f>(H343 + J343) - (L343 + N343) - R343</f>
        <v>0</v>
      </c>
      <c r="U343" s="2">
        <f>T343 * G343</f>
        <v>0</v>
      </c>
      <c r="V343" s="2">
        <f>I343 + K343 - S343</f>
        <v>0</v>
      </c>
      <c r="W343" s="2">
        <f>M343 - V343</f>
        <v>0</v>
      </c>
      <c r="X343" s="2">
        <f>IFERROR(W343 / M343 * 100, 0)</f>
        <v>0</v>
      </c>
    </row>
    <row r="344" spans="1:24">
      <c r="A344" t="s">
        <v>3008</v>
      </c>
      <c r="B344" t="s">
        <v>513</v>
      </c>
      <c r="C344" t="s">
        <v>3501</v>
      </c>
      <c r="D344" t="s">
        <v>1008</v>
      </c>
      <c r="E344" t="s">
        <v>3652</v>
      </c>
      <c r="F344" t="s">
        <v>3996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28</v>
      </c>
      <c r="N344">
        <v>0</v>
      </c>
      <c r="O344">
        <v>0</v>
      </c>
      <c r="P344" s="2">
        <f>(H344 + J344) - (L344 + N344)</f>
        <v>0</v>
      </c>
      <c r="Q344" s="2">
        <f>P344 * G344</f>
        <v>0</v>
      </c>
      <c r="R344">
        <v>0</v>
      </c>
      <c r="S344" s="2">
        <f>R344 * G344</f>
        <v>0</v>
      </c>
      <c r="T344" s="2">
        <f>(H344 + J344) - (L344 + N344) - R344</f>
        <v>0</v>
      </c>
      <c r="U344" s="2">
        <f>T344 * G344</f>
        <v>0</v>
      </c>
      <c r="V344" s="2">
        <f>I344 + K344 - S344</f>
        <v>0</v>
      </c>
      <c r="W344" s="2">
        <f>M344 - V344</f>
        <v>0</v>
      </c>
      <c r="X344" s="2">
        <f>IFERROR(W344 / M344 * 100, 0)</f>
        <v>0</v>
      </c>
    </row>
    <row r="345" spans="1:24">
      <c r="A345" t="s">
        <v>3009</v>
      </c>
      <c r="B345" t="s">
        <v>513</v>
      </c>
      <c r="C345" t="s">
        <v>3502</v>
      </c>
      <c r="D345" t="s">
        <v>1007</v>
      </c>
      <c r="E345" t="s">
        <v>3652</v>
      </c>
      <c r="F345" t="s">
        <v>3997</v>
      </c>
      <c r="G345">
        <v>11.59</v>
      </c>
      <c r="H345">
        <v>0</v>
      </c>
      <c r="I345">
        <v>0</v>
      </c>
      <c r="J345">
        <v>20.8</v>
      </c>
      <c r="K345">
        <v>235.77</v>
      </c>
      <c r="L345">
        <v>15.37</v>
      </c>
      <c r="M345">
        <v>307.4</v>
      </c>
      <c r="N345">
        <v>6.7</v>
      </c>
      <c r="O345">
        <v>80.94</v>
      </c>
      <c r="P345" s="2">
        <f>(H345 + J345) - (L345 + N345)</f>
        <v>0</v>
      </c>
      <c r="Q345" s="2">
        <f>P345 * G345</f>
        <v>0</v>
      </c>
      <c r="R345">
        <v>0</v>
      </c>
      <c r="S345" s="2">
        <f>R345 * G345</f>
        <v>0</v>
      </c>
      <c r="T345" s="2">
        <f>(H345 + J345) - (L345 + N345) - R345</f>
        <v>0</v>
      </c>
      <c r="U345" s="2">
        <f>T345 * G345</f>
        <v>0</v>
      </c>
      <c r="V345" s="2">
        <f>I345 + K345 - S345</f>
        <v>0</v>
      </c>
      <c r="W345" s="2">
        <f>M345 - V345</f>
        <v>0</v>
      </c>
      <c r="X345" s="2">
        <f>IFERROR(W345 / M345 * 100, 0)</f>
        <v>0</v>
      </c>
    </row>
    <row r="346" spans="1:24">
      <c r="A346" t="s">
        <v>3010</v>
      </c>
      <c r="B346" t="s">
        <v>513</v>
      </c>
      <c r="C346" t="s">
        <v>3503</v>
      </c>
      <c r="D346" t="s">
        <v>1007</v>
      </c>
      <c r="E346" t="s">
        <v>3652</v>
      </c>
      <c r="F346" t="s">
        <v>3998</v>
      </c>
      <c r="G346">
        <v>3.09</v>
      </c>
      <c r="H346">
        <v>3</v>
      </c>
      <c r="I346">
        <v>9.27</v>
      </c>
      <c r="J346">
        <v>30.25</v>
      </c>
      <c r="K346">
        <v>93.87</v>
      </c>
      <c r="L346">
        <v>45.56</v>
      </c>
      <c r="M346">
        <v>547.79</v>
      </c>
      <c r="N346">
        <v>0</v>
      </c>
      <c r="O346">
        <v>0</v>
      </c>
      <c r="P346" s="2">
        <f>(H346 + J346) - (L346 + N346)</f>
        <v>0</v>
      </c>
      <c r="Q346" s="2">
        <f>P346 * G346</f>
        <v>0</v>
      </c>
      <c r="R346">
        <v>25</v>
      </c>
      <c r="S346" s="2">
        <f>R346 * G346</f>
        <v>0</v>
      </c>
      <c r="T346" s="2">
        <f>(H346 + J346) - (L346 + N346) - R346</f>
        <v>0</v>
      </c>
      <c r="U346" s="2">
        <f>T346 * G346</f>
        <v>0</v>
      </c>
      <c r="V346" s="2">
        <f>I346 + K346 - S346</f>
        <v>0</v>
      </c>
      <c r="W346" s="2">
        <f>M346 - V346</f>
        <v>0</v>
      </c>
      <c r="X346" s="2">
        <f>IFERROR(W346 / M346 * 100, 0)</f>
        <v>0</v>
      </c>
    </row>
    <row r="347" spans="1:24">
      <c r="A347" t="s">
        <v>3011</v>
      </c>
      <c r="B347" t="s">
        <v>513</v>
      </c>
      <c r="C347" t="s">
        <v>3504</v>
      </c>
      <c r="D347" t="s">
        <v>1008</v>
      </c>
      <c r="E347" t="s">
        <v>3652</v>
      </c>
      <c r="F347" t="s">
        <v>3999</v>
      </c>
      <c r="G347">
        <v>0.28</v>
      </c>
      <c r="H347">
        <v>130</v>
      </c>
      <c r="I347">
        <v>35.15</v>
      </c>
      <c r="J347">
        <v>2351</v>
      </c>
      <c r="K347">
        <v>596.71</v>
      </c>
      <c r="L347">
        <v>2607</v>
      </c>
      <c r="M347">
        <v>2607</v>
      </c>
      <c r="N347">
        <v>0</v>
      </c>
      <c r="O347">
        <v>0</v>
      </c>
      <c r="P347" s="2">
        <f>(H347 + J347) - (L347 + N347)</f>
        <v>0</v>
      </c>
      <c r="Q347" s="2">
        <f>P347 * G347</f>
        <v>0</v>
      </c>
      <c r="R347">
        <v>100</v>
      </c>
      <c r="S347" s="2">
        <f>R347 * G347</f>
        <v>0</v>
      </c>
      <c r="T347" s="2">
        <f>(H347 + J347) - (L347 + N347) - R347</f>
        <v>0</v>
      </c>
      <c r="U347" s="2">
        <f>T347 * G347</f>
        <v>0</v>
      </c>
      <c r="V347" s="2">
        <f>I347 + K347 - S347</f>
        <v>0</v>
      </c>
      <c r="W347" s="2">
        <f>M347 - V347</f>
        <v>0</v>
      </c>
      <c r="X347" s="2">
        <f>IFERROR(W347 / M347 * 100, 0)</f>
        <v>0</v>
      </c>
    </row>
    <row r="348" spans="1:24">
      <c r="A348" t="s">
        <v>3012</v>
      </c>
      <c r="B348" t="s">
        <v>513</v>
      </c>
      <c r="C348" t="s">
        <v>3505</v>
      </c>
      <c r="D348" t="s">
        <v>1008</v>
      </c>
      <c r="E348" t="s">
        <v>3652</v>
      </c>
      <c r="F348" t="s">
        <v>4000</v>
      </c>
      <c r="G348">
        <v>4.78</v>
      </c>
      <c r="H348">
        <v>0</v>
      </c>
      <c r="I348">
        <v>0</v>
      </c>
      <c r="J348">
        <v>245</v>
      </c>
      <c r="K348">
        <v>1146.55</v>
      </c>
      <c r="L348">
        <v>305</v>
      </c>
      <c r="M348">
        <v>1677.5</v>
      </c>
      <c r="N348">
        <v>0</v>
      </c>
      <c r="O348">
        <v>0</v>
      </c>
      <c r="P348" s="2">
        <f>(H348 + J348) - (L348 + N348)</f>
        <v>0</v>
      </c>
      <c r="Q348" s="2">
        <f>P348 * G348</f>
        <v>0</v>
      </c>
      <c r="R348">
        <v>0</v>
      </c>
      <c r="S348" s="2">
        <f>R348 * G348</f>
        <v>0</v>
      </c>
      <c r="T348" s="2">
        <f>(H348 + J348) - (L348 + N348) - R348</f>
        <v>0</v>
      </c>
      <c r="U348" s="2">
        <f>T348 * G348</f>
        <v>0</v>
      </c>
      <c r="V348" s="2">
        <f>I348 + K348 - S348</f>
        <v>0</v>
      </c>
      <c r="W348" s="2">
        <f>M348 - V348</f>
        <v>0</v>
      </c>
      <c r="X348" s="2">
        <f>IFERROR(W348 / M348 * 100, 0)</f>
        <v>0</v>
      </c>
    </row>
    <row r="349" spans="1:24">
      <c r="A349" t="s">
        <v>3013</v>
      </c>
      <c r="B349" t="s">
        <v>512</v>
      </c>
      <c r="C349" t="s">
        <v>3506</v>
      </c>
      <c r="D349" t="s">
        <v>1007</v>
      </c>
      <c r="E349" t="s">
        <v>3652</v>
      </c>
      <c r="F349" t="s">
        <v>4001</v>
      </c>
      <c r="G349">
        <v>65</v>
      </c>
      <c r="H349">
        <v>0</v>
      </c>
      <c r="I349">
        <v>0</v>
      </c>
      <c r="J349">
        <v>1</v>
      </c>
      <c r="K349">
        <v>65</v>
      </c>
      <c r="L349">
        <v>0</v>
      </c>
      <c r="M349">
        <v>0</v>
      </c>
      <c r="N349">
        <v>0</v>
      </c>
      <c r="O349">
        <v>0</v>
      </c>
      <c r="P349" s="2">
        <f>(H349 + J349) - (L349 + N349)</f>
        <v>0</v>
      </c>
      <c r="Q349" s="2">
        <f>P349 * G349</f>
        <v>0</v>
      </c>
      <c r="R349">
        <v>0</v>
      </c>
      <c r="S349" s="2">
        <f>R349 * G349</f>
        <v>0</v>
      </c>
      <c r="T349" s="2">
        <f>(H349 + J349) - (L349 + N349) - R349</f>
        <v>0</v>
      </c>
      <c r="U349" s="2">
        <f>T349 * G349</f>
        <v>0</v>
      </c>
      <c r="V349" s="2">
        <f>I349 + K349 - S349</f>
        <v>0</v>
      </c>
      <c r="W349" s="2">
        <f>M349 - V349</f>
        <v>0</v>
      </c>
      <c r="X349" s="2">
        <f>IFERROR(W349 / M349 * 100, 0)</f>
        <v>0</v>
      </c>
    </row>
    <row r="350" spans="1:24">
      <c r="A350" t="s">
        <v>3014</v>
      </c>
      <c r="B350" t="s">
        <v>512</v>
      </c>
      <c r="C350" t="s">
        <v>3507</v>
      </c>
      <c r="D350" t="s">
        <v>1008</v>
      </c>
      <c r="E350" t="s">
        <v>3652</v>
      </c>
      <c r="F350" t="s">
        <v>4002</v>
      </c>
      <c r="G350">
        <v>136.49</v>
      </c>
      <c r="H350">
        <v>9</v>
      </c>
      <c r="I350">
        <v>1228.39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 s="2">
        <f>(H350 + J350) - (L350 + N350)</f>
        <v>0</v>
      </c>
      <c r="Q350" s="2">
        <f>P350 * G350</f>
        <v>0</v>
      </c>
      <c r="R350">
        <v>7</v>
      </c>
      <c r="S350" s="2">
        <f>R350 * G350</f>
        <v>0</v>
      </c>
      <c r="T350" s="2">
        <f>(H350 + J350) - (L350 + N350) - R350</f>
        <v>0</v>
      </c>
      <c r="U350" s="2">
        <f>T350 * G350</f>
        <v>0</v>
      </c>
      <c r="V350" s="2">
        <f>I350 + K350 - S350</f>
        <v>0</v>
      </c>
      <c r="W350" s="2">
        <f>M350 - V350</f>
        <v>0</v>
      </c>
      <c r="X350" s="2">
        <f>IFERROR(W350 / M350 * 100, 0)</f>
        <v>0</v>
      </c>
    </row>
    <row r="351" spans="1:24">
      <c r="A351" t="s">
        <v>3015</v>
      </c>
      <c r="B351" t="s">
        <v>512</v>
      </c>
      <c r="C351" t="s">
        <v>3508</v>
      </c>
      <c r="D351" t="s">
        <v>1008</v>
      </c>
      <c r="E351" t="s">
        <v>3652</v>
      </c>
      <c r="F351" t="s">
        <v>4003</v>
      </c>
      <c r="G351">
        <v>44.74</v>
      </c>
      <c r="H351">
        <v>0</v>
      </c>
      <c r="I351">
        <v>0</v>
      </c>
      <c r="J351">
        <v>6</v>
      </c>
      <c r="K351">
        <v>320</v>
      </c>
      <c r="L351">
        <v>0</v>
      </c>
      <c r="M351">
        <v>0</v>
      </c>
      <c r="N351">
        <v>0</v>
      </c>
      <c r="O351">
        <v>0</v>
      </c>
      <c r="P351" s="2">
        <f>(H351 + J351) - (L351 + N351)</f>
        <v>0</v>
      </c>
      <c r="Q351" s="2">
        <f>P351 * G351</f>
        <v>0</v>
      </c>
      <c r="R351">
        <v>0</v>
      </c>
      <c r="S351" s="2">
        <f>R351 * G351</f>
        <v>0</v>
      </c>
      <c r="T351" s="2">
        <f>(H351 + J351) - (L351 + N351) - R351</f>
        <v>0</v>
      </c>
      <c r="U351" s="2">
        <f>T351 * G351</f>
        <v>0</v>
      </c>
      <c r="V351" s="2">
        <f>I351 + K351 - S351</f>
        <v>0</v>
      </c>
      <c r="W351" s="2">
        <f>M351 - V351</f>
        <v>0</v>
      </c>
      <c r="X351" s="2">
        <f>IFERROR(W351 / M351 * 100, 0)</f>
        <v>0</v>
      </c>
    </row>
    <row r="352" spans="1:24">
      <c r="A352" t="s">
        <v>3016</v>
      </c>
      <c r="B352" t="s">
        <v>512</v>
      </c>
      <c r="C352" t="s">
        <v>3509</v>
      </c>
      <c r="D352" t="s">
        <v>1008</v>
      </c>
      <c r="E352" t="s">
        <v>3652</v>
      </c>
      <c r="F352" t="s">
        <v>4004</v>
      </c>
      <c r="G352">
        <v>64.98999999999999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s="2">
        <f>(H352 + J352) - (L352 + N352)</f>
        <v>0</v>
      </c>
      <c r="Q352" s="2">
        <f>P352 * G352</f>
        <v>0</v>
      </c>
      <c r="R352">
        <v>5</v>
      </c>
      <c r="S352" s="2">
        <f>R352 * G352</f>
        <v>0</v>
      </c>
      <c r="T352" s="2">
        <f>(H352 + J352) - (L352 + N352) - R352</f>
        <v>0</v>
      </c>
      <c r="U352" s="2">
        <f>T352 * G352</f>
        <v>0</v>
      </c>
      <c r="V352" s="2">
        <f>I352 + K352 - S352</f>
        <v>0</v>
      </c>
      <c r="W352" s="2">
        <f>M352 - V352</f>
        <v>0</v>
      </c>
      <c r="X352" s="2">
        <f>IFERROR(W352 / M352 * 100, 0)</f>
        <v>0</v>
      </c>
    </row>
    <row r="353" spans="1:24">
      <c r="A353" t="s">
        <v>3017</v>
      </c>
      <c r="B353" t="s">
        <v>512</v>
      </c>
      <c r="C353" t="s">
        <v>3510</v>
      </c>
      <c r="D353" t="s">
        <v>1008</v>
      </c>
      <c r="E353" t="s">
        <v>3652</v>
      </c>
      <c r="F353" t="s">
        <v>4005</v>
      </c>
      <c r="G353">
        <v>8</v>
      </c>
      <c r="H353">
        <v>0</v>
      </c>
      <c r="I353">
        <v>0</v>
      </c>
      <c r="J353">
        <v>6</v>
      </c>
      <c r="K353">
        <v>48</v>
      </c>
      <c r="L353">
        <v>0</v>
      </c>
      <c r="M353">
        <v>0</v>
      </c>
      <c r="N353">
        <v>0</v>
      </c>
      <c r="O353">
        <v>0</v>
      </c>
      <c r="P353" s="2">
        <f>(H353 + J353) - (L353 + N353)</f>
        <v>0</v>
      </c>
      <c r="Q353" s="2">
        <f>P353 * G353</f>
        <v>0</v>
      </c>
      <c r="R353">
        <v>0</v>
      </c>
      <c r="S353" s="2">
        <f>R353 * G353</f>
        <v>0</v>
      </c>
      <c r="T353" s="2">
        <f>(H353 + J353) - (L353 + N353) - R353</f>
        <v>0</v>
      </c>
      <c r="U353" s="2">
        <f>T353 * G353</f>
        <v>0</v>
      </c>
      <c r="V353" s="2">
        <f>I353 + K353 - S353</f>
        <v>0</v>
      </c>
      <c r="W353" s="2">
        <f>M353 - V353</f>
        <v>0</v>
      </c>
      <c r="X353" s="2">
        <f>IFERROR(W353 / M353 * 100, 0)</f>
        <v>0</v>
      </c>
    </row>
    <row r="354" spans="1:24">
      <c r="A354" t="s">
        <v>3018</v>
      </c>
      <c r="B354" t="s">
        <v>512</v>
      </c>
      <c r="C354" t="s">
        <v>3511</v>
      </c>
      <c r="D354" t="s">
        <v>1008</v>
      </c>
      <c r="E354" t="s">
        <v>3652</v>
      </c>
      <c r="F354" t="s">
        <v>4006</v>
      </c>
      <c r="G354">
        <v>30</v>
      </c>
      <c r="H354">
        <v>0</v>
      </c>
      <c r="I354">
        <v>0</v>
      </c>
      <c r="J354">
        <v>7</v>
      </c>
      <c r="K354">
        <v>210</v>
      </c>
      <c r="L354">
        <v>0</v>
      </c>
      <c r="M354">
        <v>0</v>
      </c>
      <c r="N354">
        <v>0</v>
      </c>
      <c r="O354">
        <v>0</v>
      </c>
      <c r="P354" s="2">
        <f>(H354 + J354) - (L354 + N354)</f>
        <v>0</v>
      </c>
      <c r="Q354" s="2">
        <f>P354 * G354</f>
        <v>0</v>
      </c>
      <c r="R354">
        <v>0</v>
      </c>
      <c r="S354" s="2">
        <f>R354 * G354</f>
        <v>0</v>
      </c>
      <c r="T354" s="2">
        <f>(H354 + J354) - (L354 + N354) - R354</f>
        <v>0</v>
      </c>
      <c r="U354" s="2">
        <f>T354 * G354</f>
        <v>0</v>
      </c>
      <c r="V354" s="2">
        <f>I354 + K354 - S354</f>
        <v>0</v>
      </c>
      <c r="W354" s="2">
        <f>M354 - V354</f>
        <v>0</v>
      </c>
      <c r="X354" s="2">
        <f>IFERROR(W354 / M354 * 100, 0)</f>
        <v>0</v>
      </c>
    </row>
    <row r="355" spans="1:24">
      <c r="A355" t="s">
        <v>3019</v>
      </c>
      <c r="B355" t="s">
        <v>512</v>
      </c>
      <c r="C355" t="s">
        <v>3512</v>
      </c>
      <c r="D355" t="s">
        <v>1008</v>
      </c>
      <c r="E355" t="s">
        <v>3652</v>
      </c>
      <c r="F355" t="s">
        <v>4007</v>
      </c>
      <c r="G355">
        <v>115.14</v>
      </c>
      <c r="H355">
        <v>0</v>
      </c>
      <c r="I355">
        <v>0</v>
      </c>
      <c r="J355">
        <v>27</v>
      </c>
      <c r="K355">
        <v>3108.82</v>
      </c>
      <c r="L355">
        <v>0</v>
      </c>
      <c r="M355">
        <v>0</v>
      </c>
      <c r="N355">
        <v>0</v>
      </c>
      <c r="O355">
        <v>0</v>
      </c>
      <c r="P355" s="2">
        <f>(H355 + J355) - (L355 + N355)</f>
        <v>0</v>
      </c>
      <c r="Q355" s="2">
        <f>P355 * G355</f>
        <v>0</v>
      </c>
      <c r="R355">
        <v>0</v>
      </c>
      <c r="S355" s="2">
        <f>R355 * G355</f>
        <v>0</v>
      </c>
      <c r="T355" s="2">
        <f>(H355 + J355) - (L355 + N355) - R355</f>
        <v>0</v>
      </c>
      <c r="U355" s="2">
        <f>T355 * G355</f>
        <v>0</v>
      </c>
      <c r="V355" s="2">
        <f>I355 + K355 - S355</f>
        <v>0</v>
      </c>
      <c r="W355" s="2">
        <f>M355 - V355</f>
        <v>0</v>
      </c>
      <c r="X355" s="2">
        <f>IFERROR(W355 / M355 * 100, 0)</f>
        <v>0</v>
      </c>
    </row>
    <row r="356" spans="1:24">
      <c r="A356" t="s">
        <v>3020</v>
      </c>
      <c r="B356" t="s">
        <v>512</v>
      </c>
      <c r="C356" t="s">
        <v>3513</v>
      </c>
      <c r="D356" t="s">
        <v>1008</v>
      </c>
      <c r="E356" t="s">
        <v>3652</v>
      </c>
      <c r="F356" t="s">
        <v>4008</v>
      </c>
      <c r="G356">
        <v>79.75</v>
      </c>
      <c r="H356">
        <v>0</v>
      </c>
      <c r="I356">
        <v>0</v>
      </c>
      <c r="J356">
        <v>2</v>
      </c>
      <c r="K356">
        <v>159.5</v>
      </c>
      <c r="L356">
        <v>0</v>
      </c>
      <c r="M356">
        <v>0</v>
      </c>
      <c r="N356">
        <v>0</v>
      </c>
      <c r="O356">
        <v>0</v>
      </c>
      <c r="P356" s="2">
        <f>(H356 + J356) - (L356 + N356)</f>
        <v>0</v>
      </c>
      <c r="Q356" s="2">
        <f>P356 * G356</f>
        <v>0</v>
      </c>
      <c r="R356">
        <v>0</v>
      </c>
      <c r="S356" s="2">
        <f>R356 * G356</f>
        <v>0</v>
      </c>
      <c r="T356" s="2">
        <f>(H356 + J356) - (L356 + N356) - R356</f>
        <v>0</v>
      </c>
      <c r="U356" s="2">
        <f>T356 * G356</f>
        <v>0</v>
      </c>
      <c r="V356" s="2">
        <f>I356 + K356 - S356</f>
        <v>0</v>
      </c>
      <c r="W356" s="2">
        <f>M356 - V356</f>
        <v>0</v>
      </c>
      <c r="X356" s="2">
        <f>IFERROR(W356 / M356 * 100, 0)</f>
        <v>0</v>
      </c>
    </row>
    <row r="357" spans="1:24">
      <c r="A357" t="s">
        <v>3021</v>
      </c>
      <c r="B357" t="s">
        <v>512</v>
      </c>
      <c r="C357" t="s">
        <v>3514</v>
      </c>
      <c r="D357" t="s">
        <v>1008</v>
      </c>
      <c r="E357" t="s">
        <v>3652</v>
      </c>
      <c r="F357" t="s">
        <v>4009</v>
      </c>
      <c r="G357">
        <v>0.9</v>
      </c>
      <c r="H357">
        <v>0</v>
      </c>
      <c r="I357">
        <v>0</v>
      </c>
      <c r="J357">
        <v>90</v>
      </c>
      <c r="K357">
        <v>81</v>
      </c>
      <c r="L357">
        <v>0</v>
      </c>
      <c r="M357">
        <v>0</v>
      </c>
      <c r="N357">
        <v>0</v>
      </c>
      <c r="O357">
        <v>0</v>
      </c>
      <c r="P357" s="2">
        <f>(H357 + J357) - (L357 + N357)</f>
        <v>0</v>
      </c>
      <c r="Q357" s="2">
        <f>P357 * G357</f>
        <v>0</v>
      </c>
      <c r="R357">
        <v>0</v>
      </c>
      <c r="S357" s="2">
        <f>R357 * G357</f>
        <v>0</v>
      </c>
      <c r="T357" s="2">
        <f>(H357 + J357) - (L357 + N357) - R357</f>
        <v>0</v>
      </c>
      <c r="U357" s="2">
        <f>T357 * G357</f>
        <v>0</v>
      </c>
      <c r="V357" s="2">
        <f>I357 + K357 - S357</f>
        <v>0</v>
      </c>
      <c r="W357" s="2">
        <f>M357 - V357</f>
        <v>0</v>
      </c>
      <c r="X357" s="2">
        <f>IFERROR(W357 / M357 * 100, 0)</f>
        <v>0</v>
      </c>
    </row>
    <row r="358" spans="1:24">
      <c r="A358" t="s">
        <v>3022</v>
      </c>
      <c r="B358" t="s">
        <v>512</v>
      </c>
      <c r="C358" t="s">
        <v>3515</v>
      </c>
      <c r="D358" t="s">
        <v>1007</v>
      </c>
      <c r="E358" t="s">
        <v>3652</v>
      </c>
      <c r="F358" t="s">
        <v>4010</v>
      </c>
      <c r="G358">
        <v>9.74</v>
      </c>
      <c r="H358">
        <v>2</v>
      </c>
      <c r="I358">
        <v>23.42</v>
      </c>
      <c r="J358">
        <v>1.36</v>
      </c>
      <c r="K358">
        <v>6.92</v>
      </c>
      <c r="L358">
        <v>0</v>
      </c>
      <c r="M358">
        <v>0</v>
      </c>
      <c r="N358">
        <v>0</v>
      </c>
      <c r="O358">
        <v>0</v>
      </c>
      <c r="P358" s="2">
        <f>(H358 + J358) - (L358 + N358)</f>
        <v>0</v>
      </c>
      <c r="Q358" s="2">
        <f>P358 * G358</f>
        <v>0</v>
      </c>
      <c r="R358">
        <v>0</v>
      </c>
      <c r="S358" s="2">
        <f>R358 * G358</f>
        <v>0</v>
      </c>
      <c r="T358" s="2">
        <f>(H358 + J358) - (L358 + N358) - R358</f>
        <v>0</v>
      </c>
      <c r="U358" s="2">
        <f>T358 * G358</f>
        <v>0</v>
      </c>
      <c r="V358" s="2">
        <f>I358 + K358 - S358</f>
        <v>0</v>
      </c>
      <c r="W358" s="2">
        <f>M358 - V358</f>
        <v>0</v>
      </c>
      <c r="X358" s="2">
        <f>IFERROR(W358 / M358 * 100, 0)</f>
        <v>0</v>
      </c>
    </row>
    <row r="359" spans="1:24">
      <c r="A359" t="s">
        <v>3023</v>
      </c>
      <c r="B359" t="s">
        <v>512</v>
      </c>
      <c r="C359" t="s">
        <v>3516</v>
      </c>
      <c r="D359" t="s">
        <v>1007</v>
      </c>
      <c r="E359" t="s">
        <v>3652</v>
      </c>
      <c r="F359" t="s">
        <v>4011</v>
      </c>
      <c r="G359">
        <v>4.26</v>
      </c>
      <c r="H359">
        <v>8</v>
      </c>
      <c r="I359">
        <v>29.06</v>
      </c>
      <c r="J359">
        <v>17.61</v>
      </c>
      <c r="K359">
        <v>79.83</v>
      </c>
      <c r="L359">
        <v>0</v>
      </c>
      <c r="M359">
        <v>0</v>
      </c>
      <c r="N359">
        <v>0</v>
      </c>
      <c r="O359">
        <v>0</v>
      </c>
      <c r="P359" s="2">
        <f>(H359 + J359) - (L359 + N359)</f>
        <v>0</v>
      </c>
      <c r="Q359" s="2">
        <f>P359 * G359</f>
        <v>0</v>
      </c>
      <c r="R359">
        <v>12</v>
      </c>
      <c r="S359" s="2">
        <f>R359 * G359</f>
        <v>0</v>
      </c>
      <c r="T359" s="2">
        <f>(H359 + J359) - (L359 + N359) - R359</f>
        <v>0</v>
      </c>
      <c r="U359" s="2">
        <f>T359 * G359</f>
        <v>0</v>
      </c>
      <c r="V359" s="2">
        <f>I359 + K359 - S359</f>
        <v>0</v>
      </c>
      <c r="W359" s="2">
        <f>M359 - V359</f>
        <v>0</v>
      </c>
      <c r="X359" s="2">
        <f>IFERROR(W359 / M359 * 100, 0)</f>
        <v>0</v>
      </c>
    </row>
    <row r="360" spans="1:24">
      <c r="A360" t="s">
        <v>3024</v>
      </c>
      <c r="B360" t="s">
        <v>512</v>
      </c>
      <c r="C360" t="s">
        <v>3517</v>
      </c>
      <c r="D360" t="s">
        <v>1007</v>
      </c>
      <c r="E360" t="s">
        <v>3652</v>
      </c>
      <c r="F360" t="s">
        <v>4012</v>
      </c>
      <c r="G360">
        <v>18.79</v>
      </c>
      <c r="H360">
        <v>0</v>
      </c>
      <c r="I360">
        <v>0</v>
      </c>
      <c r="J360">
        <v>-16.58</v>
      </c>
      <c r="K360">
        <v>-311.44</v>
      </c>
      <c r="L360">
        <v>0</v>
      </c>
      <c r="M360">
        <v>0</v>
      </c>
      <c r="N360">
        <v>0</v>
      </c>
      <c r="O360">
        <v>0</v>
      </c>
      <c r="P360" s="2">
        <f>(H360 + J360) - (L360 + N360)</f>
        <v>0</v>
      </c>
      <c r="Q360" s="2">
        <f>P360 * G360</f>
        <v>0</v>
      </c>
      <c r="R360">
        <v>0</v>
      </c>
      <c r="S360" s="2">
        <f>R360 * G360</f>
        <v>0</v>
      </c>
      <c r="T360" s="2">
        <f>(H360 + J360) - (L360 + N360) - R360</f>
        <v>0</v>
      </c>
      <c r="U360" s="2">
        <f>T360 * G360</f>
        <v>0</v>
      </c>
      <c r="V360" s="2">
        <f>I360 + K360 - S360</f>
        <v>0</v>
      </c>
      <c r="W360" s="2">
        <f>M360 - V360</f>
        <v>0</v>
      </c>
      <c r="X360" s="2">
        <f>IFERROR(W360 / M360 * 100, 0)</f>
        <v>0</v>
      </c>
    </row>
    <row r="361" spans="1:24">
      <c r="A361" t="s">
        <v>3025</v>
      </c>
      <c r="B361" t="s">
        <v>512</v>
      </c>
      <c r="C361" t="s">
        <v>3518</v>
      </c>
      <c r="D361" t="s">
        <v>1007</v>
      </c>
      <c r="E361" t="s">
        <v>3652</v>
      </c>
      <c r="F361" t="s">
        <v>4013</v>
      </c>
      <c r="G361">
        <v>2.74</v>
      </c>
      <c r="H361">
        <v>8</v>
      </c>
      <c r="I361">
        <v>22.08</v>
      </c>
      <c r="J361">
        <v>94</v>
      </c>
      <c r="K361">
        <v>257.96</v>
      </c>
      <c r="L361">
        <v>0</v>
      </c>
      <c r="M361">
        <v>0</v>
      </c>
      <c r="N361">
        <v>0</v>
      </c>
      <c r="O361">
        <v>0</v>
      </c>
      <c r="P361" s="2">
        <f>(H361 + J361) - (L361 + N361)</f>
        <v>0</v>
      </c>
      <c r="Q361" s="2">
        <f>P361 * G361</f>
        <v>0</v>
      </c>
      <c r="R361">
        <v>8</v>
      </c>
      <c r="S361" s="2">
        <f>R361 * G361</f>
        <v>0</v>
      </c>
      <c r="T361" s="2">
        <f>(H361 + J361) - (L361 + N361) - R361</f>
        <v>0</v>
      </c>
      <c r="U361" s="2">
        <f>T361 * G361</f>
        <v>0</v>
      </c>
      <c r="V361" s="2">
        <f>I361 + K361 - S361</f>
        <v>0</v>
      </c>
      <c r="W361" s="2">
        <f>M361 - V361</f>
        <v>0</v>
      </c>
      <c r="X361" s="2">
        <f>IFERROR(W361 / M361 * 100, 0)</f>
        <v>0</v>
      </c>
    </row>
    <row r="362" spans="1:24">
      <c r="A362" t="s">
        <v>3026</v>
      </c>
      <c r="B362" t="s">
        <v>512</v>
      </c>
      <c r="C362" t="s">
        <v>3519</v>
      </c>
      <c r="D362" t="s">
        <v>1008</v>
      </c>
      <c r="E362" t="s">
        <v>3652</v>
      </c>
      <c r="F362" t="s">
        <v>4014</v>
      </c>
      <c r="G362">
        <v>1.75</v>
      </c>
      <c r="H362">
        <v>5</v>
      </c>
      <c r="I362">
        <v>8.75</v>
      </c>
      <c r="J362">
        <v>42</v>
      </c>
      <c r="K362">
        <v>73.5</v>
      </c>
      <c r="L362">
        <v>0</v>
      </c>
      <c r="M362">
        <v>0</v>
      </c>
      <c r="N362">
        <v>0</v>
      </c>
      <c r="O362">
        <v>0</v>
      </c>
      <c r="P362" s="2">
        <f>(H362 + J362) - (L362 + N362)</f>
        <v>0</v>
      </c>
      <c r="Q362" s="2">
        <f>P362 * G362</f>
        <v>0</v>
      </c>
      <c r="R362">
        <v>0</v>
      </c>
      <c r="S362" s="2">
        <f>R362 * G362</f>
        <v>0</v>
      </c>
      <c r="T362" s="2">
        <f>(H362 + J362) - (L362 + N362) - R362</f>
        <v>0</v>
      </c>
      <c r="U362" s="2">
        <f>T362 * G362</f>
        <v>0</v>
      </c>
      <c r="V362" s="2">
        <f>I362 + K362 - S362</f>
        <v>0</v>
      </c>
      <c r="W362" s="2">
        <f>M362 - V362</f>
        <v>0</v>
      </c>
      <c r="X362" s="2">
        <f>IFERROR(W362 / M362 * 100, 0)</f>
        <v>0</v>
      </c>
    </row>
    <row r="363" spans="1:24">
      <c r="A363" t="s">
        <v>3027</v>
      </c>
      <c r="B363" t="s">
        <v>513</v>
      </c>
      <c r="C363" t="s">
        <v>3520</v>
      </c>
      <c r="D363" t="s">
        <v>1007</v>
      </c>
      <c r="E363" t="s">
        <v>3652</v>
      </c>
      <c r="F363" t="s">
        <v>4015</v>
      </c>
      <c r="G363">
        <v>8.210000000000001</v>
      </c>
      <c r="H363">
        <v>0</v>
      </c>
      <c r="I363">
        <v>0</v>
      </c>
      <c r="J363">
        <v>7.6</v>
      </c>
      <c r="K363">
        <v>62.47</v>
      </c>
      <c r="L363">
        <v>6.05</v>
      </c>
      <c r="M363">
        <v>169.4</v>
      </c>
      <c r="N363">
        <v>0</v>
      </c>
      <c r="O363">
        <v>0</v>
      </c>
      <c r="P363" s="2">
        <f>(H363 + J363) - (L363 + N363)</f>
        <v>0</v>
      </c>
      <c r="Q363" s="2">
        <f>P363 * G363</f>
        <v>0</v>
      </c>
      <c r="R363">
        <v>0</v>
      </c>
      <c r="S363" s="2">
        <f>R363 * G363</f>
        <v>0</v>
      </c>
      <c r="T363" s="2">
        <f>(H363 + J363) - (L363 + N363) - R363</f>
        <v>0</v>
      </c>
      <c r="U363" s="2">
        <f>T363 * G363</f>
        <v>0</v>
      </c>
      <c r="V363" s="2">
        <f>I363 + K363 - S363</f>
        <v>0</v>
      </c>
      <c r="W363" s="2">
        <f>M363 - V363</f>
        <v>0</v>
      </c>
      <c r="X363" s="2">
        <f>IFERROR(W363 / M363 * 100, 0)</f>
        <v>0</v>
      </c>
    </row>
    <row r="364" spans="1:24">
      <c r="A364" t="s">
        <v>3028</v>
      </c>
      <c r="B364" t="s">
        <v>512</v>
      </c>
      <c r="C364" t="s">
        <v>3521</v>
      </c>
      <c r="D364" t="s">
        <v>1007</v>
      </c>
      <c r="E364" t="s">
        <v>3652</v>
      </c>
      <c r="F364" t="s">
        <v>4016</v>
      </c>
      <c r="G364">
        <v>7.39</v>
      </c>
      <c r="H364">
        <v>0</v>
      </c>
      <c r="I364">
        <v>0</v>
      </c>
      <c r="J364">
        <v>-3.2</v>
      </c>
      <c r="K364">
        <v>-23.66</v>
      </c>
      <c r="L364">
        <v>0</v>
      </c>
      <c r="M364">
        <v>0</v>
      </c>
      <c r="N364">
        <v>0</v>
      </c>
      <c r="O364">
        <v>0</v>
      </c>
      <c r="P364" s="2">
        <f>(H364 + J364) - (L364 + N364)</f>
        <v>0</v>
      </c>
      <c r="Q364" s="2">
        <f>P364 * G364</f>
        <v>0</v>
      </c>
      <c r="R364">
        <v>0</v>
      </c>
      <c r="S364" s="2">
        <f>R364 * G364</f>
        <v>0</v>
      </c>
      <c r="T364" s="2">
        <f>(H364 + J364) - (L364 + N364) - R364</f>
        <v>0</v>
      </c>
      <c r="U364" s="2">
        <f>T364 * G364</f>
        <v>0</v>
      </c>
      <c r="V364" s="2">
        <f>I364 + K364 - S364</f>
        <v>0</v>
      </c>
      <c r="W364" s="2">
        <f>M364 - V364</f>
        <v>0</v>
      </c>
      <c r="X364" s="2">
        <f>IFERROR(W364 / M364 * 100, 0)</f>
        <v>0</v>
      </c>
    </row>
    <row r="365" spans="1:24">
      <c r="A365" t="s">
        <v>3029</v>
      </c>
      <c r="B365" t="s">
        <v>512</v>
      </c>
      <c r="C365" t="s">
        <v>3522</v>
      </c>
      <c r="D365" t="s">
        <v>1007</v>
      </c>
      <c r="E365" t="s">
        <v>3652</v>
      </c>
      <c r="F365" t="s">
        <v>4017</v>
      </c>
      <c r="G365">
        <v>11.16</v>
      </c>
      <c r="H365">
        <v>0</v>
      </c>
      <c r="I365">
        <v>0</v>
      </c>
      <c r="J365">
        <v>6.08</v>
      </c>
      <c r="K365">
        <v>67.65000000000001</v>
      </c>
      <c r="L365">
        <v>0</v>
      </c>
      <c r="M365">
        <v>0</v>
      </c>
      <c r="N365">
        <v>0</v>
      </c>
      <c r="O365">
        <v>0</v>
      </c>
      <c r="P365" s="2">
        <f>(H365 + J365) - (L365 + N365)</f>
        <v>0</v>
      </c>
      <c r="Q365" s="2">
        <f>P365 * G365</f>
        <v>0</v>
      </c>
      <c r="R365">
        <v>0</v>
      </c>
      <c r="S365" s="2">
        <f>R365 * G365</f>
        <v>0</v>
      </c>
      <c r="T365" s="2">
        <f>(H365 + J365) - (L365 + N365) - R365</f>
        <v>0</v>
      </c>
      <c r="U365" s="2">
        <f>T365 * G365</f>
        <v>0</v>
      </c>
      <c r="V365" s="2">
        <f>I365 + K365 - S365</f>
        <v>0</v>
      </c>
      <c r="W365" s="2">
        <f>M365 - V365</f>
        <v>0</v>
      </c>
      <c r="X365" s="2">
        <f>IFERROR(W365 / M365 * 100, 0)</f>
        <v>0</v>
      </c>
    </row>
    <row r="366" spans="1:24">
      <c r="A366" t="s">
        <v>3030</v>
      </c>
      <c r="B366" t="s">
        <v>512</v>
      </c>
      <c r="C366" t="s">
        <v>3523</v>
      </c>
      <c r="D366" t="s">
        <v>1008</v>
      </c>
      <c r="E366" t="s">
        <v>3652</v>
      </c>
      <c r="F366" t="s">
        <v>4018</v>
      </c>
      <c r="G366">
        <v>44</v>
      </c>
      <c r="H366">
        <v>0</v>
      </c>
      <c r="I366">
        <v>0</v>
      </c>
      <c r="J366">
        <v>6</v>
      </c>
      <c r="K366">
        <v>264</v>
      </c>
      <c r="L366">
        <v>0</v>
      </c>
      <c r="M366">
        <v>0</v>
      </c>
      <c r="N366">
        <v>0</v>
      </c>
      <c r="O366">
        <v>0</v>
      </c>
      <c r="P366" s="2">
        <f>(H366 + J366) - (L366 + N366)</f>
        <v>0</v>
      </c>
      <c r="Q366" s="2">
        <f>P366 * G366</f>
        <v>0</v>
      </c>
      <c r="R366">
        <v>0</v>
      </c>
      <c r="S366" s="2">
        <f>R366 * G366</f>
        <v>0</v>
      </c>
      <c r="T366" s="2">
        <f>(H366 + J366) - (L366 + N366) - R366</f>
        <v>0</v>
      </c>
      <c r="U366" s="2">
        <f>T366 * G366</f>
        <v>0</v>
      </c>
      <c r="V366" s="2">
        <f>I366 + K366 - S366</f>
        <v>0</v>
      </c>
      <c r="W366" s="2">
        <f>M366 - V366</f>
        <v>0</v>
      </c>
      <c r="X366" s="2">
        <f>IFERROR(W366 / M366 * 100, 0)</f>
        <v>0</v>
      </c>
    </row>
    <row r="367" spans="1:24">
      <c r="A367" t="s">
        <v>3031</v>
      </c>
      <c r="B367" t="s">
        <v>512</v>
      </c>
      <c r="C367" t="s">
        <v>3524</v>
      </c>
      <c r="D367" t="s">
        <v>1007</v>
      </c>
      <c r="E367" t="s">
        <v>3652</v>
      </c>
      <c r="F367" t="s">
        <v>4019</v>
      </c>
      <c r="G367">
        <v>4.61</v>
      </c>
      <c r="H367">
        <v>0</v>
      </c>
      <c r="I367">
        <v>0</v>
      </c>
      <c r="J367">
        <v>15</v>
      </c>
      <c r="K367">
        <v>69.2</v>
      </c>
      <c r="L367">
        <v>0</v>
      </c>
      <c r="M367">
        <v>0</v>
      </c>
      <c r="N367">
        <v>0</v>
      </c>
      <c r="O367">
        <v>0</v>
      </c>
      <c r="P367" s="2">
        <f>(H367 + J367) - (L367 + N367)</f>
        <v>0</v>
      </c>
      <c r="Q367" s="2">
        <f>P367 * G367</f>
        <v>0</v>
      </c>
      <c r="R367">
        <v>0</v>
      </c>
      <c r="S367" s="2">
        <f>R367 * G367</f>
        <v>0</v>
      </c>
      <c r="T367" s="2">
        <f>(H367 + J367) - (L367 + N367) - R367</f>
        <v>0</v>
      </c>
      <c r="U367" s="2">
        <f>T367 * G367</f>
        <v>0</v>
      </c>
      <c r="V367" s="2">
        <f>I367 + K367 - S367</f>
        <v>0</v>
      </c>
      <c r="W367" s="2">
        <f>M367 - V367</f>
        <v>0</v>
      </c>
      <c r="X367" s="2">
        <f>IFERROR(W367 / M367 * 100, 0)</f>
        <v>0</v>
      </c>
    </row>
    <row r="368" spans="1:24">
      <c r="A368" t="s">
        <v>3032</v>
      </c>
      <c r="B368" t="s">
        <v>513</v>
      </c>
      <c r="C368" t="s">
        <v>3525</v>
      </c>
      <c r="D368" t="s">
        <v>1007</v>
      </c>
      <c r="E368" t="s">
        <v>3652</v>
      </c>
      <c r="F368" t="s">
        <v>4020</v>
      </c>
      <c r="G368">
        <v>10.01</v>
      </c>
      <c r="H368">
        <v>3</v>
      </c>
      <c r="I368">
        <v>29.07</v>
      </c>
      <c r="J368">
        <v>11.04</v>
      </c>
      <c r="K368">
        <v>111.29</v>
      </c>
      <c r="L368">
        <v>5.42</v>
      </c>
      <c r="M368">
        <v>216.6</v>
      </c>
      <c r="N368">
        <v>0</v>
      </c>
      <c r="O368">
        <v>0</v>
      </c>
      <c r="P368" s="2">
        <f>(H368 + J368) - (L368 + N368)</f>
        <v>0</v>
      </c>
      <c r="Q368" s="2">
        <f>P368 * G368</f>
        <v>0</v>
      </c>
      <c r="R368">
        <v>0</v>
      </c>
      <c r="S368" s="2">
        <f>R368 * G368</f>
        <v>0</v>
      </c>
      <c r="T368" s="2">
        <f>(H368 + J368) - (L368 + N368) - R368</f>
        <v>0</v>
      </c>
      <c r="U368" s="2">
        <f>T368 * G368</f>
        <v>0</v>
      </c>
      <c r="V368" s="2">
        <f>I368 + K368 - S368</f>
        <v>0</v>
      </c>
      <c r="W368" s="2">
        <f>M368 - V368</f>
        <v>0</v>
      </c>
      <c r="X368" s="2">
        <f>IFERROR(W368 / M368 * 100, 0)</f>
        <v>0</v>
      </c>
    </row>
    <row r="369" spans="1:24">
      <c r="A369" t="s">
        <v>3033</v>
      </c>
      <c r="B369" t="s">
        <v>512</v>
      </c>
      <c r="C369" t="s">
        <v>3526</v>
      </c>
      <c r="D369" t="s">
        <v>1007</v>
      </c>
      <c r="E369" t="s">
        <v>3652</v>
      </c>
      <c r="F369" t="s">
        <v>4021</v>
      </c>
      <c r="G369">
        <v>24.5</v>
      </c>
      <c r="H369">
        <v>0</v>
      </c>
      <c r="I369">
        <v>0</v>
      </c>
      <c r="J369">
        <v>-36.28</v>
      </c>
      <c r="K369">
        <v>-888.85</v>
      </c>
      <c r="L369">
        <v>0</v>
      </c>
      <c r="M369">
        <v>0</v>
      </c>
      <c r="N369">
        <v>0</v>
      </c>
      <c r="O369">
        <v>0</v>
      </c>
      <c r="P369" s="2">
        <f>(H369 + J369) - (L369 + N369)</f>
        <v>0</v>
      </c>
      <c r="Q369" s="2">
        <f>P369 * G369</f>
        <v>0</v>
      </c>
      <c r="R369">
        <v>0</v>
      </c>
      <c r="S369" s="2">
        <f>R369 * G369</f>
        <v>0</v>
      </c>
      <c r="T369" s="2">
        <f>(H369 + J369) - (L369 + N369) - R369</f>
        <v>0</v>
      </c>
      <c r="U369" s="2">
        <f>T369 * G369</f>
        <v>0</v>
      </c>
      <c r="V369" s="2">
        <f>I369 + K369 - S369</f>
        <v>0</v>
      </c>
      <c r="W369" s="2">
        <f>M369 - V369</f>
        <v>0</v>
      </c>
      <c r="X369" s="2">
        <f>IFERROR(W369 / M369 * 100, 0)</f>
        <v>0</v>
      </c>
    </row>
    <row r="370" spans="1:24">
      <c r="A370" t="s">
        <v>3034</v>
      </c>
      <c r="B370" t="s">
        <v>512</v>
      </c>
      <c r="C370" t="s">
        <v>3527</v>
      </c>
      <c r="D370" t="s">
        <v>1007</v>
      </c>
      <c r="E370" t="s">
        <v>3652</v>
      </c>
      <c r="F370" t="s">
        <v>4022</v>
      </c>
      <c r="G370">
        <v>8.75</v>
      </c>
      <c r="H370">
        <v>0</v>
      </c>
      <c r="I370">
        <v>0</v>
      </c>
      <c r="J370">
        <v>-0.31</v>
      </c>
      <c r="K370">
        <v>-2.7</v>
      </c>
      <c r="L370">
        <v>0</v>
      </c>
      <c r="M370">
        <v>0</v>
      </c>
      <c r="N370">
        <v>0</v>
      </c>
      <c r="O370">
        <v>0</v>
      </c>
      <c r="P370" s="2">
        <f>(H370 + J370) - (L370 + N370)</f>
        <v>0</v>
      </c>
      <c r="Q370" s="2">
        <f>P370 * G370</f>
        <v>0</v>
      </c>
      <c r="R370">
        <v>0</v>
      </c>
      <c r="S370" s="2">
        <f>R370 * G370</f>
        <v>0</v>
      </c>
      <c r="T370" s="2">
        <f>(H370 + J370) - (L370 + N370) - R370</f>
        <v>0</v>
      </c>
      <c r="U370" s="2">
        <f>T370 * G370</f>
        <v>0</v>
      </c>
      <c r="V370" s="2">
        <f>I370 + K370 - S370</f>
        <v>0</v>
      </c>
      <c r="W370" s="2">
        <f>M370 - V370</f>
        <v>0</v>
      </c>
      <c r="X370" s="2">
        <f>IFERROR(W370 / M370 * 100, 0)</f>
        <v>0</v>
      </c>
    </row>
    <row r="371" spans="1:24">
      <c r="A371" t="s">
        <v>3035</v>
      </c>
      <c r="B371" t="s">
        <v>512</v>
      </c>
      <c r="C371" t="s">
        <v>3528</v>
      </c>
      <c r="D371" t="s">
        <v>1008</v>
      </c>
      <c r="E371" t="s">
        <v>3652</v>
      </c>
      <c r="F371" t="s">
        <v>4023</v>
      </c>
      <c r="G371">
        <v>64.64</v>
      </c>
      <c r="H371">
        <v>0</v>
      </c>
      <c r="I371">
        <v>0</v>
      </c>
      <c r="J371">
        <v>27</v>
      </c>
      <c r="K371">
        <v>1755</v>
      </c>
      <c r="L371">
        <v>0</v>
      </c>
      <c r="M371">
        <v>0</v>
      </c>
      <c r="N371">
        <v>0</v>
      </c>
      <c r="O371">
        <v>0</v>
      </c>
      <c r="P371" s="2">
        <f>(H371 + J371) - (L371 + N371)</f>
        <v>0</v>
      </c>
      <c r="Q371" s="2">
        <f>P371 * G371</f>
        <v>0</v>
      </c>
      <c r="R371">
        <v>4</v>
      </c>
      <c r="S371" s="2">
        <f>R371 * G371</f>
        <v>0</v>
      </c>
      <c r="T371" s="2">
        <f>(H371 + J371) - (L371 + N371) - R371</f>
        <v>0</v>
      </c>
      <c r="U371" s="2">
        <f>T371 * G371</f>
        <v>0</v>
      </c>
      <c r="V371" s="2">
        <f>I371 + K371 - S371</f>
        <v>0</v>
      </c>
      <c r="W371" s="2">
        <f>M371 - V371</f>
        <v>0</v>
      </c>
      <c r="X371" s="2">
        <f>IFERROR(W371 / M371 * 100, 0)</f>
        <v>0</v>
      </c>
    </row>
    <row r="372" spans="1:24">
      <c r="A372" t="s">
        <v>3036</v>
      </c>
      <c r="B372" t="s">
        <v>512</v>
      </c>
      <c r="C372" t="s">
        <v>3529</v>
      </c>
      <c r="D372" t="s">
        <v>1008</v>
      </c>
      <c r="E372" t="s">
        <v>3652</v>
      </c>
      <c r="F372" t="s">
        <v>4024</v>
      </c>
      <c r="G372">
        <v>0.06</v>
      </c>
      <c r="H372">
        <v>200</v>
      </c>
      <c r="I372">
        <v>12.26</v>
      </c>
      <c r="J372">
        <v>571</v>
      </c>
      <c r="K372">
        <v>34.08</v>
      </c>
      <c r="L372">
        <v>0</v>
      </c>
      <c r="M372">
        <v>0</v>
      </c>
      <c r="N372">
        <v>0</v>
      </c>
      <c r="O372">
        <v>0</v>
      </c>
      <c r="P372" s="2">
        <f>(H372 + J372) - (L372 + N372)</f>
        <v>0</v>
      </c>
      <c r="Q372" s="2">
        <f>P372 * G372</f>
        <v>0</v>
      </c>
      <c r="R372">
        <v>200</v>
      </c>
      <c r="S372" s="2">
        <f>R372 * G372</f>
        <v>0</v>
      </c>
      <c r="T372" s="2">
        <f>(H372 + J372) - (L372 + N372) - R372</f>
        <v>0</v>
      </c>
      <c r="U372" s="2">
        <f>T372 * G372</f>
        <v>0</v>
      </c>
      <c r="V372" s="2">
        <f>I372 + K372 - S372</f>
        <v>0</v>
      </c>
      <c r="W372" s="2">
        <f>M372 - V372</f>
        <v>0</v>
      </c>
      <c r="X372" s="2">
        <f>IFERROR(W372 / M372 * 100, 0)</f>
        <v>0</v>
      </c>
    </row>
    <row r="373" spans="1:24">
      <c r="A373" t="s">
        <v>3037</v>
      </c>
      <c r="B373" t="s">
        <v>512</v>
      </c>
      <c r="C373" t="s">
        <v>3530</v>
      </c>
      <c r="D373" t="s">
        <v>1007</v>
      </c>
      <c r="E373" t="s">
        <v>3652</v>
      </c>
      <c r="F373" t="s">
        <v>4025</v>
      </c>
      <c r="G373">
        <v>20.18</v>
      </c>
      <c r="H373">
        <v>0</v>
      </c>
      <c r="I373">
        <v>0</v>
      </c>
      <c r="J373">
        <v>3.6</v>
      </c>
      <c r="K373">
        <v>77.98999999999999</v>
      </c>
      <c r="L373">
        <v>0</v>
      </c>
      <c r="M373">
        <v>0</v>
      </c>
      <c r="N373">
        <v>0</v>
      </c>
      <c r="O373">
        <v>0</v>
      </c>
      <c r="P373" s="2">
        <f>(H373 + J373) - (L373 + N373)</f>
        <v>0</v>
      </c>
      <c r="Q373" s="2">
        <f>P373 * G373</f>
        <v>0</v>
      </c>
      <c r="R373">
        <v>6</v>
      </c>
      <c r="S373" s="2">
        <f>R373 * G373</f>
        <v>0</v>
      </c>
      <c r="T373" s="2">
        <f>(H373 + J373) - (L373 + N373) - R373</f>
        <v>0</v>
      </c>
      <c r="U373" s="2">
        <f>T373 * G373</f>
        <v>0</v>
      </c>
      <c r="V373" s="2">
        <f>I373 + K373 - S373</f>
        <v>0</v>
      </c>
      <c r="W373" s="2">
        <f>M373 - V373</f>
        <v>0</v>
      </c>
      <c r="X373" s="2">
        <f>IFERROR(W373 / M373 * 100, 0)</f>
        <v>0</v>
      </c>
    </row>
    <row r="374" spans="1:24">
      <c r="A374" t="s">
        <v>3038</v>
      </c>
      <c r="B374" t="s">
        <v>512</v>
      </c>
      <c r="C374" t="s">
        <v>3531</v>
      </c>
      <c r="D374" t="s">
        <v>1007</v>
      </c>
      <c r="E374" t="s">
        <v>3652</v>
      </c>
      <c r="F374" t="s">
        <v>4026</v>
      </c>
      <c r="G374">
        <v>5.58</v>
      </c>
      <c r="H374">
        <v>9</v>
      </c>
      <c r="I374">
        <v>44.91</v>
      </c>
      <c r="J374">
        <v>30</v>
      </c>
      <c r="K374">
        <v>180</v>
      </c>
      <c r="L374">
        <v>0</v>
      </c>
      <c r="M374">
        <v>0</v>
      </c>
      <c r="N374">
        <v>0</v>
      </c>
      <c r="O374">
        <v>0</v>
      </c>
      <c r="P374" s="2">
        <f>(H374 + J374) - (L374 + N374)</f>
        <v>0</v>
      </c>
      <c r="Q374" s="2">
        <f>P374 * G374</f>
        <v>0</v>
      </c>
      <c r="R374">
        <v>18</v>
      </c>
      <c r="S374" s="2">
        <f>R374 * G374</f>
        <v>0</v>
      </c>
      <c r="T374" s="2">
        <f>(H374 + J374) - (L374 + N374) - R374</f>
        <v>0</v>
      </c>
      <c r="U374" s="2">
        <f>T374 * G374</f>
        <v>0</v>
      </c>
      <c r="V374" s="2">
        <f>I374 + K374 - S374</f>
        <v>0</v>
      </c>
      <c r="W374" s="2">
        <f>M374 - V374</f>
        <v>0</v>
      </c>
      <c r="X374" s="2">
        <f>IFERROR(W374 / M374 * 100, 0)</f>
        <v>0</v>
      </c>
    </row>
    <row r="375" spans="1:24">
      <c r="A375" t="s">
        <v>3039</v>
      </c>
      <c r="B375" t="s">
        <v>512</v>
      </c>
      <c r="C375" t="s">
        <v>3532</v>
      </c>
      <c r="D375" t="s">
        <v>1007</v>
      </c>
      <c r="E375" t="s">
        <v>3652</v>
      </c>
      <c r="F375" t="s">
        <v>4027</v>
      </c>
      <c r="G375">
        <v>20.94</v>
      </c>
      <c r="H375">
        <v>0</v>
      </c>
      <c r="I375">
        <v>0</v>
      </c>
      <c r="J375">
        <v>13.61</v>
      </c>
      <c r="K375">
        <v>285.01</v>
      </c>
      <c r="L375">
        <v>0</v>
      </c>
      <c r="M375">
        <v>0</v>
      </c>
      <c r="N375">
        <v>0</v>
      </c>
      <c r="O375">
        <v>0</v>
      </c>
      <c r="P375" s="2">
        <f>(H375 + J375) - (L375 + N375)</f>
        <v>0</v>
      </c>
      <c r="Q375" s="2">
        <f>P375 * G375</f>
        <v>0</v>
      </c>
      <c r="R375">
        <v>0</v>
      </c>
      <c r="S375" s="2">
        <f>R375 * G375</f>
        <v>0</v>
      </c>
      <c r="T375" s="2">
        <f>(H375 + J375) - (L375 + N375) - R375</f>
        <v>0</v>
      </c>
      <c r="U375" s="2">
        <f>T375 * G375</f>
        <v>0</v>
      </c>
      <c r="V375" s="2">
        <f>I375 + K375 - S375</f>
        <v>0</v>
      </c>
      <c r="W375" s="2">
        <f>M375 - V375</f>
        <v>0</v>
      </c>
      <c r="X375" s="2">
        <f>IFERROR(W375 / M375 * 100, 0)</f>
        <v>0</v>
      </c>
    </row>
    <row r="376" spans="1:24">
      <c r="A376" t="s">
        <v>3040</v>
      </c>
      <c r="B376" t="s">
        <v>512</v>
      </c>
      <c r="C376" t="s">
        <v>3533</v>
      </c>
      <c r="D376" t="s">
        <v>1008</v>
      </c>
      <c r="E376" t="s">
        <v>3652</v>
      </c>
      <c r="F376" t="s">
        <v>4028</v>
      </c>
      <c r="G376">
        <v>0.21</v>
      </c>
      <c r="H376">
        <v>0</v>
      </c>
      <c r="I376">
        <v>0</v>
      </c>
      <c r="J376">
        <v>-238</v>
      </c>
      <c r="K376">
        <v>-50.62</v>
      </c>
      <c r="L376">
        <v>0</v>
      </c>
      <c r="M376">
        <v>0</v>
      </c>
      <c r="N376">
        <v>0</v>
      </c>
      <c r="O376">
        <v>0</v>
      </c>
      <c r="P376" s="2">
        <f>(H376 + J376) - (L376 + N376)</f>
        <v>0</v>
      </c>
      <c r="Q376" s="2">
        <f>P376 * G376</f>
        <v>0</v>
      </c>
      <c r="R376">
        <v>0</v>
      </c>
      <c r="S376" s="2">
        <f>R376 * G376</f>
        <v>0</v>
      </c>
      <c r="T376" s="2">
        <f>(H376 + J376) - (L376 + N376) - R376</f>
        <v>0</v>
      </c>
      <c r="U376" s="2">
        <f>T376 * G376</f>
        <v>0</v>
      </c>
      <c r="V376" s="2">
        <f>I376 + K376 - S376</f>
        <v>0</v>
      </c>
      <c r="W376" s="2">
        <f>M376 - V376</f>
        <v>0</v>
      </c>
      <c r="X376" s="2">
        <f>IFERROR(W376 / M376 * 100, 0)</f>
        <v>0</v>
      </c>
    </row>
    <row r="377" spans="1:24">
      <c r="A377" t="s">
        <v>3041</v>
      </c>
      <c r="B377" t="s">
        <v>513</v>
      </c>
      <c r="C377" t="s">
        <v>3534</v>
      </c>
      <c r="D377" t="s">
        <v>1007</v>
      </c>
      <c r="E377" t="s">
        <v>3652</v>
      </c>
      <c r="F377" t="s">
        <v>4029</v>
      </c>
      <c r="G377">
        <v>10.59</v>
      </c>
      <c r="H377">
        <v>0</v>
      </c>
      <c r="I377">
        <v>0</v>
      </c>
      <c r="J377">
        <v>0</v>
      </c>
      <c r="K377">
        <v>0</v>
      </c>
      <c r="L377">
        <v>0.34</v>
      </c>
      <c r="M377">
        <v>13.4</v>
      </c>
      <c r="N377">
        <v>0</v>
      </c>
      <c r="O377">
        <v>0</v>
      </c>
      <c r="P377" s="2">
        <f>(H377 + J377) - (L377 + N377)</f>
        <v>0</v>
      </c>
      <c r="Q377" s="2">
        <f>P377 * G377</f>
        <v>0</v>
      </c>
      <c r="R377">
        <v>0</v>
      </c>
      <c r="S377" s="2">
        <f>R377 * G377</f>
        <v>0</v>
      </c>
      <c r="T377" s="2">
        <f>(H377 + J377) - (L377 + N377) - R377</f>
        <v>0</v>
      </c>
      <c r="U377" s="2">
        <f>T377 * G377</f>
        <v>0</v>
      </c>
      <c r="V377" s="2">
        <f>I377 + K377 - S377</f>
        <v>0</v>
      </c>
      <c r="W377" s="2">
        <f>M377 - V377</f>
        <v>0</v>
      </c>
      <c r="X377" s="2">
        <f>IFERROR(W377 / M377 * 100, 0)</f>
        <v>0</v>
      </c>
    </row>
    <row r="378" spans="1:24">
      <c r="A378" t="s">
        <v>3042</v>
      </c>
      <c r="B378" t="s">
        <v>513</v>
      </c>
      <c r="C378" t="s">
        <v>3535</v>
      </c>
      <c r="D378" t="s">
        <v>1007</v>
      </c>
      <c r="E378" t="s">
        <v>3652</v>
      </c>
      <c r="F378" t="s">
        <v>4030</v>
      </c>
      <c r="G378">
        <v>3.42</v>
      </c>
      <c r="H378">
        <v>9</v>
      </c>
      <c r="I378">
        <v>28</v>
      </c>
      <c r="J378">
        <v>125.79</v>
      </c>
      <c r="K378">
        <v>425.68</v>
      </c>
      <c r="L378">
        <v>99.77</v>
      </c>
      <c r="M378">
        <v>2993.1</v>
      </c>
      <c r="N378">
        <v>0</v>
      </c>
      <c r="O378">
        <v>0</v>
      </c>
      <c r="P378" s="2">
        <f>(H378 + J378) - (L378 + N378)</f>
        <v>0</v>
      </c>
      <c r="Q378" s="2">
        <f>P378 * G378</f>
        <v>0</v>
      </c>
      <c r="R378">
        <v>14</v>
      </c>
      <c r="S378" s="2">
        <f>R378 * G378</f>
        <v>0</v>
      </c>
      <c r="T378" s="2">
        <f>(H378 + J378) - (L378 + N378) - R378</f>
        <v>0</v>
      </c>
      <c r="U378" s="2">
        <f>T378 * G378</f>
        <v>0</v>
      </c>
      <c r="V378" s="2">
        <f>I378 + K378 - S378</f>
        <v>0</v>
      </c>
      <c r="W378" s="2">
        <f>M378 - V378</f>
        <v>0</v>
      </c>
      <c r="X378" s="2">
        <f>IFERROR(W378 / M378 * 100, 0)</f>
        <v>0</v>
      </c>
    </row>
    <row r="379" spans="1:24">
      <c r="A379" t="s">
        <v>3043</v>
      </c>
      <c r="B379" t="s">
        <v>512</v>
      </c>
      <c r="C379" t="s">
        <v>3536</v>
      </c>
      <c r="D379" t="s">
        <v>1008</v>
      </c>
      <c r="E379" t="s">
        <v>3652</v>
      </c>
      <c r="F379" t="s">
        <v>4031</v>
      </c>
      <c r="G379">
        <v>0.5</v>
      </c>
      <c r="H379">
        <v>0</v>
      </c>
      <c r="I379">
        <v>0</v>
      </c>
      <c r="J379">
        <v>-920</v>
      </c>
      <c r="K379">
        <v>-460</v>
      </c>
      <c r="L379">
        <v>0</v>
      </c>
      <c r="M379">
        <v>0</v>
      </c>
      <c r="N379">
        <v>0</v>
      </c>
      <c r="O379">
        <v>0</v>
      </c>
      <c r="P379" s="2">
        <f>(H379 + J379) - (L379 + N379)</f>
        <v>0</v>
      </c>
      <c r="Q379" s="2">
        <f>P379 * G379</f>
        <v>0</v>
      </c>
      <c r="R379">
        <v>0</v>
      </c>
      <c r="S379" s="2">
        <f>R379 * G379</f>
        <v>0</v>
      </c>
      <c r="T379" s="2">
        <f>(H379 + J379) - (L379 + N379) - R379</f>
        <v>0</v>
      </c>
      <c r="U379" s="2">
        <f>T379 * G379</f>
        <v>0</v>
      </c>
      <c r="V379" s="2">
        <f>I379 + K379 - S379</f>
        <v>0</v>
      </c>
      <c r="W379" s="2">
        <f>M379 - V379</f>
        <v>0</v>
      </c>
      <c r="X379" s="2">
        <f>IFERROR(W379 / M379 * 100, 0)</f>
        <v>0</v>
      </c>
    </row>
    <row r="380" spans="1:24">
      <c r="A380" t="s">
        <v>3044</v>
      </c>
      <c r="B380" t="s">
        <v>513</v>
      </c>
      <c r="C380" t="s">
        <v>3537</v>
      </c>
      <c r="D380" t="s">
        <v>1008</v>
      </c>
      <c r="E380" t="s">
        <v>3652</v>
      </c>
      <c r="F380" t="s">
        <v>4032</v>
      </c>
      <c r="G380">
        <v>0.9399999999999999</v>
      </c>
      <c r="H380">
        <v>80</v>
      </c>
      <c r="I380">
        <v>76.22</v>
      </c>
      <c r="J380">
        <v>816</v>
      </c>
      <c r="K380">
        <v>796.1</v>
      </c>
      <c r="L380">
        <v>460</v>
      </c>
      <c r="M380">
        <v>460</v>
      </c>
      <c r="N380">
        <v>0</v>
      </c>
      <c r="O380">
        <v>0</v>
      </c>
      <c r="P380" s="2">
        <f>(H380 + J380) - (L380 + N380)</f>
        <v>0</v>
      </c>
      <c r="Q380" s="2">
        <f>P380 * G380</f>
        <v>0</v>
      </c>
      <c r="R380">
        <v>400</v>
      </c>
      <c r="S380" s="2">
        <f>R380 * G380</f>
        <v>0</v>
      </c>
      <c r="T380" s="2">
        <f>(H380 + J380) - (L380 + N380) - R380</f>
        <v>0</v>
      </c>
      <c r="U380" s="2">
        <f>T380 * G380</f>
        <v>0</v>
      </c>
      <c r="V380" s="2">
        <f>I380 + K380 - S380</f>
        <v>0</v>
      </c>
      <c r="W380" s="2">
        <f>M380 - V380</f>
        <v>0</v>
      </c>
      <c r="X380" s="2">
        <f>IFERROR(W380 / M380 * 100, 0)</f>
        <v>0</v>
      </c>
    </row>
    <row r="381" spans="1:24">
      <c r="A381" t="s">
        <v>3045</v>
      </c>
      <c r="B381" t="s">
        <v>512</v>
      </c>
      <c r="C381" t="s">
        <v>3538</v>
      </c>
      <c r="D381" t="s">
        <v>1008</v>
      </c>
      <c r="E381" t="s">
        <v>3652</v>
      </c>
      <c r="F381" t="s">
        <v>4033</v>
      </c>
      <c r="G381">
        <v>195</v>
      </c>
      <c r="H381">
        <v>1</v>
      </c>
      <c r="I381">
        <v>195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 s="2">
        <f>(H381 + J381) - (L381 + N381)</f>
        <v>0</v>
      </c>
      <c r="Q381" s="2">
        <f>P381 * G381</f>
        <v>0</v>
      </c>
      <c r="R381">
        <v>1</v>
      </c>
      <c r="S381" s="2">
        <f>R381 * G381</f>
        <v>0</v>
      </c>
      <c r="T381" s="2">
        <f>(H381 + J381) - (L381 + N381) - R381</f>
        <v>0</v>
      </c>
      <c r="U381" s="2">
        <f>T381 * G381</f>
        <v>0</v>
      </c>
      <c r="V381" s="2">
        <f>I381 + K381 - S381</f>
        <v>0</v>
      </c>
      <c r="W381" s="2">
        <f>M381 - V381</f>
        <v>0</v>
      </c>
      <c r="X381" s="2">
        <f>IFERROR(W381 / M381 * 100, 0)</f>
        <v>0</v>
      </c>
    </row>
    <row r="382" spans="1:24">
      <c r="A382" t="s">
        <v>3046</v>
      </c>
      <c r="B382" t="s">
        <v>512</v>
      </c>
      <c r="C382" t="s">
        <v>3539</v>
      </c>
      <c r="D382" t="s">
        <v>1007</v>
      </c>
      <c r="E382" t="s">
        <v>3652</v>
      </c>
      <c r="F382" t="s">
        <v>4034</v>
      </c>
      <c r="G382">
        <v>9.91</v>
      </c>
      <c r="H382">
        <v>0</v>
      </c>
      <c r="I382">
        <v>0</v>
      </c>
      <c r="J382">
        <v>-0.13</v>
      </c>
      <c r="K382">
        <v>-1.32</v>
      </c>
      <c r="L382">
        <v>0</v>
      </c>
      <c r="M382">
        <v>0</v>
      </c>
      <c r="N382">
        <v>0</v>
      </c>
      <c r="O382">
        <v>0</v>
      </c>
      <c r="P382" s="2">
        <f>(H382 + J382) - (L382 + N382)</f>
        <v>0</v>
      </c>
      <c r="Q382" s="2">
        <f>P382 * G382</f>
        <v>0</v>
      </c>
      <c r="R382">
        <v>0</v>
      </c>
      <c r="S382" s="2">
        <f>R382 * G382</f>
        <v>0</v>
      </c>
      <c r="T382" s="2">
        <f>(H382 + J382) - (L382 + N382) - R382</f>
        <v>0</v>
      </c>
      <c r="U382" s="2">
        <f>T382 * G382</f>
        <v>0</v>
      </c>
      <c r="V382" s="2">
        <f>I382 + K382 - S382</f>
        <v>0</v>
      </c>
      <c r="W382" s="2">
        <f>M382 - V382</f>
        <v>0</v>
      </c>
      <c r="X382" s="2">
        <f>IFERROR(W382 / M382 * 100, 0)</f>
        <v>0</v>
      </c>
    </row>
    <row r="383" spans="1:24">
      <c r="A383" t="s">
        <v>3047</v>
      </c>
      <c r="B383" t="s">
        <v>512</v>
      </c>
      <c r="C383" t="s">
        <v>3540</v>
      </c>
      <c r="D383" t="s">
        <v>1007</v>
      </c>
      <c r="E383" t="s">
        <v>3652</v>
      </c>
      <c r="F383" t="s">
        <v>4035</v>
      </c>
      <c r="G383">
        <v>14.25</v>
      </c>
      <c r="H383">
        <v>20</v>
      </c>
      <c r="I383">
        <v>284.93</v>
      </c>
      <c r="J383">
        <v>-19.8</v>
      </c>
      <c r="K383">
        <v>-282.1</v>
      </c>
      <c r="L383">
        <v>0</v>
      </c>
      <c r="M383">
        <v>0</v>
      </c>
      <c r="N383">
        <v>0</v>
      </c>
      <c r="O383">
        <v>0</v>
      </c>
      <c r="P383" s="2">
        <f>(H383 + J383) - (L383 + N383)</f>
        <v>0</v>
      </c>
      <c r="Q383" s="2">
        <f>P383 * G383</f>
        <v>0</v>
      </c>
      <c r="R383">
        <v>18</v>
      </c>
      <c r="S383" s="2">
        <f>R383 * G383</f>
        <v>0</v>
      </c>
      <c r="T383" s="2">
        <f>(H383 + J383) - (L383 + N383) - R383</f>
        <v>0</v>
      </c>
      <c r="U383" s="2">
        <f>T383 * G383</f>
        <v>0</v>
      </c>
      <c r="V383" s="2">
        <f>I383 + K383 - S383</f>
        <v>0</v>
      </c>
      <c r="W383" s="2">
        <f>M383 - V383</f>
        <v>0</v>
      </c>
      <c r="X383" s="2">
        <f>IFERROR(W383 / M383 * 100, 0)</f>
        <v>0</v>
      </c>
    </row>
    <row r="384" spans="1:24">
      <c r="A384" t="s">
        <v>3048</v>
      </c>
      <c r="B384" t="s">
        <v>512</v>
      </c>
      <c r="C384" t="s">
        <v>3541</v>
      </c>
      <c r="D384" t="s">
        <v>1007</v>
      </c>
      <c r="E384" t="s">
        <v>3652</v>
      </c>
      <c r="F384" t="s">
        <v>4036</v>
      </c>
      <c r="G384">
        <v>0</v>
      </c>
      <c r="H384">
        <v>0</v>
      </c>
      <c r="I384">
        <v>0</v>
      </c>
      <c r="J384">
        <v>-0.01</v>
      </c>
      <c r="K384">
        <v>0</v>
      </c>
      <c r="L384">
        <v>0</v>
      </c>
      <c r="M384">
        <v>0</v>
      </c>
      <c r="N384">
        <v>0</v>
      </c>
      <c r="O384">
        <v>0</v>
      </c>
      <c r="P384" s="2">
        <f>(H384 + J384) - (L384 + N384)</f>
        <v>0</v>
      </c>
      <c r="Q384" s="2">
        <f>P384 * G384</f>
        <v>0</v>
      </c>
      <c r="R384">
        <v>0</v>
      </c>
      <c r="S384" s="2">
        <f>R384 * G384</f>
        <v>0</v>
      </c>
      <c r="T384" s="2">
        <f>(H384 + J384) - (L384 + N384) - R384</f>
        <v>0</v>
      </c>
      <c r="U384" s="2">
        <f>T384 * G384</f>
        <v>0</v>
      </c>
      <c r="V384" s="2">
        <f>I384 + K384 - S384</f>
        <v>0</v>
      </c>
      <c r="W384" s="2">
        <f>M384 - V384</f>
        <v>0</v>
      </c>
      <c r="X384" s="2">
        <f>IFERROR(W384 / M384 * 100, 0)</f>
        <v>0</v>
      </c>
    </row>
    <row r="385" spans="1:24">
      <c r="A385" t="s">
        <v>3049</v>
      </c>
      <c r="B385" t="s">
        <v>513</v>
      </c>
      <c r="C385" t="s">
        <v>3542</v>
      </c>
      <c r="D385" t="s">
        <v>1007</v>
      </c>
      <c r="E385" t="s">
        <v>3652</v>
      </c>
      <c r="F385" t="s">
        <v>4037</v>
      </c>
      <c r="G385">
        <v>10.96</v>
      </c>
      <c r="H385">
        <v>0</v>
      </c>
      <c r="I385">
        <v>0</v>
      </c>
      <c r="J385">
        <v>22.4</v>
      </c>
      <c r="K385">
        <v>246.18</v>
      </c>
      <c r="L385">
        <v>13.82</v>
      </c>
      <c r="M385">
        <v>497.34</v>
      </c>
      <c r="N385">
        <v>1.5</v>
      </c>
      <c r="O385">
        <v>16.49</v>
      </c>
      <c r="P385" s="2">
        <f>(H385 + J385) - (L385 + N385)</f>
        <v>0</v>
      </c>
      <c r="Q385" s="2">
        <f>P385 * G385</f>
        <v>0</v>
      </c>
      <c r="R385">
        <v>0</v>
      </c>
      <c r="S385" s="2">
        <f>R385 * G385</f>
        <v>0</v>
      </c>
      <c r="T385" s="2">
        <f>(H385 + J385) - (L385 + N385) - R385</f>
        <v>0</v>
      </c>
      <c r="U385" s="2">
        <f>T385 * G385</f>
        <v>0</v>
      </c>
      <c r="V385" s="2">
        <f>I385 + K385 - S385</f>
        <v>0</v>
      </c>
      <c r="W385" s="2">
        <f>M385 - V385</f>
        <v>0</v>
      </c>
      <c r="X385" s="2">
        <f>IFERROR(W385 / M385 * 100, 0)</f>
        <v>0</v>
      </c>
    </row>
    <row r="386" spans="1:24">
      <c r="A386" t="s">
        <v>3050</v>
      </c>
      <c r="B386" t="s">
        <v>513</v>
      </c>
      <c r="C386" t="s">
        <v>3543</v>
      </c>
      <c r="D386" t="s">
        <v>1007</v>
      </c>
      <c r="E386" t="s">
        <v>3652</v>
      </c>
      <c r="F386" t="s">
        <v>4038</v>
      </c>
      <c r="G386">
        <v>12.45</v>
      </c>
      <c r="H386">
        <v>0</v>
      </c>
      <c r="I386">
        <v>0</v>
      </c>
      <c r="J386">
        <v>6</v>
      </c>
      <c r="K386">
        <v>74.77</v>
      </c>
      <c r="L386">
        <v>2.6</v>
      </c>
      <c r="M386">
        <v>93.59999999999999</v>
      </c>
      <c r="N386">
        <v>0.5</v>
      </c>
      <c r="O386">
        <v>6.25</v>
      </c>
      <c r="P386" s="2">
        <f>(H386 + J386) - (L386 + N386)</f>
        <v>0</v>
      </c>
      <c r="Q386" s="2">
        <f>P386 * G386</f>
        <v>0</v>
      </c>
      <c r="R386">
        <v>0</v>
      </c>
      <c r="S386" s="2">
        <f>R386 * G386</f>
        <v>0</v>
      </c>
      <c r="T386" s="2">
        <f>(H386 + J386) - (L386 + N386) - R386</f>
        <v>0</v>
      </c>
      <c r="U386" s="2">
        <f>T386 * G386</f>
        <v>0</v>
      </c>
      <c r="V386" s="2">
        <f>I386 + K386 - S386</f>
        <v>0</v>
      </c>
      <c r="W386" s="2">
        <f>M386 - V386</f>
        <v>0</v>
      </c>
      <c r="X386" s="2">
        <f>IFERROR(W386 / M386 * 100, 0)</f>
        <v>0</v>
      </c>
    </row>
    <row r="387" spans="1:24">
      <c r="A387" t="s">
        <v>3051</v>
      </c>
      <c r="B387" t="s">
        <v>513</v>
      </c>
      <c r="C387" t="s">
        <v>3544</v>
      </c>
      <c r="D387" t="s">
        <v>1007</v>
      </c>
      <c r="E387" t="s">
        <v>3652</v>
      </c>
      <c r="F387" t="s">
        <v>4039</v>
      </c>
      <c r="G387">
        <v>9.15</v>
      </c>
      <c r="H387">
        <v>0</v>
      </c>
      <c r="I387">
        <v>0</v>
      </c>
      <c r="J387">
        <v>30</v>
      </c>
      <c r="K387">
        <v>276.96</v>
      </c>
      <c r="L387">
        <v>14.01</v>
      </c>
      <c r="M387">
        <v>420.3</v>
      </c>
      <c r="N387">
        <v>7.9</v>
      </c>
      <c r="O387">
        <v>73.26000000000001</v>
      </c>
      <c r="P387" s="2">
        <f>(H387 + J387) - (L387 + N387)</f>
        <v>0</v>
      </c>
      <c r="Q387" s="2">
        <f>P387 * G387</f>
        <v>0</v>
      </c>
      <c r="R387">
        <v>0</v>
      </c>
      <c r="S387" s="2">
        <f>R387 * G387</f>
        <v>0</v>
      </c>
      <c r="T387" s="2">
        <f>(H387 + J387) - (L387 + N387) - R387</f>
        <v>0</v>
      </c>
      <c r="U387" s="2">
        <f>T387 * G387</f>
        <v>0</v>
      </c>
      <c r="V387" s="2">
        <f>I387 + K387 - S387</f>
        <v>0</v>
      </c>
      <c r="W387" s="2">
        <f>M387 - V387</f>
        <v>0</v>
      </c>
      <c r="X387" s="2">
        <f>IFERROR(W387 / M387 * 100, 0)</f>
        <v>0</v>
      </c>
    </row>
    <row r="388" spans="1:24">
      <c r="A388" t="s">
        <v>3052</v>
      </c>
      <c r="B388" t="s">
        <v>513</v>
      </c>
      <c r="C388" t="s">
        <v>3545</v>
      </c>
      <c r="D388" t="s">
        <v>1008</v>
      </c>
      <c r="E388" t="s">
        <v>3652</v>
      </c>
      <c r="F388" t="s">
        <v>4040</v>
      </c>
      <c r="G388">
        <v>1.12</v>
      </c>
      <c r="H388">
        <v>0</v>
      </c>
      <c r="I388">
        <v>0</v>
      </c>
      <c r="J388">
        <v>175</v>
      </c>
      <c r="K388">
        <v>182.49</v>
      </c>
      <c r="L388">
        <v>59</v>
      </c>
      <c r="M388">
        <v>132.75</v>
      </c>
      <c r="N388">
        <v>43</v>
      </c>
      <c r="O388">
        <v>42.32</v>
      </c>
      <c r="P388" s="2">
        <f>(H388 + J388) - (L388 + N388)</f>
        <v>0</v>
      </c>
      <c r="Q388" s="2">
        <f>P388 * G388</f>
        <v>0</v>
      </c>
      <c r="R388">
        <v>0</v>
      </c>
      <c r="S388" s="2">
        <f>R388 * G388</f>
        <v>0</v>
      </c>
      <c r="T388" s="2">
        <f>(H388 + J388) - (L388 + N388) - R388</f>
        <v>0</v>
      </c>
      <c r="U388" s="2">
        <f>T388 * G388</f>
        <v>0</v>
      </c>
      <c r="V388" s="2">
        <f>I388 + K388 - S388</f>
        <v>0</v>
      </c>
      <c r="W388" s="2">
        <f>M388 - V388</f>
        <v>0</v>
      </c>
      <c r="X388" s="2">
        <f>IFERROR(W388 / M388 * 100, 0)</f>
        <v>0</v>
      </c>
    </row>
    <row r="389" spans="1:24">
      <c r="A389" t="s">
        <v>3053</v>
      </c>
      <c r="B389" t="s">
        <v>513</v>
      </c>
      <c r="C389" t="s">
        <v>3546</v>
      </c>
      <c r="D389" t="s">
        <v>1008</v>
      </c>
      <c r="E389" t="s">
        <v>3652</v>
      </c>
      <c r="F389" t="s">
        <v>4041</v>
      </c>
      <c r="G389">
        <v>0.17</v>
      </c>
      <c r="H389">
        <v>0</v>
      </c>
      <c r="I389">
        <v>0</v>
      </c>
      <c r="J389">
        <v>284</v>
      </c>
      <c r="K389">
        <v>43.63</v>
      </c>
      <c r="L389">
        <v>133</v>
      </c>
      <c r="M389">
        <v>133</v>
      </c>
      <c r="N389">
        <v>94</v>
      </c>
      <c r="O389">
        <v>13.52</v>
      </c>
      <c r="P389" s="2">
        <f>(H389 + J389) - (L389 + N389)</f>
        <v>0</v>
      </c>
      <c r="Q389" s="2">
        <f>P389 * G389</f>
        <v>0</v>
      </c>
      <c r="R389">
        <v>0</v>
      </c>
      <c r="S389" s="2">
        <f>R389 * G389</f>
        <v>0</v>
      </c>
      <c r="T389" s="2">
        <f>(H389 + J389) - (L389 + N389) - R389</f>
        <v>0</v>
      </c>
      <c r="U389" s="2">
        <f>T389 * G389</f>
        <v>0</v>
      </c>
      <c r="V389" s="2">
        <f>I389 + K389 - S389</f>
        <v>0</v>
      </c>
      <c r="W389" s="2">
        <f>M389 - V389</f>
        <v>0</v>
      </c>
      <c r="X389" s="2">
        <f>IFERROR(W389 / M389 * 100, 0)</f>
        <v>0</v>
      </c>
    </row>
    <row r="390" spans="1:24">
      <c r="A390" t="s">
        <v>3054</v>
      </c>
      <c r="B390" t="s">
        <v>513</v>
      </c>
      <c r="C390" t="s">
        <v>3547</v>
      </c>
      <c r="D390" t="s">
        <v>1008</v>
      </c>
      <c r="E390" t="s">
        <v>3652</v>
      </c>
      <c r="F390" t="s">
        <v>4042</v>
      </c>
      <c r="G390">
        <v>0.34</v>
      </c>
      <c r="H390">
        <v>0</v>
      </c>
      <c r="I390">
        <v>0</v>
      </c>
      <c r="J390">
        <v>382</v>
      </c>
      <c r="K390">
        <v>120.65</v>
      </c>
      <c r="L390">
        <v>382</v>
      </c>
      <c r="M390">
        <v>477.5</v>
      </c>
      <c r="N390">
        <v>17</v>
      </c>
      <c r="O390">
        <v>4.82</v>
      </c>
      <c r="P390" s="2">
        <f>(H390 + J390) - (L390 + N390)</f>
        <v>0</v>
      </c>
      <c r="Q390" s="2">
        <f>P390 * G390</f>
        <v>0</v>
      </c>
      <c r="R390">
        <v>0</v>
      </c>
      <c r="S390" s="2">
        <f>R390 * G390</f>
        <v>0</v>
      </c>
      <c r="T390" s="2">
        <f>(H390 + J390) - (L390 + N390) - R390</f>
        <v>0</v>
      </c>
      <c r="U390" s="2">
        <f>T390 * G390</f>
        <v>0</v>
      </c>
      <c r="V390" s="2">
        <f>I390 + K390 - S390</f>
        <v>0</v>
      </c>
      <c r="W390" s="2">
        <f>M390 - V390</f>
        <v>0</v>
      </c>
      <c r="X390" s="2">
        <f>IFERROR(W390 / M390 * 100, 0)</f>
        <v>0</v>
      </c>
    </row>
    <row r="391" spans="1:24">
      <c r="A391" t="s">
        <v>3055</v>
      </c>
      <c r="B391" t="s">
        <v>513</v>
      </c>
      <c r="C391" t="s">
        <v>3548</v>
      </c>
      <c r="D391" t="s">
        <v>1008</v>
      </c>
      <c r="E391" t="s">
        <v>3652</v>
      </c>
      <c r="F391" t="s">
        <v>4043</v>
      </c>
      <c r="G391">
        <v>0.87</v>
      </c>
      <c r="H391">
        <v>0</v>
      </c>
      <c r="I391">
        <v>0</v>
      </c>
      <c r="J391">
        <v>194</v>
      </c>
      <c r="K391">
        <v>168.06</v>
      </c>
      <c r="L391">
        <v>84</v>
      </c>
      <c r="M391">
        <v>168</v>
      </c>
      <c r="N391">
        <v>82</v>
      </c>
      <c r="O391">
        <v>70.87</v>
      </c>
      <c r="P391" s="2">
        <f>(H391 + J391) - (L391 + N391)</f>
        <v>0</v>
      </c>
      <c r="Q391" s="2">
        <f>P391 * G391</f>
        <v>0</v>
      </c>
      <c r="R391">
        <v>0</v>
      </c>
      <c r="S391" s="2">
        <f>R391 * G391</f>
        <v>0</v>
      </c>
      <c r="T391" s="2">
        <f>(H391 + J391) - (L391 + N391) - R391</f>
        <v>0</v>
      </c>
      <c r="U391" s="2">
        <f>T391 * G391</f>
        <v>0</v>
      </c>
      <c r="V391" s="2">
        <f>I391 + K391 - S391</f>
        <v>0</v>
      </c>
      <c r="W391" s="2">
        <f>M391 - V391</f>
        <v>0</v>
      </c>
      <c r="X391" s="2">
        <f>IFERROR(W391 / M391 * 100, 0)</f>
        <v>0</v>
      </c>
    </row>
    <row r="392" spans="1:24">
      <c r="A392" t="s">
        <v>3056</v>
      </c>
      <c r="B392" t="s">
        <v>512</v>
      </c>
      <c r="C392" t="s">
        <v>3549</v>
      </c>
      <c r="D392" t="s">
        <v>1007</v>
      </c>
      <c r="E392" t="s">
        <v>3652</v>
      </c>
      <c r="F392" t="s">
        <v>4044</v>
      </c>
      <c r="G392">
        <v>30.49</v>
      </c>
      <c r="H392">
        <v>4</v>
      </c>
      <c r="I392">
        <v>121.97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 s="2">
        <f>(H392 + J392) - (L392 + N392)</f>
        <v>0</v>
      </c>
      <c r="Q392" s="2">
        <f>P392 * G392</f>
        <v>0</v>
      </c>
      <c r="R392">
        <v>8</v>
      </c>
      <c r="S392" s="2">
        <f>R392 * G392</f>
        <v>0</v>
      </c>
      <c r="T392" s="2">
        <f>(H392 + J392) - (L392 + N392) - R392</f>
        <v>0</v>
      </c>
      <c r="U392" s="2">
        <f>T392 * G392</f>
        <v>0</v>
      </c>
      <c r="V392" s="2">
        <f>I392 + K392 - S392</f>
        <v>0</v>
      </c>
      <c r="W392" s="2">
        <f>M392 - V392</f>
        <v>0</v>
      </c>
      <c r="X392" s="2">
        <f>IFERROR(W392 / M392 * 100, 0)</f>
        <v>0</v>
      </c>
    </row>
    <row r="393" spans="1:24">
      <c r="A393" t="s">
        <v>3057</v>
      </c>
      <c r="B393" t="s">
        <v>513</v>
      </c>
      <c r="C393" t="s">
        <v>3550</v>
      </c>
      <c r="D393" t="s">
        <v>1007</v>
      </c>
      <c r="E393" t="s">
        <v>3652</v>
      </c>
      <c r="F393" t="s">
        <v>4045</v>
      </c>
      <c r="G393">
        <v>7.66</v>
      </c>
      <c r="H393">
        <v>0</v>
      </c>
      <c r="I393">
        <v>0</v>
      </c>
      <c r="J393">
        <v>28</v>
      </c>
      <c r="K393">
        <v>217.08</v>
      </c>
      <c r="L393">
        <v>20.79</v>
      </c>
      <c r="M393">
        <v>706.86</v>
      </c>
      <c r="N393">
        <v>1.8</v>
      </c>
      <c r="O393">
        <v>14.08</v>
      </c>
      <c r="P393" s="2">
        <f>(H393 + J393) - (L393 + N393)</f>
        <v>0</v>
      </c>
      <c r="Q393" s="2">
        <f>P393 * G393</f>
        <v>0</v>
      </c>
      <c r="R393">
        <v>0</v>
      </c>
      <c r="S393" s="2">
        <f>R393 * G393</f>
        <v>0</v>
      </c>
      <c r="T393" s="2">
        <f>(H393 + J393) - (L393 + N393) - R393</f>
        <v>0</v>
      </c>
      <c r="U393" s="2">
        <f>T393 * G393</f>
        <v>0</v>
      </c>
      <c r="V393" s="2">
        <f>I393 + K393 - S393</f>
        <v>0</v>
      </c>
      <c r="W393" s="2">
        <f>M393 - V393</f>
        <v>0</v>
      </c>
      <c r="X393" s="2">
        <f>IFERROR(W393 / M393 * 100, 0)</f>
        <v>0</v>
      </c>
    </row>
    <row r="394" spans="1:24">
      <c r="A394" t="s">
        <v>3058</v>
      </c>
      <c r="B394" t="s">
        <v>512</v>
      </c>
      <c r="C394" t="s">
        <v>3551</v>
      </c>
      <c r="D394" t="s">
        <v>1007</v>
      </c>
      <c r="E394" t="s">
        <v>3652</v>
      </c>
      <c r="F394" t="s">
        <v>4046</v>
      </c>
      <c r="G394">
        <v>16</v>
      </c>
      <c r="H394">
        <v>0</v>
      </c>
      <c r="I394">
        <v>0</v>
      </c>
      <c r="J394">
        <v>0</v>
      </c>
      <c r="K394">
        <v>0</v>
      </c>
      <c r="L394">
        <v>29.46</v>
      </c>
      <c r="M394">
        <v>736.73</v>
      </c>
      <c r="N394">
        <v>0</v>
      </c>
      <c r="O394">
        <v>0</v>
      </c>
      <c r="P394" s="2">
        <f>(H394 + J394) - (L394 + N394)</f>
        <v>0</v>
      </c>
      <c r="Q394" s="2">
        <f>P394 * G394</f>
        <v>0</v>
      </c>
      <c r="R394">
        <v>0</v>
      </c>
      <c r="S394" s="2">
        <f>R394 * G394</f>
        <v>0</v>
      </c>
      <c r="T394" s="2">
        <f>(H394 + J394) - (L394 + N394) - R394</f>
        <v>0</v>
      </c>
      <c r="U394" s="2">
        <f>T394 * G394</f>
        <v>0</v>
      </c>
      <c r="V394" s="2">
        <f>I394 + K394 - S394</f>
        <v>0</v>
      </c>
      <c r="W394" s="2">
        <f>M394 - V394</f>
        <v>0</v>
      </c>
      <c r="X394" s="2">
        <f>IFERROR(W394 / M394 * 100, 0)</f>
        <v>0</v>
      </c>
    </row>
    <row r="395" spans="1:24">
      <c r="A395" t="s">
        <v>3059</v>
      </c>
      <c r="B395" t="s">
        <v>512</v>
      </c>
      <c r="C395" t="s">
        <v>3552</v>
      </c>
      <c r="D395" t="s">
        <v>1007</v>
      </c>
      <c r="E395" t="s">
        <v>3652</v>
      </c>
      <c r="F395" t="s">
        <v>4047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16.49</v>
      </c>
      <c r="M395">
        <v>395.76</v>
      </c>
      <c r="N395">
        <v>0</v>
      </c>
      <c r="O395">
        <v>0</v>
      </c>
      <c r="P395" s="2">
        <f>(H395 + J395) - (L395 + N395)</f>
        <v>0</v>
      </c>
      <c r="Q395" s="2">
        <f>P395 * G395</f>
        <v>0</v>
      </c>
      <c r="R395">
        <v>0</v>
      </c>
      <c r="S395" s="2">
        <f>R395 * G395</f>
        <v>0</v>
      </c>
      <c r="T395" s="2">
        <f>(H395 + J395) - (L395 + N395) - R395</f>
        <v>0</v>
      </c>
      <c r="U395" s="2">
        <f>T395 * G395</f>
        <v>0</v>
      </c>
      <c r="V395" s="2">
        <f>I395 + K395 - S395</f>
        <v>0</v>
      </c>
      <c r="W395" s="2">
        <f>M395 - V395</f>
        <v>0</v>
      </c>
      <c r="X395" s="2">
        <f>IFERROR(W395 / M395 * 100, 0)</f>
        <v>0</v>
      </c>
    </row>
    <row r="396" spans="1:24">
      <c r="A396" t="s">
        <v>3060</v>
      </c>
      <c r="B396" t="s">
        <v>512</v>
      </c>
      <c r="C396" t="s">
        <v>3553</v>
      </c>
      <c r="D396" t="s">
        <v>1007</v>
      </c>
      <c r="E396" t="s">
        <v>3652</v>
      </c>
      <c r="F396" t="s">
        <v>4048</v>
      </c>
      <c r="G396">
        <v>9.73</v>
      </c>
      <c r="H396">
        <v>9</v>
      </c>
      <c r="I396">
        <v>71.37</v>
      </c>
      <c r="J396">
        <v>63.48</v>
      </c>
      <c r="K396">
        <v>639.73</v>
      </c>
      <c r="L396">
        <v>0</v>
      </c>
      <c r="M396">
        <v>0</v>
      </c>
      <c r="N396">
        <v>0</v>
      </c>
      <c r="O396">
        <v>0</v>
      </c>
      <c r="P396" s="2">
        <f>(H396 + J396) - (L396 + N396)</f>
        <v>0</v>
      </c>
      <c r="Q396" s="2">
        <f>P396 * G396</f>
        <v>0</v>
      </c>
      <c r="R396">
        <v>27</v>
      </c>
      <c r="S396" s="2">
        <f>R396 * G396</f>
        <v>0</v>
      </c>
      <c r="T396" s="2">
        <f>(H396 + J396) - (L396 + N396) - R396</f>
        <v>0</v>
      </c>
      <c r="U396" s="2">
        <f>T396 * G396</f>
        <v>0</v>
      </c>
      <c r="V396" s="2">
        <f>I396 + K396 - S396</f>
        <v>0</v>
      </c>
      <c r="W396" s="2">
        <f>M396 - V396</f>
        <v>0</v>
      </c>
      <c r="X396" s="2">
        <f>IFERROR(W396 / M396 * 100, 0)</f>
        <v>0</v>
      </c>
    </row>
    <row r="397" spans="1:24">
      <c r="A397" t="s">
        <v>3061</v>
      </c>
      <c r="B397" t="s">
        <v>512</v>
      </c>
      <c r="C397" t="s">
        <v>3554</v>
      </c>
      <c r="D397" t="s">
        <v>1007</v>
      </c>
      <c r="E397" t="s">
        <v>3652</v>
      </c>
      <c r="F397" t="s">
        <v>4049</v>
      </c>
      <c r="G397">
        <v>2.57</v>
      </c>
      <c r="H397">
        <v>20</v>
      </c>
      <c r="I397">
        <v>67.06999999999999</v>
      </c>
      <c r="J397">
        <v>337.67</v>
      </c>
      <c r="K397">
        <v>833.8200000000001</v>
      </c>
      <c r="L397">
        <v>0</v>
      </c>
      <c r="M397">
        <v>0</v>
      </c>
      <c r="N397">
        <v>0</v>
      </c>
      <c r="O397">
        <v>0</v>
      </c>
      <c r="P397" s="2">
        <f>(H397 + J397) - (L397 + N397)</f>
        <v>0</v>
      </c>
      <c r="Q397" s="2">
        <f>P397 * G397</f>
        <v>0</v>
      </c>
      <c r="R397">
        <v>20</v>
      </c>
      <c r="S397" s="2">
        <f>R397 * G397</f>
        <v>0</v>
      </c>
      <c r="T397" s="2">
        <f>(H397 + J397) - (L397 + N397) - R397</f>
        <v>0</v>
      </c>
      <c r="U397" s="2">
        <f>T397 * G397</f>
        <v>0</v>
      </c>
      <c r="V397" s="2">
        <f>I397 + K397 - S397</f>
        <v>0</v>
      </c>
      <c r="W397" s="2">
        <f>M397 - V397</f>
        <v>0</v>
      </c>
      <c r="X397" s="2">
        <f>IFERROR(W397 / M397 * 100, 0)</f>
        <v>0</v>
      </c>
    </row>
    <row r="398" spans="1:24">
      <c r="A398" t="s">
        <v>3062</v>
      </c>
      <c r="B398" t="s">
        <v>512</v>
      </c>
      <c r="C398" t="s">
        <v>3555</v>
      </c>
      <c r="D398" t="s">
        <v>1007</v>
      </c>
      <c r="E398" t="s">
        <v>3652</v>
      </c>
      <c r="F398" t="s">
        <v>4050</v>
      </c>
      <c r="G398">
        <v>7.27</v>
      </c>
      <c r="H398">
        <v>20</v>
      </c>
      <c r="I398">
        <v>202.66</v>
      </c>
      <c r="J398">
        <v>5.65</v>
      </c>
      <c r="K398">
        <v>-19.89</v>
      </c>
      <c r="L398">
        <v>0</v>
      </c>
      <c r="M398">
        <v>0</v>
      </c>
      <c r="N398">
        <v>0</v>
      </c>
      <c r="O398">
        <v>0</v>
      </c>
      <c r="P398" s="2">
        <f>(H398 + J398) - (L398 + N398)</f>
        <v>0</v>
      </c>
      <c r="Q398" s="2">
        <f>P398 * G398</f>
        <v>0</v>
      </c>
      <c r="R398">
        <v>20</v>
      </c>
      <c r="S398" s="2">
        <f>R398 * G398</f>
        <v>0</v>
      </c>
      <c r="T398" s="2">
        <f>(H398 + J398) - (L398 + N398) - R398</f>
        <v>0</v>
      </c>
      <c r="U398" s="2">
        <f>T398 * G398</f>
        <v>0</v>
      </c>
      <c r="V398" s="2">
        <f>I398 + K398 - S398</f>
        <v>0</v>
      </c>
      <c r="W398" s="2">
        <f>M398 - V398</f>
        <v>0</v>
      </c>
      <c r="X398" s="2">
        <f>IFERROR(W398 / M398 * 100, 0)</f>
        <v>0</v>
      </c>
    </row>
    <row r="399" spans="1:24">
      <c r="A399" t="s">
        <v>3063</v>
      </c>
      <c r="B399" t="s">
        <v>512</v>
      </c>
      <c r="C399" t="s">
        <v>3556</v>
      </c>
      <c r="D399" t="s">
        <v>1007</v>
      </c>
      <c r="E399" t="s">
        <v>3652</v>
      </c>
      <c r="F399" t="s">
        <v>4051</v>
      </c>
      <c r="G399">
        <v>9.279999999999999</v>
      </c>
      <c r="H399">
        <v>20</v>
      </c>
      <c r="I399">
        <v>127.38</v>
      </c>
      <c r="J399">
        <v>55.85</v>
      </c>
      <c r="K399">
        <v>570.52</v>
      </c>
      <c r="L399">
        <v>0</v>
      </c>
      <c r="M399">
        <v>0</v>
      </c>
      <c r="N399">
        <v>0</v>
      </c>
      <c r="O399">
        <v>0</v>
      </c>
      <c r="P399" s="2">
        <f>(H399 + J399) - (L399 + N399)</f>
        <v>0</v>
      </c>
      <c r="Q399" s="2">
        <f>P399 * G399</f>
        <v>0</v>
      </c>
      <c r="R399">
        <v>20</v>
      </c>
      <c r="S399" s="2">
        <f>R399 * G399</f>
        <v>0</v>
      </c>
      <c r="T399" s="2">
        <f>(H399 + J399) - (L399 + N399) - R399</f>
        <v>0</v>
      </c>
      <c r="U399" s="2">
        <f>T399 * G399</f>
        <v>0</v>
      </c>
      <c r="V399" s="2">
        <f>I399 + K399 - S399</f>
        <v>0</v>
      </c>
      <c r="W399" s="2">
        <f>M399 - V399</f>
        <v>0</v>
      </c>
      <c r="X399" s="2">
        <f>IFERROR(W399 / M399 * 100, 0)</f>
        <v>0</v>
      </c>
    </row>
    <row r="400" spans="1:24">
      <c r="A400" t="s">
        <v>3064</v>
      </c>
      <c r="B400" t="s">
        <v>512</v>
      </c>
      <c r="C400" t="s">
        <v>3557</v>
      </c>
      <c r="D400" t="s">
        <v>1007</v>
      </c>
      <c r="E400" t="s">
        <v>3652</v>
      </c>
      <c r="F400" t="s">
        <v>4052</v>
      </c>
      <c r="G400">
        <v>5.51</v>
      </c>
      <c r="H400">
        <v>20</v>
      </c>
      <c r="I400">
        <v>100.51</v>
      </c>
      <c r="J400">
        <v>12.73</v>
      </c>
      <c r="K400">
        <v>78.11</v>
      </c>
      <c r="L400">
        <v>0</v>
      </c>
      <c r="M400">
        <v>0</v>
      </c>
      <c r="N400">
        <v>0</v>
      </c>
      <c r="O400">
        <v>0</v>
      </c>
      <c r="P400" s="2">
        <f>(H400 + J400) - (L400 + N400)</f>
        <v>0</v>
      </c>
      <c r="Q400" s="2">
        <f>P400 * G400</f>
        <v>0</v>
      </c>
      <c r="R400">
        <v>20</v>
      </c>
      <c r="S400" s="2">
        <f>R400 * G400</f>
        <v>0</v>
      </c>
      <c r="T400" s="2">
        <f>(H400 + J400) - (L400 + N400) - R400</f>
        <v>0</v>
      </c>
      <c r="U400" s="2">
        <f>T400 * G400</f>
        <v>0</v>
      </c>
      <c r="V400" s="2">
        <f>I400 + K400 - S400</f>
        <v>0</v>
      </c>
      <c r="W400" s="2">
        <f>M400 - V400</f>
        <v>0</v>
      </c>
      <c r="X400" s="2">
        <f>IFERROR(W400 / M400 * 100, 0)</f>
        <v>0</v>
      </c>
    </row>
    <row r="401" spans="1:24">
      <c r="A401" t="s">
        <v>3065</v>
      </c>
      <c r="B401" t="s">
        <v>512</v>
      </c>
      <c r="C401" t="s">
        <v>3558</v>
      </c>
      <c r="D401" t="s">
        <v>1007</v>
      </c>
      <c r="E401" t="s">
        <v>3652</v>
      </c>
      <c r="F401" t="s">
        <v>4053</v>
      </c>
      <c r="G401">
        <v>12.4</v>
      </c>
      <c r="H401">
        <v>15</v>
      </c>
      <c r="I401">
        <v>161.46</v>
      </c>
      <c r="J401">
        <v>-13</v>
      </c>
      <c r="K401">
        <v>-138.41</v>
      </c>
      <c r="L401">
        <v>0</v>
      </c>
      <c r="M401">
        <v>0</v>
      </c>
      <c r="N401">
        <v>0</v>
      </c>
      <c r="O401">
        <v>0</v>
      </c>
      <c r="P401" s="2">
        <f>(H401 + J401) - (L401 + N401)</f>
        <v>0</v>
      </c>
      <c r="Q401" s="2">
        <f>P401 * G401</f>
        <v>0</v>
      </c>
      <c r="R401">
        <v>15</v>
      </c>
      <c r="S401" s="2">
        <f>R401 * G401</f>
        <v>0</v>
      </c>
      <c r="T401" s="2">
        <f>(H401 + J401) - (L401 + N401) - R401</f>
        <v>0</v>
      </c>
      <c r="U401" s="2">
        <f>T401 * G401</f>
        <v>0</v>
      </c>
      <c r="V401" s="2">
        <f>I401 + K401 - S401</f>
        <v>0</v>
      </c>
      <c r="W401" s="2">
        <f>M401 - V401</f>
        <v>0</v>
      </c>
      <c r="X401" s="2">
        <f>IFERROR(W401 / M401 * 100, 0)</f>
        <v>0</v>
      </c>
    </row>
    <row r="402" spans="1:24">
      <c r="A402" t="s">
        <v>3066</v>
      </c>
      <c r="B402" t="s">
        <v>512</v>
      </c>
      <c r="C402" t="s">
        <v>3559</v>
      </c>
      <c r="D402" t="s">
        <v>1007</v>
      </c>
      <c r="E402" t="s">
        <v>3652</v>
      </c>
      <c r="F402" t="s">
        <v>4054</v>
      </c>
      <c r="G402">
        <v>9.369999999999999</v>
      </c>
      <c r="H402">
        <v>10</v>
      </c>
      <c r="I402">
        <v>149.74</v>
      </c>
      <c r="J402">
        <v>104.26</v>
      </c>
      <c r="K402">
        <v>779.7</v>
      </c>
      <c r="L402">
        <v>0</v>
      </c>
      <c r="M402">
        <v>0</v>
      </c>
      <c r="N402">
        <v>0</v>
      </c>
      <c r="O402">
        <v>0</v>
      </c>
      <c r="P402" s="2">
        <f>(H402 + J402) - (L402 + N402)</f>
        <v>0</v>
      </c>
      <c r="Q402" s="2">
        <f>P402 * G402</f>
        <v>0</v>
      </c>
      <c r="R402">
        <v>20</v>
      </c>
      <c r="S402" s="2">
        <f>R402 * G402</f>
        <v>0</v>
      </c>
      <c r="T402" s="2">
        <f>(H402 + J402) - (L402 + N402) - R402</f>
        <v>0</v>
      </c>
      <c r="U402" s="2">
        <f>T402 * G402</f>
        <v>0</v>
      </c>
      <c r="V402" s="2">
        <f>I402 + K402 - S402</f>
        <v>0</v>
      </c>
      <c r="W402" s="2">
        <f>M402 - V402</f>
        <v>0</v>
      </c>
      <c r="X402" s="2">
        <f>IFERROR(W402 / M402 * 100, 0)</f>
        <v>0</v>
      </c>
    </row>
    <row r="403" spans="1:24">
      <c r="A403" t="s">
        <v>3067</v>
      </c>
      <c r="B403" t="s">
        <v>512</v>
      </c>
      <c r="C403" t="s">
        <v>3560</v>
      </c>
      <c r="D403" t="s">
        <v>1007</v>
      </c>
      <c r="E403" t="s">
        <v>3652</v>
      </c>
      <c r="F403" t="s">
        <v>4055</v>
      </c>
      <c r="G403">
        <v>53.53</v>
      </c>
      <c r="H403">
        <v>0</v>
      </c>
      <c r="I403">
        <v>0</v>
      </c>
      <c r="J403">
        <v>-2.73</v>
      </c>
      <c r="K403">
        <v>-145.96</v>
      </c>
      <c r="L403">
        <v>0</v>
      </c>
      <c r="M403">
        <v>0</v>
      </c>
      <c r="N403">
        <v>0</v>
      </c>
      <c r="O403">
        <v>0</v>
      </c>
      <c r="P403" s="2">
        <f>(H403 + J403) - (L403 + N403)</f>
        <v>0</v>
      </c>
      <c r="Q403" s="2">
        <f>P403 * G403</f>
        <v>0</v>
      </c>
      <c r="R403">
        <v>0</v>
      </c>
      <c r="S403" s="2">
        <f>R403 * G403</f>
        <v>0</v>
      </c>
      <c r="T403" s="2">
        <f>(H403 + J403) - (L403 + N403) - R403</f>
        <v>0</v>
      </c>
      <c r="U403" s="2">
        <f>T403 * G403</f>
        <v>0</v>
      </c>
      <c r="V403" s="2">
        <f>I403 + K403 - S403</f>
        <v>0</v>
      </c>
      <c r="W403" s="2">
        <f>M403 - V403</f>
        <v>0</v>
      </c>
      <c r="X403" s="2">
        <f>IFERROR(W403 / M403 * 100, 0)</f>
        <v>0</v>
      </c>
    </row>
    <row r="404" spans="1:24">
      <c r="A404" t="s">
        <v>3068</v>
      </c>
      <c r="B404" t="s">
        <v>512</v>
      </c>
      <c r="C404" t="s">
        <v>3561</v>
      </c>
      <c r="D404" t="s">
        <v>1007</v>
      </c>
      <c r="E404" t="s">
        <v>3652</v>
      </c>
      <c r="F404" t="s">
        <v>4056</v>
      </c>
      <c r="G404">
        <v>20</v>
      </c>
      <c r="H404">
        <v>0</v>
      </c>
      <c r="I404">
        <v>0</v>
      </c>
      <c r="J404">
        <v>0.4</v>
      </c>
      <c r="K404">
        <v>7.38</v>
      </c>
      <c r="L404">
        <v>0</v>
      </c>
      <c r="M404">
        <v>0</v>
      </c>
      <c r="N404">
        <v>0</v>
      </c>
      <c r="O404">
        <v>0</v>
      </c>
      <c r="P404" s="2">
        <f>(H404 + J404) - (L404 + N404)</f>
        <v>0</v>
      </c>
      <c r="Q404" s="2">
        <f>P404 * G404</f>
        <v>0</v>
      </c>
      <c r="R404">
        <v>0</v>
      </c>
      <c r="S404" s="2">
        <f>R404 * G404</f>
        <v>0</v>
      </c>
      <c r="T404" s="2">
        <f>(H404 + J404) - (L404 + N404) - R404</f>
        <v>0</v>
      </c>
      <c r="U404" s="2">
        <f>T404 * G404</f>
        <v>0</v>
      </c>
      <c r="V404" s="2">
        <f>I404 + K404 - S404</f>
        <v>0</v>
      </c>
      <c r="W404" s="2">
        <f>M404 - V404</f>
        <v>0</v>
      </c>
      <c r="X404" s="2">
        <f>IFERROR(W404 / M404 * 100, 0)</f>
        <v>0</v>
      </c>
    </row>
    <row r="405" spans="1:24">
      <c r="A405" t="s">
        <v>3069</v>
      </c>
      <c r="B405" t="s">
        <v>512</v>
      </c>
      <c r="C405" t="s">
        <v>3562</v>
      </c>
      <c r="D405" t="s">
        <v>1007</v>
      </c>
      <c r="E405" t="s">
        <v>3652</v>
      </c>
      <c r="F405" t="s">
        <v>4057</v>
      </c>
      <c r="G405">
        <v>0.75</v>
      </c>
      <c r="H405">
        <v>13</v>
      </c>
      <c r="I405">
        <v>9.210000000000001</v>
      </c>
      <c r="J405">
        <v>106.03</v>
      </c>
      <c r="K405">
        <v>79.20999999999999</v>
      </c>
      <c r="L405">
        <v>0</v>
      </c>
      <c r="M405">
        <v>0</v>
      </c>
      <c r="N405">
        <v>0</v>
      </c>
      <c r="O405">
        <v>0</v>
      </c>
      <c r="P405" s="2">
        <f>(H405 + J405) - (L405 + N405)</f>
        <v>0</v>
      </c>
      <c r="Q405" s="2">
        <f>P405 * G405</f>
        <v>0</v>
      </c>
      <c r="R405">
        <v>18</v>
      </c>
      <c r="S405" s="2">
        <f>R405 * G405</f>
        <v>0</v>
      </c>
      <c r="T405" s="2">
        <f>(H405 + J405) - (L405 + N405) - R405</f>
        <v>0</v>
      </c>
      <c r="U405" s="2">
        <f>T405 * G405</f>
        <v>0</v>
      </c>
      <c r="V405" s="2">
        <f>I405 + K405 - S405</f>
        <v>0</v>
      </c>
      <c r="W405" s="2">
        <f>M405 - V405</f>
        <v>0</v>
      </c>
      <c r="X405" s="2">
        <f>IFERROR(W405 / M405 * 100, 0)</f>
        <v>0</v>
      </c>
    </row>
    <row r="406" spans="1:24">
      <c r="A406" t="s">
        <v>3070</v>
      </c>
      <c r="B406" t="s">
        <v>512</v>
      </c>
      <c r="C406" t="s">
        <v>3563</v>
      </c>
      <c r="D406" t="s">
        <v>1007</v>
      </c>
      <c r="E406" t="s">
        <v>3652</v>
      </c>
      <c r="F406" t="s">
        <v>4058</v>
      </c>
      <c r="G406">
        <v>26.21</v>
      </c>
      <c r="H406">
        <v>2</v>
      </c>
      <c r="I406">
        <v>50.82</v>
      </c>
      <c r="J406">
        <v>-7.94</v>
      </c>
      <c r="K406">
        <v>-195.99</v>
      </c>
      <c r="L406">
        <v>0</v>
      </c>
      <c r="M406">
        <v>0</v>
      </c>
      <c r="N406">
        <v>0</v>
      </c>
      <c r="O406">
        <v>0</v>
      </c>
      <c r="P406" s="2">
        <f>(H406 + J406) - (L406 + N406)</f>
        <v>0</v>
      </c>
      <c r="Q406" s="2">
        <f>P406 * G406</f>
        <v>0</v>
      </c>
      <c r="R406">
        <v>2</v>
      </c>
      <c r="S406" s="2">
        <f>R406 * G406</f>
        <v>0</v>
      </c>
      <c r="T406" s="2">
        <f>(H406 + J406) - (L406 + N406) - R406</f>
        <v>0</v>
      </c>
      <c r="U406" s="2">
        <f>T406 * G406</f>
        <v>0</v>
      </c>
      <c r="V406" s="2">
        <f>I406 + K406 - S406</f>
        <v>0</v>
      </c>
      <c r="W406" s="2">
        <f>M406 - V406</f>
        <v>0</v>
      </c>
      <c r="X406" s="2">
        <f>IFERROR(W406 / M406 * 100, 0)</f>
        <v>0</v>
      </c>
    </row>
    <row r="407" spans="1:24">
      <c r="A407" t="s">
        <v>3071</v>
      </c>
      <c r="B407" t="s">
        <v>512</v>
      </c>
      <c r="C407" t="s">
        <v>3564</v>
      </c>
      <c r="D407" t="s">
        <v>1008</v>
      </c>
      <c r="E407" t="s">
        <v>3652</v>
      </c>
      <c r="F407" t="s">
        <v>4059</v>
      </c>
      <c r="G407">
        <v>0.25</v>
      </c>
      <c r="H407">
        <v>0</v>
      </c>
      <c r="I407">
        <v>0</v>
      </c>
      <c r="J407">
        <v>2600</v>
      </c>
      <c r="K407">
        <v>650</v>
      </c>
      <c r="L407">
        <v>0</v>
      </c>
      <c r="M407">
        <v>0</v>
      </c>
      <c r="N407">
        <v>0</v>
      </c>
      <c r="O407">
        <v>0</v>
      </c>
      <c r="P407" s="2">
        <f>(H407 + J407) - (L407 + N407)</f>
        <v>0</v>
      </c>
      <c r="Q407" s="2">
        <f>P407 * G407</f>
        <v>0</v>
      </c>
      <c r="R407">
        <v>0</v>
      </c>
      <c r="S407" s="2">
        <f>R407 * G407</f>
        <v>0</v>
      </c>
      <c r="T407" s="2">
        <f>(H407 + J407) - (L407 + N407) - R407</f>
        <v>0</v>
      </c>
      <c r="U407" s="2">
        <f>T407 * G407</f>
        <v>0</v>
      </c>
      <c r="V407" s="2">
        <f>I407 + K407 - S407</f>
        <v>0</v>
      </c>
      <c r="W407" s="2">
        <f>M407 - V407</f>
        <v>0</v>
      </c>
      <c r="X407" s="2">
        <f>IFERROR(W407 / M407 * 100, 0)</f>
        <v>0</v>
      </c>
    </row>
    <row r="408" spans="1:24">
      <c r="A408" t="s">
        <v>3072</v>
      </c>
      <c r="B408" t="s">
        <v>512</v>
      </c>
      <c r="C408" t="s">
        <v>3565</v>
      </c>
      <c r="D408" t="s">
        <v>1007</v>
      </c>
      <c r="E408" t="s">
        <v>3652</v>
      </c>
      <c r="F408" t="s">
        <v>4060</v>
      </c>
      <c r="G408">
        <v>1.01</v>
      </c>
      <c r="H408">
        <v>20</v>
      </c>
      <c r="I408">
        <v>31.19</v>
      </c>
      <c r="J408">
        <v>180.58</v>
      </c>
      <c r="K408">
        <v>161.11</v>
      </c>
      <c r="L408">
        <v>0</v>
      </c>
      <c r="M408">
        <v>0</v>
      </c>
      <c r="N408">
        <v>0</v>
      </c>
      <c r="O408">
        <v>0</v>
      </c>
      <c r="P408" s="2">
        <f>(H408 + J408) - (L408 + N408)</f>
        <v>0</v>
      </c>
      <c r="Q408" s="2">
        <f>P408 * G408</f>
        <v>0</v>
      </c>
      <c r="R408">
        <v>20</v>
      </c>
      <c r="S408" s="2">
        <f>R408 * G408</f>
        <v>0</v>
      </c>
      <c r="T408" s="2">
        <f>(H408 + J408) - (L408 + N408) - R408</f>
        <v>0</v>
      </c>
      <c r="U408" s="2">
        <f>T408 * G408</f>
        <v>0</v>
      </c>
      <c r="V408" s="2">
        <f>I408 + K408 - S408</f>
        <v>0</v>
      </c>
      <c r="W408" s="2">
        <f>M408 - V408</f>
        <v>0</v>
      </c>
      <c r="X408" s="2">
        <f>IFERROR(W408 / M408 * 100, 0)</f>
        <v>0</v>
      </c>
    </row>
    <row r="409" spans="1:24">
      <c r="A409" t="s">
        <v>3073</v>
      </c>
      <c r="B409" t="s">
        <v>512</v>
      </c>
      <c r="C409" t="s">
        <v>3566</v>
      </c>
      <c r="D409" t="s">
        <v>1007</v>
      </c>
      <c r="E409" t="s">
        <v>3652</v>
      </c>
      <c r="F409" t="s">
        <v>4061</v>
      </c>
      <c r="G409">
        <v>1.2</v>
      </c>
      <c r="H409">
        <v>50</v>
      </c>
      <c r="I409">
        <v>89.19</v>
      </c>
      <c r="J409">
        <v>52.67</v>
      </c>
      <c r="K409">
        <v>73.31</v>
      </c>
      <c r="L409">
        <v>0</v>
      </c>
      <c r="M409">
        <v>0</v>
      </c>
      <c r="N409">
        <v>0</v>
      </c>
      <c r="O409">
        <v>0</v>
      </c>
      <c r="P409" s="2">
        <f>(H409 + J409) - (L409 + N409)</f>
        <v>0</v>
      </c>
      <c r="Q409" s="2">
        <f>P409 * G409</f>
        <v>0</v>
      </c>
      <c r="R409">
        <v>50</v>
      </c>
      <c r="S409" s="2">
        <f>R409 * G409</f>
        <v>0</v>
      </c>
      <c r="T409" s="2">
        <f>(H409 + J409) - (L409 + N409) - R409</f>
        <v>0</v>
      </c>
      <c r="U409" s="2">
        <f>T409 * G409</f>
        <v>0</v>
      </c>
      <c r="V409" s="2">
        <f>I409 + K409 - S409</f>
        <v>0</v>
      </c>
      <c r="W409" s="2">
        <f>M409 - V409</f>
        <v>0</v>
      </c>
      <c r="X409" s="2">
        <f>IFERROR(W409 / M409 * 100, 0)</f>
        <v>0</v>
      </c>
    </row>
    <row r="410" spans="1:24">
      <c r="A410" t="s">
        <v>3074</v>
      </c>
      <c r="B410" t="s">
        <v>512</v>
      </c>
      <c r="C410" t="s">
        <v>3567</v>
      </c>
      <c r="D410" t="s">
        <v>1008</v>
      </c>
      <c r="E410" t="s">
        <v>3652</v>
      </c>
      <c r="F410" t="s">
        <v>4062</v>
      </c>
      <c r="G410">
        <v>1.74</v>
      </c>
      <c r="H410">
        <v>15</v>
      </c>
      <c r="I410">
        <v>34.26</v>
      </c>
      <c r="J410">
        <v>509.27</v>
      </c>
      <c r="K410">
        <v>875.98</v>
      </c>
      <c r="L410">
        <v>0</v>
      </c>
      <c r="M410">
        <v>0</v>
      </c>
      <c r="N410">
        <v>0</v>
      </c>
      <c r="O410">
        <v>0</v>
      </c>
      <c r="P410" s="2">
        <f>(H410 + J410) - (L410 + N410)</f>
        <v>0</v>
      </c>
      <c r="Q410" s="2">
        <f>P410 * G410</f>
        <v>0</v>
      </c>
      <c r="R410">
        <v>15</v>
      </c>
      <c r="S410" s="2">
        <f>R410 * G410</f>
        <v>0</v>
      </c>
      <c r="T410" s="2">
        <f>(H410 + J410) - (L410 + N410) - R410</f>
        <v>0</v>
      </c>
      <c r="U410" s="2">
        <f>T410 * G410</f>
        <v>0</v>
      </c>
      <c r="V410" s="2">
        <f>I410 + K410 - S410</f>
        <v>0</v>
      </c>
      <c r="W410" s="2">
        <f>M410 - V410</f>
        <v>0</v>
      </c>
      <c r="X410" s="2">
        <f>IFERROR(W410 / M410 * 100, 0)</f>
        <v>0</v>
      </c>
    </row>
    <row r="411" spans="1:24">
      <c r="A411" t="s">
        <v>3075</v>
      </c>
      <c r="B411" t="s">
        <v>512</v>
      </c>
      <c r="C411" t="s">
        <v>3568</v>
      </c>
      <c r="D411" t="s">
        <v>1008</v>
      </c>
      <c r="E411" t="s">
        <v>3652</v>
      </c>
      <c r="F411" t="s">
        <v>4063</v>
      </c>
      <c r="G411">
        <v>1.53</v>
      </c>
      <c r="H411">
        <v>0</v>
      </c>
      <c r="I411">
        <v>0</v>
      </c>
      <c r="J411">
        <v>-9.529999999999999</v>
      </c>
      <c r="K411">
        <v>-14.6</v>
      </c>
      <c r="L411">
        <v>0</v>
      </c>
      <c r="M411">
        <v>0</v>
      </c>
      <c r="N411">
        <v>0</v>
      </c>
      <c r="O411">
        <v>0</v>
      </c>
      <c r="P411" s="2">
        <f>(H411 + J411) - (L411 + N411)</f>
        <v>0</v>
      </c>
      <c r="Q411" s="2">
        <f>P411 * G411</f>
        <v>0</v>
      </c>
      <c r="R411">
        <v>0</v>
      </c>
      <c r="S411" s="2">
        <f>R411 * G411</f>
        <v>0</v>
      </c>
      <c r="T411" s="2">
        <f>(H411 + J411) - (L411 + N411) - R411</f>
        <v>0</v>
      </c>
      <c r="U411" s="2">
        <f>T411 * G411</f>
        <v>0</v>
      </c>
      <c r="V411" s="2">
        <f>I411 + K411 - S411</f>
        <v>0</v>
      </c>
      <c r="W411" s="2">
        <f>M411 - V411</f>
        <v>0</v>
      </c>
      <c r="X411" s="2">
        <f>IFERROR(W411 / M411 * 100, 0)</f>
        <v>0</v>
      </c>
    </row>
    <row r="412" spans="1:24">
      <c r="A412" t="s">
        <v>3076</v>
      </c>
      <c r="B412" t="s">
        <v>512</v>
      </c>
      <c r="C412" t="s">
        <v>3569</v>
      </c>
      <c r="D412" t="s">
        <v>1007</v>
      </c>
      <c r="E412" t="s">
        <v>3652</v>
      </c>
      <c r="F412" t="s">
        <v>4064</v>
      </c>
      <c r="G412">
        <v>5.19</v>
      </c>
      <c r="H412">
        <v>4</v>
      </c>
      <c r="I412">
        <v>20.77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 s="2">
        <f>(H412 + J412) - (L412 + N412)</f>
        <v>0</v>
      </c>
      <c r="Q412" s="2">
        <f>P412 * G412</f>
        <v>0</v>
      </c>
      <c r="R412">
        <v>4</v>
      </c>
      <c r="S412" s="2">
        <f>R412 * G412</f>
        <v>0</v>
      </c>
      <c r="T412" s="2">
        <f>(H412 + J412) - (L412 + N412) - R412</f>
        <v>0</v>
      </c>
      <c r="U412" s="2">
        <f>T412 * G412</f>
        <v>0</v>
      </c>
      <c r="V412" s="2">
        <f>I412 + K412 - S412</f>
        <v>0</v>
      </c>
      <c r="W412" s="2">
        <f>M412 - V412</f>
        <v>0</v>
      </c>
      <c r="X412" s="2">
        <f>IFERROR(W412 / M412 * 100, 0)</f>
        <v>0</v>
      </c>
    </row>
    <row r="413" spans="1:24">
      <c r="A413" t="s">
        <v>3077</v>
      </c>
      <c r="B413" t="s">
        <v>512</v>
      </c>
      <c r="C413" t="s">
        <v>3570</v>
      </c>
      <c r="D413" t="s">
        <v>1007</v>
      </c>
      <c r="E413" t="s">
        <v>3652</v>
      </c>
      <c r="F413" t="s">
        <v>4065</v>
      </c>
      <c r="G413">
        <v>75</v>
      </c>
      <c r="H413">
        <v>0</v>
      </c>
      <c r="I413">
        <v>0</v>
      </c>
      <c r="J413">
        <v>-0.6899999999999999</v>
      </c>
      <c r="K413">
        <v>-61.22</v>
      </c>
      <c r="L413">
        <v>0</v>
      </c>
      <c r="M413">
        <v>0</v>
      </c>
      <c r="N413">
        <v>0</v>
      </c>
      <c r="O413">
        <v>0</v>
      </c>
      <c r="P413" s="2">
        <f>(H413 + J413) - (L413 + N413)</f>
        <v>0</v>
      </c>
      <c r="Q413" s="2">
        <f>P413 * G413</f>
        <v>0</v>
      </c>
      <c r="R413">
        <v>0</v>
      </c>
      <c r="S413" s="2">
        <f>R413 * G413</f>
        <v>0</v>
      </c>
      <c r="T413" s="2">
        <f>(H413 + J413) - (L413 + N413) - R413</f>
        <v>0</v>
      </c>
      <c r="U413" s="2">
        <f>T413 * G413</f>
        <v>0</v>
      </c>
      <c r="V413" s="2">
        <f>I413 + K413 - S413</f>
        <v>0</v>
      </c>
      <c r="W413" s="2">
        <f>M413 - V413</f>
        <v>0</v>
      </c>
      <c r="X413" s="2">
        <f>IFERROR(W413 / M413 * 100, 0)</f>
        <v>0</v>
      </c>
    </row>
    <row r="414" spans="1:24">
      <c r="A414" t="s">
        <v>3078</v>
      </c>
      <c r="B414" t="s">
        <v>512</v>
      </c>
      <c r="C414" t="s">
        <v>3571</v>
      </c>
      <c r="D414" t="s">
        <v>1007</v>
      </c>
      <c r="E414" t="s">
        <v>3652</v>
      </c>
      <c r="F414" t="s">
        <v>4066</v>
      </c>
      <c r="G414">
        <v>17.17</v>
      </c>
      <c r="H414">
        <v>17</v>
      </c>
      <c r="I414">
        <v>359.01</v>
      </c>
      <c r="J414">
        <v>36.87</v>
      </c>
      <c r="K414">
        <v>566.61</v>
      </c>
      <c r="L414">
        <v>0</v>
      </c>
      <c r="M414">
        <v>0</v>
      </c>
      <c r="N414">
        <v>0</v>
      </c>
      <c r="O414">
        <v>0</v>
      </c>
      <c r="P414" s="2">
        <f>(H414 + J414) - (L414 + N414)</f>
        <v>0</v>
      </c>
      <c r="Q414" s="2">
        <f>P414 * G414</f>
        <v>0</v>
      </c>
      <c r="R414">
        <v>17</v>
      </c>
      <c r="S414" s="2">
        <f>R414 * G414</f>
        <v>0</v>
      </c>
      <c r="T414" s="2">
        <f>(H414 + J414) - (L414 + N414) - R414</f>
        <v>0</v>
      </c>
      <c r="U414" s="2">
        <f>T414 * G414</f>
        <v>0</v>
      </c>
      <c r="V414" s="2">
        <f>I414 + K414 - S414</f>
        <v>0</v>
      </c>
      <c r="W414" s="2">
        <f>M414 - V414</f>
        <v>0</v>
      </c>
      <c r="X414" s="2">
        <f>IFERROR(W414 / M414 * 100, 0)</f>
        <v>0</v>
      </c>
    </row>
    <row r="415" spans="1:24">
      <c r="A415" t="s">
        <v>3079</v>
      </c>
      <c r="B415" t="s">
        <v>512</v>
      </c>
      <c r="C415" t="s">
        <v>3572</v>
      </c>
      <c r="D415" t="s">
        <v>1007</v>
      </c>
      <c r="E415" t="s">
        <v>3652</v>
      </c>
      <c r="F415" t="s">
        <v>4067</v>
      </c>
      <c r="G415">
        <v>19.09</v>
      </c>
      <c r="H415">
        <v>76</v>
      </c>
      <c r="I415">
        <v>1447.02</v>
      </c>
      <c r="J415">
        <v>34.6</v>
      </c>
      <c r="K415">
        <v>664.3099999999999</v>
      </c>
      <c r="L415">
        <v>0</v>
      </c>
      <c r="M415">
        <v>0</v>
      </c>
      <c r="N415">
        <v>0</v>
      </c>
      <c r="O415">
        <v>0</v>
      </c>
      <c r="P415" s="2">
        <f>(H415 + J415) - (L415 + N415)</f>
        <v>0</v>
      </c>
      <c r="Q415" s="2">
        <f>P415 * G415</f>
        <v>0</v>
      </c>
      <c r="R415">
        <v>52</v>
      </c>
      <c r="S415" s="2">
        <f>R415 * G415</f>
        <v>0</v>
      </c>
      <c r="T415" s="2">
        <f>(H415 + J415) - (L415 + N415) - R415</f>
        <v>0</v>
      </c>
      <c r="U415" s="2">
        <f>T415 * G415</f>
        <v>0</v>
      </c>
      <c r="V415" s="2">
        <f>I415 + K415 - S415</f>
        <v>0</v>
      </c>
      <c r="W415" s="2">
        <f>M415 - V415</f>
        <v>0</v>
      </c>
      <c r="X415" s="2">
        <f>IFERROR(W415 / M415 * 100, 0)</f>
        <v>0</v>
      </c>
    </row>
    <row r="416" spans="1:24">
      <c r="A416" t="s">
        <v>3080</v>
      </c>
      <c r="B416" t="s">
        <v>512</v>
      </c>
      <c r="C416" t="s">
        <v>3573</v>
      </c>
      <c r="D416" t="s">
        <v>1007</v>
      </c>
      <c r="E416" t="s">
        <v>3652</v>
      </c>
      <c r="F416" t="s">
        <v>4068</v>
      </c>
      <c r="G416">
        <v>15.98</v>
      </c>
      <c r="H416">
        <v>1</v>
      </c>
      <c r="I416">
        <v>15.06</v>
      </c>
      <c r="J416">
        <v>11.67</v>
      </c>
      <c r="K416">
        <v>189.76</v>
      </c>
      <c r="L416">
        <v>0</v>
      </c>
      <c r="M416">
        <v>0</v>
      </c>
      <c r="N416">
        <v>0</v>
      </c>
      <c r="O416">
        <v>0</v>
      </c>
      <c r="P416" s="2">
        <f>(H416 + J416) - (L416 + N416)</f>
        <v>0</v>
      </c>
      <c r="Q416" s="2">
        <f>P416 * G416</f>
        <v>0</v>
      </c>
      <c r="R416">
        <v>1</v>
      </c>
      <c r="S416" s="2">
        <f>R416 * G416</f>
        <v>0</v>
      </c>
      <c r="T416" s="2">
        <f>(H416 + J416) - (L416 + N416) - R416</f>
        <v>0</v>
      </c>
      <c r="U416" s="2">
        <f>T416 * G416</f>
        <v>0</v>
      </c>
      <c r="V416" s="2">
        <f>I416 + K416 - S416</f>
        <v>0</v>
      </c>
      <c r="W416" s="2">
        <f>M416 - V416</f>
        <v>0</v>
      </c>
      <c r="X416" s="2">
        <f>IFERROR(W416 / M416 * 100, 0)</f>
        <v>0</v>
      </c>
    </row>
    <row r="417" spans="1:24">
      <c r="A417" t="s">
        <v>3081</v>
      </c>
      <c r="B417" t="s">
        <v>512</v>
      </c>
      <c r="C417" t="s">
        <v>3574</v>
      </c>
      <c r="D417" t="s">
        <v>1007</v>
      </c>
      <c r="E417" t="s">
        <v>3652</v>
      </c>
      <c r="F417" t="s">
        <v>4069</v>
      </c>
      <c r="G417">
        <v>22.06</v>
      </c>
      <c r="H417">
        <v>2</v>
      </c>
      <c r="I417">
        <v>100</v>
      </c>
      <c r="J417">
        <v>5.37</v>
      </c>
      <c r="K417">
        <v>107.78</v>
      </c>
      <c r="L417">
        <v>0</v>
      </c>
      <c r="M417">
        <v>0</v>
      </c>
      <c r="N417">
        <v>0</v>
      </c>
      <c r="O417">
        <v>0</v>
      </c>
      <c r="P417" s="2">
        <f>(H417 + J417) - (L417 + N417)</f>
        <v>0</v>
      </c>
      <c r="Q417" s="2">
        <f>P417 * G417</f>
        <v>0</v>
      </c>
      <c r="R417">
        <v>2</v>
      </c>
      <c r="S417" s="2">
        <f>R417 * G417</f>
        <v>0</v>
      </c>
      <c r="T417" s="2">
        <f>(H417 + J417) - (L417 + N417) - R417</f>
        <v>0</v>
      </c>
      <c r="U417" s="2">
        <f>T417 * G417</f>
        <v>0</v>
      </c>
      <c r="V417" s="2">
        <f>I417 + K417 - S417</f>
        <v>0</v>
      </c>
      <c r="W417" s="2">
        <f>M417 - V417</f>
        <v>0</v>
      </c>
      <c r="X417" s="2">
        <f>IFERROR(W417 / M417 * 100, 0)</f>
        <v>0</v>
      </c>
    </row>
    <row r="418" spans="1:24">
      <c r="A418" t="s">
        <v>3082</v>
      </c>
      <c r="B418" t="s">
        <v>512</v>
      </c>
      <c r="C418" t="s">
        <v>3575</v>
      </c>
      <c r="D418" t="s">
        <v>1007</v>
      </c>
      <c r="E418" t="s">
        <v>3652</v>
      </c>
      <c r="F418" t="s">
        <v>4070</v>
      </c>
      <c r="G418">
        <v>2.38</v>
      </c>
      <c r="H418">
        <v>0</v>
      </c>
      <c r="I418">
        <v>0</v>
      </c>
      <c r="J418">
        <v>-94.64</v>
      </c>
      <c r="K418">
        <v>-225.25</v>
      </c>
      <c r="L418">
        <v>0</v>
      </c>
      <c r="M418">
        <v>0</v>
      </c>
      <c r="N418">
        <v>0</v>
      </c>
      <c r="O418">
        <v>0</v>
      </c>
      <c r="P418" s="2">
        <f>(H418 + J418) - (L418 + N418)</f>
        <v>0</v>
      </c>
      <c r="Q418" s="2">
        <f>P418 * G418</f>
        <v>0</v>
      </c>
      <c r="R418">
        <v>0</v>
      </c>
      <c r="S418" s="2">
        <f>R418 * G418</f>
        <v>0</v>
      </c>
      <c r="T418" s="2">
        <f>(H418 + J418) - (L418 + N418) - R418</f>
        <v>0</v>
      </c>
      <c r="U418" s="2">
        <f>T418 * G418</f>
        <v>0</v>
      </c>
      <c r="V418" s="2">
        <f>I418 + K418 - S418</f>
        <v>0</v>
      </c>
      <c r="W418" s="2">
        <f>M418 - V418</f>
        <v>0</v>
      </c>
      <c r="X418" s="2">
        <f>IFERROR(W418 / M418 * 100, 0)</f>
        <v>0</v>
      </c>
    </row>
    <row r="419" spans="1:24">
      <c r="A419" t="s">
        <v>3083</v>
      </c>
      <c r="B419" t="s">
        <v>512</v>
      </c>
      <c r="C419" t="s">
        <v>3576</v>
      </c>
      <c r="D419" t="s">
        <v>1007</v>
      </c>
      <c r="E419" t="s">
        <v>3652</v>
      </c>
      <c r="F419" t="s">
        <v>4071</v>
      </c>
      <c r="G419">
        <v>21</v>
      </c>
      <c r="H419">
        <v>0</v>
      </c>
      <c r="I419">
        <v>0</v>
      </c>
      <c r="J419">
        <v>-1.5</v>
      </c>
      <c r="K419">
        <v>-31.61</v>
      </c>
      <c r="L419">
        <v>0</v>
      </c>
      <c r="M419">
        <v>0</v>
      </c>
      <c r="N419">
        <v>0</v>
      </c>
      <c r="O419">
        <v>0</v>
      </c>
      <c r="P419" s="2">
        <f>(H419 + J419) - (L419 + N419)</f>
        <v>0</v>
      </c>
      <c r="Q419" s="2">
        <f>P419 * G419</f>
        <v>0</v>
      </c>
      <c r="R419">
        <v>0</v>
      </c>
      <c r="S419" s="2">
        <f>R419 * G419</f>
        <v>0</v>
      </c>
      <c r="T419" s="2">
        <f>(H419 + J419) - (L419 + N419) - R419</f>
        <v>0</v>
      </c>
      <c r="U419" s="2">
        <f>T419 * G419</f>
        <v>0</v>
      </c>
      <c r="V419" s="2">
        <f>I419 + K419 - S419</f>
        <v>0</v>
      </c>
      <c r="W419" s="2">
        <f>M419 - V419</f>
        <v>0</v>
      </c>
      <c r="X419" s="2">
        <f>IFERROR(W419 / M419 * 100, 0)</f>
        <v>0</v>
      </c>
    </row>
    <row r="420" spans="1:24">
      <c r="A420" t="s">
        <v>3084</v>
      </c>
      <c r="B420" t="s">
        <v>512</v>
      </c>
      <c r="C420" t="s">
        <v>3577</v>
      </c>
      <c r="D420" t="s">
        <v>1007</v>
      </c>
      <c r="E420" t="s">
        <v>3652</v>
      </c>
      <c r="F420" t="s">
        <v>4072</v>
      </c>
      <c r="G420">
        <v>2.06</v>
      </c>
      <c r="H420">
        <v>50</v>
      </c>
      <c r="I420">
        <v>100.93</v>
      </c>
      <c r="J420">
        <v>30.72</v>
      </c>
      <c r="K420">
        <v>68.45</v>
      </c>
      <c r="L420">
        <v>0</v>
      </c>
      <c r="M420">
        <v>0</v>
      </c>
      <c r="N420">
        <v>0</v>
      </c>
      <c r="O420">
        <v>0</v>
      </c>
      <c r="P420" s="2">
        <f>(H420 + J420) - (L420 + N420)</f>
        <v>0</v>
      </c>
      <c r="Q420" s="2">
        <f>P420 * G420</f>
        <v>0</v>
      </c>
      <c r="R420">
        <v>60</v>
      </c>
      <c r="S420" s="2">
        <f>R420 * G420</f>
        <v>0</v>
      </c>
      <c r="T420" s="2">
        <f>(H420 + J420) - (L420 + N420) - R420</f>
        <v>0</v>
      </c>
      <c r="U420" s="2">
        <f>T420 * G420</f>
        <v>0</v>
      </c>
      <c r="V420" s="2">
        <f>I420 + K420 - S420</f>
        <v>0</v>
      </c>
      <c r="W420" s="2">
        <f>M420 - V420</f>
        <v>0</v>
      </c>
      <c r="X420" s="2">
        <f>IFERROR(W420 / M420 * 100, 0)</f>
        <v>0</v>
      </c>
    </row>
    <row r="421" spans="1:24">
      <c r="A421" t="s">
        <v>3085</v>
      </c>
      <c r="B421" t="s">
        <v>512</v>
      </c>
      <c r="C421" t="s">
        <v>3578</v>
      </c>
      <c r="D421" t="s">
        <v>1007</v>
      </c>
      <c r="E421" t="s">
        <v>3652</v>
      </c>
      <c r="F421" t="s">
        <v>4073</v>
      </c>
      <c r="G421">
        <v>5</v>
      </c>
      <c r="H421">
        <v>11</v>
      </c>
      <c r="I421">
        <v>27.56</v>
      </c>
      <c r="J421">
        <v>-5.53</v>
      </c>
      <c r="K421">
        <v>10.31</v>
      </c>
      <c r="L421">
        <v>0</v>
      </c>
      <c r="M421">
        <v>0</v>
      </c>
      <c r="N421">
        <v>0</v>
      </c>
      <c r="O421">
        <v>0</v>
      </c>
      <c r="P421" s="2">
        <f>(H421 + J421) - (L421 + N421)</f>
        <v>0</v>
      </c>
      <c r="Q421" s="2">
        <f>P421 * G421</f>
        <v>0</v>
      </c>
      <c r="R421">
        <v>18</v>
      </c>
      <c r="S421" s="2">
        <f>R421 * G421</f>
        <v>0</v>
      </c>
      <c r="T421" s="2">
        <f>(H421 + J421) - (L421 + N421) - R421</f>
        <v>0</v>
      </c>
      <c r="U421" s="2">
        <f>T421 * G421</f>
        <v>0</v>
      </c>
      <c r="V421" s="2">
        <f>I421 + K421 - S421</f>
        <v>0</v>
      </c>
      <c r="W421" s="2">
        <f>M421 - V421</f>
        <v>0</v>
      </c>
      <c r="X421" s="2">
        <f>IFERROR(W421 / M421 * 100, 0)</f>
        <v>0</v>
      </c>
    </row>
    <row r="422" spans="1:24">
      <c r="A422" t="s">
        <v>3086</v>
      </c>
      <c r="B422" t="s">
        <v>512</v>
      </c>
      <c r="C422" t="s">
        <v>3579</v>
      </c>
      <c r="D422" t="s">
        <v>1007</v>
      </c>
      <c r="E422" t="s">
        <v>3652</v>
      </c>
      <c r="F422" t="s">
        <v>4074</v>
      </c>
      <c r="G422">
        <v>3.82</v>
      </c>
      <c r="H422">
        <v>10</v>
      </c>
      <c r="I422">
        <v>27.63</v>
      </c>
      <c r="J422">
        <v>29.04</v>
      </c>
      <c r="K422">
        <v>118.21</v>
      </c>
      <c r="L422">
        <v>0</v>
      </c>
      <c r="M422">
        <v>0</v>
      </c>
      <c r="N422">
        <v>0</v>
      </c>
      <c r="O422">
        <v>0</v>
      </c>
      <c r="P422" s="2">
        <f>(H422 + J422) - (L422 + N422)</f>
        <v>0</v>
      </c>
      <c r="Q422" s="2">
        <f>P422 * G422</f>
        <v>0</v>
      </c>
      <c r="R422">
        <v>20</v>
      </c>
      <c r="S422" s="2">
        <f>R422 * G422</f>
        <v>0</v>
      </c>
      <c r="T422" s="2">
        <f>(H422 + J422) - (L422 + N422) - R422</f>
        <v>0</v>
      </c>
      <c r="U422" s="2">
        <f>T422 * G422</f>
        <v>0</v>
      </c>
      <c r="V422" s="2">
        <f>I422 + K422 - S422</f>
        <v>0</v>
      </c>
      <c r="W422" s="2">
        <f>M422 - V422</f>
        <v>0</v>
      </c>
      <c r="X422" s="2">
        <f>IFERROR(W422 / M422 * 100, 0)</f>
        <v>0</v>
      </c>
    </row>
    <row r="423" spans="1:24">
      <c r="A423" t="s">
        <v>3087</v>
      </c>
      <c r="B423" t="s">
        <v>512</v>
      </c>
      <c r="C423" t="s">
        <v>3580</v>
      </c>
      <c r="D423" t="s">
        <v>1007</v>
      </c>
      <c r="E423" t="s">
        <v>3652</v>
      </c>
      <c r="F423" t="s">
        <v>4075</v>
      </c>
      <c r="G423">
        <v>21.85</v>
      </c>
      <c r="H423">
        <v>14</v>
      </c>
      <c r="I423">
        <v>335.85</v>
      </c>
      <c r="J423">
        <v>33.32</v>
      </c>
      <c r="K423">
        <v>662.7</v>
      </c>
      <c r="L423">
        <v>0</v>
      </c>
      <c r="M423">
        <v>0</v>
      </c>
      <c r="N423">
        <v>0</v>
      </c>
      <c r="O423">
        <v>0</v>
      </c>
      <c r="P423" s="2">
        <f>(H423 + J423) - (L423 + N423)</f>
        <v>0</v>
      </c>
      <c r="Q423" s="2">
        <f>P423 * G423</f>
        <v>0</v>
      </c>
      <c r="R423">
        <v>18</v>
      </c>
      <c r="S423" s="2">
        <f>R423 * G423</f>
        <v>0</v>
      </c>
      <c r="T423" s="2">
        <f>(H423 + J423) - (L423 + N423) - R423</f>
        <v>0</v>
      </c>
      <c r="U423" s="2">
        <f>T423 * G423</f>
        <v>0</v>
      </c>
      <c r="V423" s="2">
        <f>I423 + K423 - S423</f>
        <v>0</v>
      </c>
      <c r="W423" s="2">
        <f>M423 - V423</f>
        <v>0</v>
      </c>
      <c r="X423" s="2">
        <f>IFERROR(W423 / M423 * 100, 0)</f>
        <v>0</v>
      </c>
    </row>
    <row r="424" spans="1:24">
      <c r="A424" t="s">
        <v>3088</v>
      </c>
      <c r="B424" t="s">
        <v>512</v>
      </c>
      <c r="C424" t="s">
        <v>3581</v>
      </c>
      <c r="D424" t="s">
        <v>1007</v>
      </c>
      <c r="E424" t="s">
        <v>3652</v>
      </c>
      <c r="F424" t="s">
        <v>4076</v>
      </c>
      <c r="G424">
        <v>19.17</v>
      </c>
      <c r="H424">
        <v>18</v>
      </c>
      <c r="I424">
        <v>377.01</v>
      </c>
      <c r="J424">
        <v>125.35</v>
      </c>
      <c r="K424">
        <v>2304.08</v>
      </c>
      <c r="L424">
        <v>0</v>
      </c>
      <c r="M424">
        <v>0</v>
      </c>
      <c r="N424">
        <v>0</v>
      </c>
      <c r="O424">
        <v>0</v>
      </c>
      <c r="P424" s="2">
        <f>(H424 + J424) - (L424 + N424)</f>
        <v>0</v>
      </c>
      <c r="Q424" s="2">
        <f>P424 * G424</f>
        <v>0</v>
      </c>
      <c r="R424">
        <v>18</v>
      </c>
      <c r="S424" s="2">
        <f>R424 * G424</f>
        <v>0</v>
      </c>
      <c r="T424" s="2">
        <f>(H424 + J424) - (L424 + N424) - R424</f>
        <v>0</v>
      </c>
      <c r="U424" s="2">
        <f>T424 * G424</f>
        <v>0</v>
      </c>
      <c r="V424" s="2">
        <f>I424 + K424 - S424</f>
        <v>0</v>
      </c>
      <c r="W424" s="2">
        <f>M424 - V424</f>
        <v>0</v>
      </c>
      <c r="X424" s="2">
        <f>IFERROR(W424 / M424 * 100, 0)</f>
        <v>0</v>
      </c>
    </row>
    <row r="425" spans="1:24">
      <c r="A425" t="s">
        <v>3089</v>
      </c>
      <c r="B425" t="s">
        <v>512</v>
      </c>
      <c r="C425" t="s">
        <v>3582</v>
      </c>
      <c r="D425" t="s">
        <v>1007</v>
      </c>
      <c r="E425" t="s">
        <v>3652</v>
      </c>
      <c r="F425" t="s">
        <v>4077</v>
      </c>
      <c r="G425">
        <v>3.6</v>
      </c>
      <c r="H425">
        <v>7</v>
      </c>
      <c r="I425">
        <v>19.6</v>
      </c>
      <c r="J425">
        <v>-31.68</v>
      </c>
      <c r="K425">
        <v>-111.15</v>
      </c>
      <c r="L425">
        <v>0</v>
      </c>
      <c r="M425">
        <v>0</v>
      </c>
      <c r="N425">
        <v>0</v>
      </c>
      <c r="O425">
        <v>0</v>
      </c>
      <c r="P425" s="2">
        <f>(H425 + J425) - (L425 + N425)</f>
        <v>0</v>
      </c>
      <c r="Q425" s="2">
        <f>P425 * G425</f>
        <v>0</v>
      </c>
      <c r="R425">
        <v>20</v>
      </c>
      <c r="S425" s="2">
        <f>R425 * G425</f>
        <v>0</v>
      </c>
      <c r="T425" s="2">
        <f>(H425 + J425) - (L425 + N425) - R425</f>
        <v>0</v>
      </c>
      <c r="U425" s="2">
        <f>T425 * G425</f>
        <v>0</v>
      </c>
      <c r="V425" s="2">
        <f>I425 + K425 - S425</f>
        <v>0</v>
      </c>
      <c r="W425" s="2">
        <f>M425 - V425</f>
        <v>0</v>
      </c>
      <c r="X425" s="2">
        <f>IFERROR(W425 / M425 * 100, 0)</f>
        <v>0</v>
      </c>
    </row>
    <row r="426" spans="1:24">
      <c r="A426" t="s">
        <v>3090</v>
      </c>
      <c r="B426" t="s">
        <v>512</v>
      </c>
      <c r="C426" t="s">
        <v>3583</v>
      </c>
      <c r="D426" t="s">
        <v>1007</v>
      </c>
      <c r="E426" t="s">
        <v>3652</v>
      </c>
      <c r="F426" t="s">
        <v>4078</v>
      </c>
      <c r="G426">
        <v>0</v>
      </c>
      <c r="H426">
        <v>0</v>
      </c>
      <c r="I426">
        <v>0</v>
      </c>
      <c r="J426">
        <v>-27.2</v>
      </c>
      <c r="K426">
        <v>0</v>
      </c>
      <c r="L426">
        <v>0</v>
      </c>
      <c r="M426">
        <v>0</v>
      </c>
      <c r="N426">
        <v>0</v>
      </c>
      <c r="O426">
        <v>0</v>
      </c>
      <c r="P426" s="2">
        <f>(H426 + J426) - (L426 + N426)</f>
        <v>0</v>
      </c>
      <c r="Q426" s="2">
        <f>P426 * G426</f>
        <v>0</v>
      </c>
      <c r="R426">
        <v>0</v>
      </c>
      <c r="S426" s="2">
        <f>R426 * G426</f>
        <v>0</v>
      </c>
      <c r="T426" s="2">
        <f>(H426 + J426) - (L426 + N426) - R426</f>
        <v>0</v>
      </c>
      <c r="U426" s="2">
        <f>T426 * G426</f>
        <v>0</v>
      </c>
      <c r="V426" s="2">
        <f>I426 + K426 - S426</f>
        <v>0</v>
      </c>
      <c r="W426" s="2">
        <f>M426 - V426</f>
        <v>0</v>
      </c>
      <c r="X426" s="2">
        <f>IFERROR(W426 / M426 * 100, 0)</f>
        <v>0</v>
      </c>
    </row>
    <row r="427" spans="1:24">
      <c r="A427" t="s">
        <v>3091</v>
      </c>
      <c r="B427" t="s">
        <v>512</v>
      </c>
      <c r="C427" t="s">
        <v>3584</v>
      </c>
      <c r="D427" t="s">
        <v>1007</v>
      </c>
      <c r="E427" t="s">
        <v>3652</v>
      </c>
      <c r="F427" t="s">
        <v>4079</v>
      </c>
      <c r="G427">
        <v>0</v>
      </c>
      <c r="H427">
        <v>0</v>
      </c>
      <c r="I427">
        <v>0</v>
      </c>
      <c r="J427">
        <v>-0.54</v>
      </c>
      <c r="K427">
        <v>0</v>
      </c>
      <c r="L427">
        <v>0</v>
      </c>
      <c r="M427">
        <v>0</v>
      </c>
      <c r="N427">
        <v>0</v>
      </c>
      <c r="O427">
        <v>0</v>
      </c>
      <c r="P427" s="2">
        <f>(H427 + J427) - (L427 + N427)</f>
        <v>0</v>
      </c>
      <c r="Q427" s="2">
        <f>P427 * G427</f>
        <v>0</v>
      </c>
      <c r="R427">
        <v>0</v>
      </c>
      <c r="S427" s="2">
        <f>R427 * G427</f>
        <v>0</v>
      </c>
      <c r="T427" s="2">
        <f>(H427 + J427) - (L427 + N427) - R427</f>
        <v>0</v>
      </c>
      <c r="U427" s="2">
        <f>T427 * G427</f>
        <v>0</v>
      </c>
      <c r="V427" s="2">
        <f>I427 + K427 - S427</f>
        <v>0</v>
      </c>
      <c r="W427" s="2">
        <f>M427 - V427</f>
        <v>0</v>
      </c>
      <c r="X427" s="2">
        <f>IFERROR(W427 / M427 * 100, 0)</f>
        <v>0</v>
      </c>
    </row>
    <row r="428" spans="1:24">
      <c r="A428" t="s">
        <v>3092</v>
      </c>
      <c r="B428" t="s">
        <v>512</v>
      </c>
      <c r="C428" t="s">
        <v>3585</v>
      </c>
      <c r="D428" t="s">
        <v>1007</v>
      </c>
      <c r="E428" t="s">
        <v>3652</v>
      </c>
      <c r="F428" t="s">
        <v>4080</v>
      </c>
      <c r="G428">
        <v>2.46</v>
      </c>
      <c r="H428">
        <v>150</v>
      </c>
      <c r="I428">
        <v>369</v>
      </c>
      <c r="J428">
        <v>-999.63</v>
      </c>
      <c r="K428">
        <v>-2459.08</v>
      </c>
      <c r="L428">
        <v>0</v>
      </c>
      <c r="M428">
        <v>0</v>
      </c>
      <c r="N428">
        <v>0</v>
      </c>
      <c r="O428">
        <v>0</v>
      </c>
      <c r="P428" s="2">
        <f>(H428 + J428) - (L428 + N428)</f>
        <v>0</v>
      </c>
      <c r="Q428" s="2">
        <f>P428 * G428</f>
        <v>0</v>
      </c>
      <c r="R428">
        <v>150</v>
      </c>
      <c r="S428" s="2">
        <f>R428 * G428</f>
        <v>0</v>
      </c>
      <c r="T428" s="2">
        <f>(H428 + J428) - (L428 + N428) - R428</f>
        <v>0</v>
      </c>
      <c r="U428" s="2">
        <f>T428 * G428</f>
        <v>0</v>
      </c>
      <c r="V428" s="2">
        <f>I428 + K428 - S428</f>
        <v>0</v>
      </c>
      <c r="W428" s="2">
        <f>M428 - V428</f>
        <v>0</v>
      </c>
      <c r="X428" s="2">
        <f>IFERROR(W428 / M428 * 100, 0)</f>
        <v>0</v>
      </c>
    </row>
    <row r="429" spans="1:24">
      <c r="A429" t="s">
        <v>3093</v>
      </c>
      <c r="B429" t="s">
        <v>512</v>
      </c>
      <c r="C429" t="s">
        <v>3586</v>
      </c>
      <c r="D429" t="s">
        <v>1007</v>
      </c>
      <c r="E429" t="s">
        <v>3652</v>
      </c>
      <c r="F429" t="s">
        <v>4081</v>
      </c>
      <c r="G429">
        <v>6.11</v>
      </c>
      <c r="H429">
        <v>5</v>
      </c>
      <c r="I429">
        <v>21.14</v>
      </c>
      <c r="J429">
        <v>42.94</v>
      </c>
      <c r="K429">
        <v>322.56</v>
      </c>
      <c r="L429">
        <v>0</v>
      </c>
      <c r="M429">
        <v>0</v>
      </c>
      <c r="N429">
        <v>0</v>
      </c>
      <c r="O429">
        <v>0</v>
      </c>
      <c r="P429" s="2">
        <f>(H429 + J429) - (L429 + N429)</f>
        <v>0</v>
      </c>
      <c r="Q429" s="2">
        <f>P429 * G429</f>
        <v>0</v>
      </c>
      <c r="R429">
        <v>25</v>
      </c>
      <c r="S429" s="2">
        <f>R429 * G429</f>
        <v>0</v>
      </c>
      <c r="T429" s="2">
        <f>(H429 + J429) - (L429 + N429) - R429</f>
        <v>0</v>
      </c>
      <c r="U429" s="2">
        <f>T429 * G429</f>
        <v>0</v>
      </c>
      <c r="V429" s="2">
        <f>I429 + K429 - S429</f>
        <v>0</v>
      </c>
      <c r="W429" s="2">
        <f>M429 - V429</f>
        <v>0</v>
      </c>
      <c r="X429" s="2">
        <f>IFERROR(W429 / M429 * 100, 0)</f>
        <v>0</v>
      </c>
    </row>
    <row r="430" spans="1:24">
      <c r="A430" t="s">
        <v>3094</v>
      </c>
      <c r="B430" t="s">
        <v>512</v>
      </c>
      <c r="C430" t="s">
        <v>3587</v>
      </c>
      <c r="D430" t="s">
        <v>1007</v>
      </c>
      <c r="E430" t="s">
        <v>3652</v>
      </c>
      <c r="F430" t="s">
        <v>4082</v>
      </c>
      <c r="G430">
        <v>6.44</v>
      </c>
      <c r="H430">
        <v>0</v>
      </c>
      <c r="I430">
        <v>0</v>
      </c>
      <c r="J430">
        <v>-6.46</v>
      </c>
      <c r="K430">
        <v>-41.62</v>
      </c>
      <c r="L430">
        <v>0</v>
      </c>
      <c r="M430">
        <v>0</v>
      </c>
      <c r="N430">
        <v>0</v>
      </c>
      <c r="O430">
        <v>0</v>
      </c>
      <c r="P430" s="2">
        <f>(H430 + J430) - (L430 + N430)</f>
        <v>0</v>
      </c>
      <c r="Q430" s="2">
        <f>P430 * G430</f>
        <v>0</v>
      </c>
      <c r="R430">
        <v>0</v>
      </c>
      <c r="S430" s="2">
        <f>R430 * G430</f>
        <v>0</v>
      </c>
      <c r="T430" s="2">
        <f>(H430 + J430) - (L430 + N430) - R430</f>
        <v>0</v>
      </c>
      <c r="U430" s="2">
        <f>T430 * G430</f>
        <v>0</v>
      </c>
      <c r="V430" s="2">
        <f>I430 + K430 - S430</f>
        <v>0</v>
      </c>
      <c r="W430" s="2">
        <f>M430 - V430</f>
        <v>0</v>
      </c>
      <c r="X430" s="2">
        <f>IFERROR(W430 / M430 * 100, 0)</f>
        <v>0</v>
      </c>
    </row>
    <row r="431" spans="1:24">
      <c r="A431" t="s">
        <v>3095</v>
      </c>
      <c r="B431" t="s">
        <v>512</v>
      </c>
      <c r="C431" t="s">
        <v>3588</v>
      </c>
      <c r="D431" t="s">
        <v>1007</v>
      </c>
      <c r="E431" t="s">
        <v>3652</v>
      </c>
      <c r="F431" t="s">
        <v>4083</v>
      </c>
      <c r="G431">
        <v>4.8</v>
      </c>
      <c r="H431">
        <v>20</v>
      </c>
      <c r="I431">
        <v>107.32</v>
      </c>
      <c r="J431">
        <v>438.85</v>
      </c>
      <c r="K431">
        <v>2095.93</v>
      </c>
      <c r="L431">
        <v>0</v>
      </c>
      <c r="M431">
        <v>0</v>
      </c>
      <c r="N431">
        <v>0</v>
      </c>
      <c r="O431">
        <v>0</v>
      </c>
      <c r="P431" s="2">
        <f>(H431 + J431) - (L431 + N431)</f>
        <v>0</v>
      </c>
      <c r="Q431" s="2">
        <f>P431 * G431</f>
        <v>0</v>
      </c>
      <c r="R431">
        <v>40</v>
      </c>
      <c r="S431" s="2">
        <f>R431 * G431</f>
        <v>0</v>
      </c>
      <c r="T431" s="2">
        <f>(H431 + J431) - (L431 + N431) - R431</f>
        <v>0</v>
      </c>
      <c r="U431" s="2">
        <f>T431 * G431</f>
        <v>0</v>
      </c>
      <c r="V431" s="2">
        <f>I431 + K431 - S431</f>
        <v>0</v>
      </c>
      <c r="W431" s="2">
        <f>M431 - V431</f>
        <v>0</v>
      </c>
      <c r="X431" s="2">
        <f>IFERROR(W431 / M431 * 100, 0)</f>
        <v>0</v>
      </c>
    </row>
    <row r="432" spans="1:24">
      <c r="A432" t="s">
        <v>3096</v>
      </c>
      <c r="B432" t="s">
        <v>512</v>
      </c>
      <c r="C432" t="s">
        <v>3589</v>
      </c>
      <c r="D432" t="s">
        <v>1007</v>
      </c>
      <c r="E432" t="s">
        <v>3652</v>
      </c>
      <c r="F432" t="s">
        <v>4084</v>
      </c>
      <c r="G432">
        <v>5.94</v>
      </c>
      <c r="H432">
        <v>0</v>
      </c>
      <c r="I432">
        <v>0</v>
      </c>
      <c r="J432">
        <v>-27.28</v>
      </c>
      <c r="K432">
        <v>-161.95</v>
      </c>
      <c r="L432">
        <v>0</v>
      </c>
      <c r="M432">
        <v>0</v>
      </c>
      <c r="N432">
        <v>0</v>
      </c>
      <c r="O432">
        <v>0</v>
      </c>
      <c r="P432" s="2">
        <f>(H432 + J432) - (L432 + N432)</f>
        <v>0</v>
      </c>
      <c r="Q432" s="2">
        <f>P432 * G432</f>
        <v>0</v>
      </c>
      <c r="R432">
        <v>0</v>
      </c>
      <c r="S432" s="2">
        <f>R432 * G432</f>
        <v>0</v>
      </c>
      <c r="T432" s="2">
        <f>(H432 + J432) - (L432 + N432) - R432</f>
        <v>0</v>
      </c>
      <c r="U432" s="2">
        <f>T432 * G432</f>
        <v>0</v>
      </c>
      <c r="V432" s="2">
        <f>I432 + K432 - S432</f>
        <v>0</v>
      </c>
      <c r="W432" s="2">
        <f>M432 - V432</f>
        <v>0</v>
      </c>
      <c r="X432" s="2">
        <f>IFERROR(W432 / M432 * 100, 0)</f>
        <v>0</v>
      </c>
    </row>
    <row r="433" spans="1:24">
      <c r="A433" t="s">
        <v>3097</v>
      </c>
      <c r="B433" t="s">
        <v>512</v>
      </c>
      <c r="C433" t="s">
        <v>3590</v>
      </c>
      <c r="D433" t="s">
        <v>1007</v>
      </c>
      <c r="E433" t="s">
        <v>3652</v>
      </c>
      <c r="F433" t="s">
        <v>4085</v>
      </c>
      <c r="G433">
        <v>4.25</v>
      </c>
      <c r="H433">
        <v>30</v>
      </c>
      <c r="I433">
        <v>131.25</v>
      </c>
      <c r="J433">
        <v>-142.32</v>
      </c>
      <c r="K433">
        <v>-629.36</v>
      </c>
      <c r="L433">
        <v>0</v>
      </c>
      <c r="M433">
        <v>0</v>
      </c>
      <c r="N433">
        <v>0</v>
      </c>
      <c r="O433">
        <v>0</v>
      </c>
      <c r="P433" s="2">
        <f>(H433 + J433) - (L433 + N433)</f>
        <v>0</v>
      </c>
      <c r="Q433" s="2">
        <f>P433 * G433</f>
        <v>0</v>
      </c>
      <c r="R433">
        <v>30</v>
      </c>
      <c r="S433" s="2">
        <f>R433 * G433</f>
        <v>0</v>
      </c>
      <c r="T433" s="2">
        <f>(H433 + J433) - (L433 + N433) - R433</f>
        <v>0</v>
      </c>
      <c r="U433" s="2">
        <f>T433 * G433</f>
        <v>0</v>
      </c>
      <c r="V433" s="2">
        <f>I433 + K433 - S433</f>
        <v>0</v>
      </c>
      <c r="W433" s="2">
        <f>M433 - V433</f>
        <v>0</v>
      </c>
      <c r="X433" s="2">
        <f>IFERROR(W433 / M433 * 100, 0)</f>
        <v>0</v>
      </c>
    </row>
    <row r="434" spans="1:24">
      <c r="A434" t="s">
        <v>3098</v>
      </c>
      <c r="B434" t="s">
        <v>512</v>
      </c>
      <c r="C434" t="s">
        <v>3591</v>
      </c>
      <c r="D434" t="s">
        <v>1007</v>
      </c>
      <c r="E434" t="s">
        <v>3652</v>
      </c>
      <c r="F434" t="s">
        <v>4086</v>
      </c>
      <c r="G434">
        <v>4.52</v>
      </c>
      <c r="H434">
        <v>12</v>
      </c>
      <c r="I434">
        <v>52.93</v>
      </c>
      <c r="J434">
        <v>-22.99</v>
      </c>
      <c r="K434">
        <v>-99.73</v>
      </c>
      <c r="L434">
        <v>0</v>
      </c>
      <c r="M434">
        <v>0</v>
      </c>
      <c r="N434">
        <v>0</v>
      </c>
      <c r="O434">
        <v>0</v>
      </c>
      <c r="P434" s="2">
        <f>(H434 + J434) - (L434 + N434)</f>
        <v>0</v>
      </c>
      <c r="Q434" s="2">
        <f>P434 * G434</f>
        <v>0</v>
      </c>
      <c r="R434">
        <v>38</v>
      </c>
      <c r="S434" s="2">
        <f>R434 * G434</f>
        <v>0</v>
      </c>
      <c r="T434" s="2">
        <f>(H434 + J434) - (L434 + N434) - R434</f>
        <v>0</v>
      </c>
      <c r="U434" s="2">
        <f>T434 * G434</f>
        <v>0</v>
      </c>
      <c r="V434" s="2">
        <f>I434 + K434 - S434</f>
        <v>0</v>
      </c>
      <c r="W434" s="2">
        <f>M434 - V434</f>
        <v>0</v>
      </c>
      <c r="X434" s="2">
        <f>IFERROR(W434 / M434 * 100, 0)</f>
        <v>0</v>
      </c>
    </row>
    <row r="435" spans="1:24">
      <c r="A435" t="s">
        <v>3099</v>
      </c>
      <c r="B435" t="s">
        <v>512</v>
      </c>
      <c r="C435" t="s">
        <v>3592</v>
      </c>
      <c r="D435" t="s">
        <v>1007</v>
      </c>
      <c r="E435" t="s">
        <v>3652</v>
      </c>
      <c r="F435" t="s">
        <v>4087</v>
      </c>
      <c r="G435">
        <v>5.95</v>
      </c>
      <c r="H435">
        <v>120</v>
      </c>
      <c r="I435">
        <v>726.86</v>
      </c>
      <c r="J435">
        <v>704.65</v>
      </c>
      <c r="K435">
        <v>4159.23</v>
      </c>
      <c r="L435">
        <v>0</v>
      </c>
      <c r="M435">
        <v>0</v>
      </c>
      <c r="N435">
        <v>0</v>
      </c>
      <c r="O435">
        <v>0</v>
      </c>
      <c r="P435" s="2">
        <f>(H435 + J435) - (L435 + N435)</f>
        <v>0</v>
      </c>
      <c r="Q435" s="2">
        <f>P435 * G435</f>
        <v>0</v>
      </c>
      <c r="R435">
        <v>180</v>
      </c>
      <c r="S435" s="2">
        <f>R435 * G435</f>
        <v>0</v>
      </c>
      <c r="T435" s="2">
        <f>(H435 + J435) - (L435 + N435) - R435</f>
        <v>0</v>
      </c>
      <c r="U435" s="2">
        <f>T435 * G435</f>
        <v>0</v>
      </c>
      <c r="V435" s="2">
        <f>I435 + K435 - S435</f>
        <v>0</v>
      </c>
      <c r="W435" s="2">
        <f>M435 - V435</f>
        <v>0</v>
      </c>
      <c r="X435" s="2">
        <f>IFERROR(W435 / M435 * 100, 0)</f>
        <v>0</v>
      </c>
    </row>
    <row r="436" spans="1:24">
      <c r="A436" t="s">
        <v>3100</v>
      </c>
      <c r="B436" t="s">
        <v>512</v>
      </c>
      <c r="C436" t="s">
        <v>3593</v>
      </c>
      <c r="D436" t="s">
        <v>1007</v>
      </c>
      <c r="E436" t="s">
        <v>3652</v>
      </c>
      <c r="F436" t="s">
        <v>4088</v>
      </c>
      <c r="G436">
        <v>6.5</v>
      </c>
      <c r="H436">
        <v>0</v>
      </c>
      <c r="I436">
        <v>0</v>
      </c>
      <c r="J436">
        <v>2.24</v>
      </c>
      <c r="K436">
        <v>14.57</v>
      </c>
      <c r="L436">
        <v>0</v>
      </c>
      <c r="M436">
        <v>0</v>
      </c>
      <c r="N436">
        <v>0</v>
      </c>
      <c r="O436">
        <v>0</v>
      </c>
      <c r="P436" s="2">
        <f>(H436 + J436) - (L436 + N436)</f>
        <v>0</v>
      </c>
      <c r="Q436" s="2">
        <f>P436 * G436</f>
        <v>0</v>
      </c>
      <c r="R436">
        <v>0</v>
      </c>
      <c r="S436" s="2">
        <f>R436 * G436</f>
        <v>0</v>
      </c>
      <c r="T436" s="2">
        <f>(H436 + J436) - (L436 + N436) - R436</f>
        <v>0</v>
      </c>
      <c r="U436" s="2">
        <f>T436 * G436</f>
        <v>0</v>
      </c>
      <c r="V436" s="2">
        <f>I436 + K436 - S436</f>
        <v>0</v>
      </c>
      <c r="W436" s="2">
        <f>M436 - V436</f>
        <v>0</v>
      </c>
      <c r="X436" s="2">
        <f>IFERROR(W436 / M436 * 100, 0)</f>
        <v>0</v>
      </c>
    </row>
    <row r="437" spans="1:24">
      <c r="A437" t="s">
        <v>3101</v>
      </c>
      <c r="B437" t="s">
        <v>512</v>
      </c>
      <c r="C437" t="s">
        <v>3594</v>
      </c>
      <c r="D437" t="s">
        <v>1007</v>
      </c>
      <c r="E437" t="s">
        <v>3652</v>
      </c>
      <c r="F437" t="s">
        <v>4089</v>
      </c>
      <c r="G437">
        <v>0</v>
      </c>
      <c r="H437">
        <v>0</v>
      </c>
      <c r="I437">
        <v>0</v>
      </c>
      <c r="J437">
        <v>-5.58</v>
      </c>
      <c r="K437">
        <v>0</v>
      </c>
      <c r="L437">
        <v>0</v>
      </c>
      <c r="M437">
        <v>0</v>
      </c>
      <c r="N437">
        <v>0</v>
      </c>
      <c r="O437">
        <v>0</v>
      </c>
      <c r="P437" s="2">
        <f>(H437 + J437) - (L437 + N437)</f>
        <v>0</v>
      </c>
      <c r="Q437" s="2">
        <f>P437 * G437</f>
        <v>0</v>
      </c>
      <c r="R437">
        <v>0</v>
      </c>
      <c r="S437" s="2">
        <f>R437 * G437</f>
        <v>0</v>
      </c>
      <c r="T437" s="2">
        <f>(H437 + J437) - (L437 + N437) - R437</f>
        <v>0</v>
      </c>
      <c r="U437" s="2">
        <f>T437 * G437</f>
        <v>0</v>
      </c>
      <c r="V437" s="2">
        <f>I437 + K437 - S437</f>
        <v>0</v>
      </c>
      <c r="W437" s="2">
        <f>M437 - V437</f>
        <v>0</v>
      </c>
      <c r="X437" s="2">
        <f>IFERROR(W437 / M437 * 100, 0)</f>
        <v>0</v>
      </c>
    </row>
    <row r="438" spans="1:24">
      <c r="A438" t="s">
        <v>3102</v>
      </c>
      <c r="B438" t="s">
        <v>512</v>
      </c>
      <c r="C438" t="s">
        <v>3595</v>
      </c>
      <c r="D438" t="s">
        <v>1007</v>
      </c>
      <c r="E438" t="s">
        <v>3652</v>
      </c>
      <c r="F438" t="s">
        <v>4090</v>
      </c>
      <c r="G438">
        <v>7</v>
      </c>
      <c r="H438">
        <v>0</v>
      </c>
      <c r="I438">
        <v>0</v>
      </c>
      <c r="J438">
        <v>-72.47</v>
      </c>
      <c r="K438">
        <v>-507.27</v>
      </c>
      <c r="L438">
        <v>0</v>
      </c>
      <c r="M438">
        <v>0</v>
      </c>
      <c r="N438">
        <v>0</v>
      </c>
      <c r="O438">
        <v>0</v>
      </c>
      <c r="P438" s="2">
        <f>(H438 + J438) - (L438 + N438)</f>
        <v>0</v>
      </c>
      <c r="Q438" s="2">
        <f>P438 * G438</f>
        <v>0</v>
      </c>
      <c r="R438">
        <v>0</v>
      </c>
      <c r="S438" s="2">
        <f>R438 * G438</f>
        <v>0</v>
      </c>
      <c r="T438" s="2">
        <f>(H438 + J438) - (L438 + N438) - R438</f>
        <v>0</v>
      </c>
      <c r="U438" s="2">
        <f>T438 * G438</f>
        <v>0</v>
      </c>
      <c r="V438" s="2">
        <f>I438 + K438 - S438</f>
        <v>0</v>
      </c>
      <c r="W438" s="2">
        <f>M438 - V438</f>
        <v>0</v>
      </c>
      <c r="X438" s="2">
        <f>IFERROR(W438 / M438 * 100, 0)</f>
        <v>0</v>
      </c>
    </row>
    <row r="439" spans="1:24">
      <c r="A439" t="s">
        <v>3103</v>
      </c>
      <c r="B439" t="s">
        <v>512</v>
      </c>
      <c r="C439" t="s">
        <v>3596</v>
      </c>
      <c r="D439" t="s">
        <v>1007</v>
      </c>
      <c r="E439" t="s">
        <v>3652</v>
      </c>
      <c r="F439" t="s">
        <v>4091</v>
      </c>
      <c r="G439">
        <v>9.470000000000001</v>
      </c>
      <c r="H439">
        <v>590</v>
      </c>
      <c r="I439">
        <v>5586.63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 s="2">
        <f>(H439 + J439) - (L439 + N439)</f>
        <v>0</v>
      </c>
      <c r="Q439" s="2">
        <f>P439 * G439</f>
        <v>0</v>
      </c>
      <c r="R439">
        <v>790</v>
      </c>
      <c r="S439" s="2">
        <f>R439 * G439</f>
        <v>0</v>
      </c>
      <c r="T439" s="2">
        <f>(H439 + J439) - (L439 + N439) - R439</f>
        <v>0</v>
      </c>
      <c r="U439" s="2">
        <f>T439 * G439</f>
        <v>0</v>
      </c>
      <c r="V439" s="2">
        <f>I439 + K439 - S439</f>
        <v>0</v>
      </c>
      <c r="W439" s="2">
        <f>M439 - V439</f>
        <v>0</v>
      </c>
      <c r="X439" s="2">
        <f>IFERROR(W439 / M439 * 100, 0)</f>
        <v>0</v>
      </c>
    </row>
    <row r="440" spans="1:24">
      <c r="A440" t="s">
        <v>3104</v>
      </c>
      <c r="B440" t="s">
        <v>512</v>
      </c>
      <c r="C440" t="s">
        <v>3597</v>
      </c>
      <c r="D440" t="s">
        <v>1008</v>
      </c>
      <c r="E440" t="s">
        <v>3652</v>
      </c>
      <c r="F440" t="s">
        <v>4092</v>
      </c>
      <c r="G440">
        <v>82</v>
      </c>
      <c r="H440">
        <v>0</v>
      </c>
      <c r="I440">
        <v>0</v>
      </c>
      <c r="J440">
        <v>26</v>
      </c>
      <c r="K440">
        <v>2132</v>
      </c>
      <c r="L440">
        <v>0</v>
      </c>
      <c r="M440">
        <v>0</v>
      </c>
      <c r="N440">
        <v>0</v>
      </c>
      <c r="O440">
        <v>0</v>
      </c>
      <c r="P440" s="2">
        <f>(H440 + J440) - (L440 + N440)</f>
        <v>0</v>
      </c>
      <c r="Q440" s="2">
        <f>P440 * G440</f>
        <v>0</v>
      </c>
      <c r="R440">
        <v>0</v>
      </c>
      <c r="S440" s="2">
        <f>R440 * G440</f>
        <v>0</v>
      </c>
      <c r="T440" s="2">
        <f>(H440 + J440) - (L440 + N440) - R440</f>
        <v>0</v>
      </c>
      <c r="U440" s="2">
        <f>T440 * G440</f>
        <v>0</v>
      </c>
      <c r="V440" s="2">
        <f>I440 + K440 - S440</f>
        <v>0</v>
      </c>
      <c r="W440" s="2">
        <f>M440 - V440</f>
        <v>0</v>
      </c>
      <c r="X440" s="2">
        <f>IFERROR(W440 / M440 * 100, 0)</f>
        <v>0</v>
      </c>
    </row>
    <row r="441" spans="1:24">
      <c r="A441" t="s">
        <v>3105</v>
      </c>
      <c r="B441" t="s">
        <v>512</v>
      </c>
      <c r="C441" t="s">
        <v>3598</v>
      </c>
      <c r="D441" t="s">
        <v>1008</v>
      </c>
      <c r="E441" t="s">
        <v>3652</v>
      </c>
      <c r="F441" t="s">
        <v>4093</v>
      </c>
      <c r="G441">
        <v>60</v>
      </c>
      <c r="H441">
        <v>0</v>
      </c>
      <c r="I441">
        <v>0</v>
      </c>
      <c r="J441">
        <v>4</v>
      </c>
      <c r="K441">
        <v>240</v>
      </c>
      <c r="L441">
        <v>0</v>
      </c>
      <c r="M441">
        <v>0</v>
      </c>
      <c r="N441">
        <v>0</v>
      </c>
      <c r="O441">
        <v>0</v>
      </c>
      <c r="P441" s="2">
        <f>(H441 + J441) - (L441 + N441)</f>
        <v>0</v>
      </c>
      <c r="Q441" s="2">
        <f>P441 * G441</f>
        <v>0</v>
      </c>
      <c r="R441">
        <v>1</v>
      </c>
      <c r="S441" s="2">
        <f>R441 * G441</f>
        <v>0</v>
      </c>
      <c r="T441" s="2">
        <f>(H441 + J441) - (L441 + N441) - R441</f>
        <v>0</v>
      </c>
      <c r="U441" s="2">
        <f>T441 * G441</f>
        <v>0</v>
      </c>
      <c r="V441" s="2">
        <f>I441 + K441 - S441</f>
        <v>0</v>
      </c>
      <c r="W441" s="2">
        <f>M441 - V441</f>
        <v>0</v>
      </c>
      <c r="X441" s="2">
        <f>IFERROR(W441 / M441 * 100, 0)</f>
        <v>0</v>
      </c>
    </row>
    <row r="442" spans="1:24">
      <c r="A442" t="s">
        <v>3106</v>
      </c>
      <c r="B442" t="s">
        <v>512</v>
      </c>
      <c r="C442" t="s">
        <v>3599</v>
      </c>
      <c r="D442" t="s">
        <v>1008</v>
      </c>
      <c r="E442" t="s">
        <v>3652</v>
      </c>
      <c r="F442" t="s">
        <v>4094</v>
      </c>
      <c r="G442">
        <v>79.75</v>
      </c>
      <c r="H442">
        <v>0</v>
      </c>
      <c r="I442">
        <v>0</v>
      </c>
      <c r="J442">
        <v>1</v>
      </c>
      <c r="K442">
        <v>79.75</v>
      </c>
      <c r="L442">
        <v>0</v>
      </c>
      <c r="M442">
        <v>0</v>
      </c>
      <c r="N442">
        <v>0</v>
      </c>
      <c r="O442">
        <v>0</v>
      </c>
      <c r="P442" s="2">
        <f>(H442 + J442) - (L442 + N442)</f>
        <v>0</v>
      </c>
      <c r="Q442" s="2">
        <f>P442 * G442</f>
        <v>0</v>
      </c>
      <c r="R442">
        <v>1</v>
      </c>
      <c r="S442" s="2">
        <f>R442 * G442</f>
        <v>0</v>
      </c>
      <c r="T442" s="2">
        <f>(H442 + J442) - (L442 + N442) - R442</f>
        <v>0</v>
      </c>
      <c r="U442" s="2">
        <f>T442 * G442</f>
        <v>0</v>
      </c>
      <c r="V442" s="2">
        <f>I442 + K442 - S442</f>
        <v>0</v>
      </c>
      <c r="W442" s="2">
        <f>M442 - V442</f>
        <v>0</v>
      </c>
      <c r="X442" s="2">
        <f>IFERROR(W442 / M442 * 100, 0)</f>
        <v>0</v>
      </c>
    </row>
    <row r="443" spans="1:24">
      <c r="A443" t="s">
        <v>3107</v>
      </c>
      <c r="B443" t="s">
        <v>512</v>
      </c>
      <c r="C443" t="s">
        <v>3600</v>
      </c>
      <c r="D443" t="s">
        <v>1007</v>
      </c>
      <c r="E443" t="s">
        <v>3652</v>
      </c>
      <c r="F443" t="s">
        <v>4095</v>
      </c>
      <c r="G443">
        <v>12.8</v>
      </c>
      <c r="H443">
        <v>0</v>
      </c>
      <c r="I443">
        <v>0</v>
      </c>
      <c r="J443">
        <v>0</v>
      </c>
      <c r="K443">
        <v>0</v>
      </c>
      <c r="L443">
        <v>85.02</v>
      </c>
      <c r="M443">
        <v>1020.18</v>
      </c>
      <c r="N443">
        <v>0</v>
      </c>
      <c r="O443">
        <v>0</v>
      </c>
      <c r="P443" s="2">
        <f>(H443 + J443) - (L443 + N443)</f>
        <v>0</v>
      </c>
      <c r="Q443" s="2">
        <f>P443 * G443</f>
        <v>0</v>
      </c>
      <c r="R443">
        <v>0</v>
      </c>
      <c r="S443" s="2">
        <f>R443 * G443</f>
        <v>0</v>
      </c>
      <c r="T443" s="2">
        <f>(H443 + J443) - (L443 + N443) - R443</f>
        <v>0</v>
      </c>
      <c r="U443" s="2">
        <f>T443 * G443</f>
        <v>0</v>
      </c>
      <c r="V443" s="2">
        <f>I443 + K443 - S443</f>
        <v>0</v>
      </c>
      <c r="W443" s="2">
        <f>M443 - V443</f>
        <v>0</v>
      </c>
      <c r="X443" s="2">
        <f>IFERROR(W443 / M443 * 100, 0)</f>
        <v>0</v>
      </c>
    </row>
    <row r="444" spans="1:24">
      <c r="A444" t="s">
        <v>3108</v>
      </c>
      <c r="B444" t="s">
        <v>512</v>
      </c>
      <c r="C444" t="s">
        <v>3601</v>
      </c>
      <c r="D444" t="s">
        <v>1007</v>
      </c>
      <c r="E444" t="s">
        <v>3652</v>
      </c>
      <c r="F444" t="s">
        <v>4096</v>
      </c>
      <c r="G444">
        <v>11.99</v>
      </c>
      <c r="H444">
        <v>13</v>
      </c>
      <c r="I444">
        <v>150.87</v>
      </c>
      <c r="J444">
        <v>7.5</v>
      </c>
      <c r="K444">
        <v>94.52</v>
      </c>
      <c r="L444">
        <v>0</v>
      </c>
      <c r="M444">
        <v>0</v>
      </c>
      <c r="N444">
        <v>0</v>
      </c>
      <c r="O444">
        <v>0</v>
      </c>
      <c r="P444" s="2">
        <f>(H444 + J444) - (L444 + N444)</f>
        <v>0</v>
      </c>
      <c r="Q444" s="2">
        <f>P444 * G444</f>
        <v>0</v>
      </c>
      <c r="R444">
        <v>17</v>
      </c>
      <c r="S444" s="2">
        <f>R444 * G444</f>
        <v>0</v>
      </c>
      <c r="T444" s="2">
        <f>(H444 + J444) - (L444 + N444) - R444</f>
        <v>0</v>
      </c>
      <c r="U444" s="2">
        <f>T444 * G444</f>
        <v>0</v>
      </c>
      <c r="V444" s="2">
        <f>I444 + K444 - S444</f>
        <v>0</v>
      </c>
      <c r="W444" s="2">
        <f>M444 - V444</f>
        <v>0</v>
      </c>
      <c r="X444" s="2">
        <f>IFERROR(W444 / M444 * 100, 0)</f>
        <v>0</v>
      </c>
    </row>
    <row r="445" spans="1:24">
      <c r="A445" t="s">
        <v>3109</v>
      </c>
      <c r="B445" t="s">
        <v>512</v>
      </c>
      <c r="C445" t="s">
        <v>3602</v>
      </c>
      <c r="D445" t="s">
        <v>1007</v>
      </c>
      <c r="E445" t="s">
        <v>3652</v>
      </c>
      <c r="F445" t="s">
        <v>4097</v>
      </c>
      <c r="G445">
        <v>27.34</v>
      </c>
      <c r="H445">
        <v>1</v>
      </c>
      <c r="I445">
        <v>28.18</v>
      </c>
      <c r="J445">
        <v>7.66</v>
      </c>
      <c r="K445">
        <v>222.15</v>
      </c>
      <c r="L445">
        <v>0</v>
      </c>
      <c r="M445">
        <v>0</v>
      </c>
      <c r="N445">
        <v>0</v>
      </c>
      <c r="O445">
        <v>0</v>
      </c>
      <c r="P445" s="2">
        <f>(H445 + J445) - (L445 + N445)</f>
        <v>0</v>
      </c>
      <c r="Q445" s="2">
        <f>P445 * G445</f>
        <v>0</v>
      </c>
      <c r="R445">
        <v>4</v>
      </c>
      <c r="S445" s="2">
        <f>R445 * G445</f>
        <v>0</v>
      </c>
      <c r="T445" s="2">
        <f>(H445 + J445) - (L445 + N445) - R445</f>
        <v>0</v>
      </c>
      <c r="U445" s="2">
        <f>T445 * G445</f>
        <v>0</v>
      </c>
      <c r="V445" s="2">
        <f>I445 + K445 - S445</f>
        <v>0</v>
      </c>
      <c r="W445" s="2">
        <f>M445 - V445</f>
        <v>0</v>
      </c>
      <c r="X445" s="2">
        <f>IFERROR(W445 / M445 * 100, 0)</f>
        <v>0</v>
      </c>
    </row>
    <row r="446" spans="1:24">
      <c r="A446" t="s">
        <v>3110</v>
      </c>
      <c r="B446" t="s">
        <v>512</v>
      </c>
      <c r="C446" t="s">
        <v>3603</v>
      </c>
      <c r="D446" t="s">
        <v>1007</v>
      </c>
      <c r="E446" t="s">
        <v>3652</v>
      </c>
      <c r="F446" t="s">
        <v>4098</v>
      </c>
      <c r="G446">
        <v>6.21</v>
      </c>
      <c r="H446">
        <v>5</v>
      </c>
      <c r="I446">
        <v>29.92</v>
      </c>
      <c r="J446">
        <v>19.06</v>
      </c>
      <c r="K446">
        <v>117.97</v>
      </c>
      <c r="L446">
        <v>0</v>
      </c>
      <c r="M446">
        <v>0</v>
      </c>
      <c r="N446">
        <v>0</v>
      </c>
      <c r="O446">
        <v>0</v>
      </c>
      <c r="P446" s="2">
        <f>(H446 + J446) - (L446 + N446)</f>
        <v>0</v>
      </c>
      <c r="Q446" s="2">
        <f>P446 * G446</f>
        <v>0</v>
      </c>
      <c r="R446">
        <v>5</v>
      </c>
      <c r="S446" s="2">
        <f>R446 * G446</f>
        <v>0</v>
      </c>
      <c r="T446" s="2">
        <f>(H446 + J446) - (L446 + N446) - R446</f>
        <v>0</v>
      </c>
      <c r="U446" s="2">
        <f>T446 * G446</f>
        <v>0</v>
      </c>
      <c r="V446" s="2">
        <f>I446 + K446 - S446</f>
        <v>0</v>
      </c>
      <c r="W446" s="2">
        <f>M446 - V446</f>
        <v>0</v>
      </c>
      <c r="X446" s="2">
        <f>IFERROR(W446 / M446 * 100, 0)</f>
        <v>0</v>
      </c>
    </row>
    <row r="447" spans="1:24">
      <c r="A447" t="s">
        <v>3111</v>
      </c>
      <c r="B447" t="s">
        <v>512</v>
      </c>
      <c r="C447" t="s">
        <v>3604</v>
      </c>
      <c r="D447" t="s">
        <v>1007</v>
      </c>
      <c r="E447" t="s">
        <v>3652</v>
      </c>
      <c r="F447" t="s">
        <v>4099</v>
      </c>
      <c r="G447">
        <v>3.07</v>
      </c>
      <c r="H447">
        <v>3</v>
      </c>
      <c r="I447">
        <v>11.78</v>
      </c>
      <c r="J447">
        <v>18.34</v>
      </c>
      <c r="K447">
        <v>53.69</v>
      </c>
      <c r="L447">
        <v>0</v>
      </c>
      <c r="M447">
        <v>0</v>
      </c>
      <c r="N447">
        <v>0</v>
      </c>
      <c r="O447">
        <v>0</v>
      </c>
      <c r="P447" s="2">
        <f>(H447 + J447) - (L447 + N447)</f>
        <v>0</v>
      </c>
      <c r="Q447" s="2">
        <f>P447 * G447</f>
        <v>0</v>
      </c>
      <c r="R447">
        <v>3</v>
      </c>
      <c r="S447" s="2">
        <f>R447 * G447</f>
        <v>0</v>
      </c>
      <c r="T447" s="2">
        <f>(H447 + J447) - (L447 + N447) - R447</f>
        <v>0</v>
      </c>
      <c r="U447" s="2">
        <f>T447 * G447</f>
        <v>0</v>
      </c>
      <c r="V447" s="2">
        <f>I447 + K447 - S447</f>
        <v>0</v>
      </c>
      <c r="W447" s="2">
        <f>M447 - V447</f>
        <v>0</v>
      </c>
      <c r="X447" s="2">
        <f>IFERROR(W447 / M447 * 100, 0)</f>
        <v>0</v>
      </c>
    </row>
    <row r="448" spans="1:24">
      <c r="A448" t="s">
        <v>3112</v>
      </c>
      <c r="B448" t="s">
        <v>512</v>
      </c>
      <c r="C448" t="s">
        <v>3605</v>
      </c>
      <c r="D448" t="s">
        <v>1007</v>
      </c>
      <c r="E448" t="s">
        <v>3652</v>
      </c>
      <c r="F448" t="s">
        <v>4100</v>
      </c>
      <c r="G448">
        <v>6.5</v>
      </c>
      <c r="H448">
        <v>1</v>
      </c>
      <c r="I448">
        <v>12.5</v>
      </c>
      <c r="J448">
        <v>-15.61</v>
      </c>
      <c r="K448">
        <v>-103.93</v>
      </c>
      <c r="L448">
        <v>0</v>
      </c>
      <c r="M448">
        <v>0</v>
      </c>
      <c r="N448">
        <v>0</v>
      </c>
      <c r="O448">
        <v>0</v>
      </c>
      <c r="P448" s="2">
        <f>(H448 + J448) - (L448 + N448)</f>
        <v>0</v>
      </c>
      <c r="Q448" s="2">
        <f>P448 * G448</f>
        <v>0</v>
      </c>
      <c r="R448">
        <v>1</v>
      </c>
      <c r="S448" s="2">
        <f>R448 * G448</f>
        <v>0</v>
      </c>
      <c r="T448" s="2">
        <f>(H448 + J448) - (L448 + N448) - R448</f>
        <v>0</v>
      </c>
      <c r="U448" s="2">
        <f>T448 * G448</f>
        <v>0</v>
      </c>
      <c r="V448" s="2">
        <f>I448 + K448 - S448</f>
        <v>0</v>
      </c>
      <c r="W448" s="2">
        <f>M448 - V448</f>
        <v>0</v>
      </c>
      <c r="X448" s="2">
        <f>IFERROR(W448 / M448 * 100, 0)</f>
        <v>0</v>
      </c>
    </row>
    <row r="449" spans="1:24">
      <c r="A449" t="s">
        <v>3113</v>
      </c>
      <c r="B449" t="s">
        <v>512</v>
      </c>
      <c r="C449" t="s">
        <v>3606</v>
      </c>
      <c r="D449" t="s">
        <v>1007</v>
      </c>
      <c r="E449" t="s">
        <v>3652</v>
      </c>
      <c r="F449" t="s">
        <v>4101</v>
      </c>
      <c r="G449">
        <v>16.16</v>
      </c>
      <c r="H449">
        <v>0</v>
      </c>
      <c r="I449">
        <v>0</v>
      </c>
      <c r="J449">
        <v>133.19</v>
      </c>
      <c r="K449">
        <v>2164.34</v>
      </c>
      <c r="L449">
        <v>0</v>
      </c>
      <c r="M449">
        <v>0</v>
      </c>
      <c r="N449">
        <v>0</v>
      </c>
      <c r="O449">
        <v>0</v>
      </c>
      <c r="P449" s="2">
        <f>(H449 + J449) - (L449 + N449)</f>
        <v>0</v>
      </c>
      <c r="Q449" s="2">
        <f>P449 * G449</f>
        <v>0</v>
      </c>
      <c r="R449">
        <v>0</v>
      </c>
      <c r="S449" s="2">
        <f>R449 * G449</f>
        <v>0</v>
      </c>
      <c r="T449" s="2">
        <f>(H449 + J449) - (L449 + N449) - R449</f>
        <v>0</v>
      </c>
      <c r="U449" s="2">
        <f>T449 * G449</f>
        <v>0</v>
      </c>
      <c r="V449" s="2">
        <f>I449 + K449 - S449</f>
        <v>0</v>
      </c>
      <c r="W449" s="2">
        <f>M449 - V449</f>
        <v>0</v>
      </c>
      <c r="X449" s="2">
        <f>IFERROR(W449 / M449 * 100, 0)</f>
        <v>0</v>
      </c>
    </row>
    <row r="450" spans="1:24">
      <c r="A450" t="s">
        <v>3114</v>
      </c>
      <c r="B450" t="s">
        <v>512</v>
      </c>
      <c r="C450" t="s">
        <v>3607</v>
      </c>
      <c r="D450" t="s">
        <v>1007</v>
      </c>
      <c r="E450" t="s">
        <v>3652</v>
      </c>
      <c r="F450" t="s">
        <v>4102</v>
      </c>
      <c r="G450">
        <v>9.5</v>
      </c>
      <c r="H450">
        <v>5</v>
      </c>
      <c r="I450">
        <v>50</v>
      </c>
      <c r="J450">
        <v>-6.23</v>
      </c>
      <c r="K450">
        <v>-59.8</v>
      </c>
      <c r="L450">
        <v>0</v>
      </c>
      <c r="M450">
        <v>0</v>
      </c>
      <c r="N450">
        <v>0</v>
      </c>
      <c r="O450">
        <v>0</v>
      </c>
      <c r="P450" s="2">
        <f>(H450 + J450) - (L450 + N450)</f>
        <v>0</v>
      </c>
      <c r="Q450" s="2">
        <f>P450 * G450</f>
        <v>0</v>
      </c>
      <c r="R450">
        <v>8</v>
      </c>
      <c r="S450" s="2">
        <f>R450 * G450</f>
        <v>0</v>
      </c>
      <c r="T450" s="2">
        <f>(H450 + J450) - (L450 + N450) - R450</f>
        <v>0</v>
      </c>
      <c r="U450" s="2">
        <f>T450 * G450</f>
        <v>0</v>
      </c>
      <c r="V450" s="2">
        <f>I450 + K450 - S450</f>
        <v>0</v>
      </c>
      <c r="W450" s="2">
        <f>M450 - V450</f>
        <v>0</v>
      </c>
      <c r="X450" s="2">
        <f>IFERROR(W450 / M450 * 100, 0)</f>
        <v>0</v>
      </c>
    </row>
    <row r="451" spans="1:24">
      <c r="A451" t="s">
        <v>3115</v>
      </c>
      <c r="B451" t="s">
        <v>512</v>
      </c>
      <c r="C451" t="s">
        <v>3608</v>
      </c>
      <c r="D451" t="s">
        <v>1007</v>
      </c>
      <c r="E451" t="s">
        <v>3652</v>
      </c>
      <c r="F451" t="s">
        <v>4103</v>
      </c>
      <c r="G451">
        <v>7.94</v>
      </c>
      <c r="H451">
        <v>1</v>
      </c>
      <c r="I451">
        <v>7.41</v>
      </c>
      <c r="J451">
        <v>-103.97</v>
      </c>
      <c r="K451">
        <v>-809.53</v>
      </c>
      <c r="L451">
        <v>0</v>
      </c>
      <c r="M451">
        <v>0</v>
      </c>
      <c r="N451">
        <v>0</v>
      </c>
      <c r="O451">
        <v>0</v>
      </c>
      <c r="P451" s="2">
        <f>(H451 + J451) - (L451 + N451)</f>
        <v>0</v>
      </c>
      <c r="Q451" s="2">
        <f>P451 * G451</f>
        <v>0</v>
      </c>
      <c r="R451">
        <v>1</v>
      </c>
      <c r="S451" s="2">
        <f>R451 * G451</f>
        <v>0</v>
      </c>
      <c r="T451" s="2">
        <f>(H451 + J451) - (L451 + N451) - R451</f>
        <v>0</v>
      </c>
      <c r="U451" s="2">
        <f>T451 * G451</f>
        <v>0</v>
      </c>
      <c r="V451" s="2">
        <f>I451 + K451 - S451</f>
        <v>0</v>
      </c>
      <c r="W451" s="2">
        <f>M451 - V451</f>
        <v>0</v>
      </c>
      <c r="X451" s="2">
        <f>IFERROR(W451 / M451 * 100, 0)</f>
        <v>0</v>
      </c>
    </row>
    <row r="452" spans="1:24">
      <c r="A452" t="s">
        <v>3116</v>
      </c>
      <c r="B452" t="s">
        <v>512</v>
      </c>
      <c r="C452" t="s">
        <v>3609</v>
      </c>
      <c r="D452" t="s">
        <v>1007</v>
      </c>
      <c r="E452" t="s">
        <v>3652</v>
      </c>
      <c r="F452" t="s">
        <v>4104</v>
      </c>
      <c r="G452">
        <v>11.12</v>
      </c>
      <c r="H452">
        <v>2</v>
      </c>
      <c r="I452">
        <v>22.24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 s="2">
        <f>(H452 + J452) - (L452 + N452)</f>
        <v>0</v>
      </c>
      <c r="Q452" s="2">
        <f>P452 * G452</f>
        <v>0</v>
      </c>
      <c r="R452">
        <v>1</v>
      </c>
      <c r="S452" s="2">
        <f>R452 * G452</f>
        <v>0</v>
      </c>
      <c r="T452" s="2">
        <f>(H452 + J452) - (L452 + N452) - R452</f>
        <v>0</v>
      </c>
      <c r="U452" s="2">
        <f>T452 * G452</f>
        <v>0</v>
      </c>
      <c r="V452" s="2">
        <f>I452 + K452 - S452</f>
        <v>0</v>
      </c>
      <c r="W452" s="2">
        <f>M452 - V452</f>
        <v>0</v>
      </c>
      <c r="X452" s="2">
        <f>IFERROR(W452 / M452 * 100, 0)</f>
        <v>0</v>
      </c>
    </row>
    <row r="453" spans="1:24">
      <c r="A453" t="s">
        <v>3117</v>
      </c>
      <c r="B453" t="s">
        <v>512</v>
      </c>
      <c r="C453" t="s">
        <v>3610</v>
      </c>
      <c r="D453" t="s">
        <v>1007</v>
      </c>
      <c r="E453" t="s">
        <v>3652</v>
      </c>
      <c r="F453" t="s">
        <v>4105</v>
      </c>
      <c r="G453">
        <v>10.05</v>
      </c>
      <c r="H453">
        <v>4</v>
      </c>
      <c r="I453">
        <v>40.24</v>
      </c>
      <c r="J453">
        <v>1.9</v>
      </c>
      <c r="K453">
        <v>19.09</v>
      </c>
      <c r="L453">
        <v>0</v>
      </c>
      <c r="M453">
        <v>0</v>
      </c>
      <c r="N453">
        <v>0</v>
      </c>
      <c r="O453">
        <v>0</v>
      </c>
      <c r="P453" s="2">
        <f>(H453 + J453) - (L453 + N453)</f>
        <v>0</v>
      </c>
      <c r="Q453" s="2">
        <f>P453 * G453</f>
        <v>0</v>
      </c>
      <c r="R453">
        <v>4</v>
      </c>
      <c r="S453" s="2">
        <f>R453 * G453</f>
        <v>0</v>
      </c>
      <c r="T453" s="2">
        <f>(H453 + J453) - (L453 + N453) - R453</f>
        <v>0</v>
      </c>
      <c r="U453" s="2">
        <f>T453 * G453</f>
        <v>0</v>
      </c>
      <c r="V453" s="2">
        <f>I453 + K453 - S453</f>
        <v>0</v>
      </c>
      <c r="W453" s="2">
        <f>M453 - V453</f>
        <v>0</v>
      </c>
      <c r="X453" s="2">
        <f>IFERROR(W453 / M453 * 100, 0)</f>
        <v>0</v>
      </c>
    </row>
    <row r="454" spans="1:24">
      <c r="A454" t="s">
        <v>3118</v>
      </c>
      <c r="B454" t="s">
        <v>512</v>
      </c>
      <c r="C454" t="s">
        <v>3611</v>
      </c>
      <c r="D454" t="s">
        <v>1007</v>
      </c>
      <c r="E454" t="s">
        <v>3652</v>
      </c>
      <c r="F454" t="s">
        <v>4106</v>
      </c>
      <c r="G454">
        <v>6.28</v>
      </c>
      <c r="H454">
        <v>8</v>
      </c>
      <c r="I454">
        <v>41.17</v>
      </c>
      <c r="J454">
        <v>18</v>
      </c>
      <c r="K454">
        <v>122</v>
      </c>
      <c r="L454">
        <v>0</v>
      </c>
      <c r="M454">
        <v>0</v>
      </c>
      <c r="N454">
        <v>0</v>
      </c>
      <c r="O454">
        <v>0</v>
      </c>
      <c r="P454" s="2">
        <f>(H454 + J454) - (L454 + N454)</f>
        <v>0</v>
      </c>
      <c r="Q454" s="2">
        <f>P454 * G454</f>
        <v>0</v>
      </c>
      <c r="R454">
        <v>18</v>
      </c>
      <c r="S454" s="2">
        <f>R454 * G454</f>
        <v>0</v>
      </c>
      <c r="T454" s="2">
        <f>(H454 + J454) - (L454 + N454) - R454</f>
        <v>0</v>
      </c>
      <c r="U454" s="2">
        <f>T454 * G454</f>
        <v>0</v>
      </c>
      <c r="V454" s="2">
        <f>I454 + K454 - S454</f>
        <v>0</v>
      </c>
      <c r="W454" s="2">
        <f>M454 - V454</f>
        <v>0</v>
      </c>
      <c r="X454" s="2">
        <f>IFERROR(W454 / M454 * 100, 0)</f>
        <v>0</v>
      </c>
    </row>
    <row r="455" spans="1:24">
      <c r="A455" t="s">
        <v>3119</v>
      </c>
      <c r="B455" t="s">
        <v>512</v>
      </c>
      <c r="C455" t="s">
        <v>3612</v>
      </c>
      <c r="D455" t="s">
        <v>1007</v>
      </c>
      <c r="E455" t="s">
        <v>3652</v>
      </c>
      <c r="F455" t="s">
        <v>4107</v>
      </c>
      <c r="G455">
        <v>9.300000000000001</v>
      </c>
      <c r="H455">
        <v>0</v>
      </c>
      <c r="I455">
        <v>0</v>
      </c>
      <c r="J455">
        <v>-41.15</v>
      </c>
      <c r="K455">
        <v>-1.74</v>
      </c>
      <c r="L455">
        <v>0</v>
      </c>
      <c r="M455">
        <v>0</v>
      </c>
      <c r="N455">
        <v>0</v>
      </c>
      <c r="O455">
        <v>0</v>
      </c>
      <c r="P455" s="2">
        <f>(H455 + J455) - (L455 + N455)</f>
        <v>0</v>
      </c>
      <c r="Q455" s="2">
        <f>P455 * G455</f>
        <v>0</v>
      </c>
      <c r="R455">
        <v>0</v>
      </c>
      <c r="S455" s="2">
        <f>R455 * G455</f>
        <v>0</v>
      </c>
      <c r="T455" s="2">
        <f>(H455 + J455) - (L455 + N455) - R455</f>
        <v>0</v>
      </c>
      <c r="U455" s="2">
        <f>T455 * G455</f>
        <v>0</v>
      </c>
      <c r="V455" s="2">
        <f>I455 + K455 - S455</f>
        <v>0</v>
      </c>
      <c r="W455" s="2">
        <f>M455 - V455</f>
        <v>0</v>
      </c>
      <c r="X455" s="2">
        <f>IFERROR(W455 / M455 * 100, 0)</f>
        <v>0</v>
      </c>
    </row>
    <row r="456" spans="1:24">
      <c r="A456" t="s">
        <v>3120</v>
      </c>
      <c r="B456" t="s">
        <v>512</v>
      </c>
      <c r="C456" t="s">
        <v>3613</v>
      </c>
      <c r="D456" t="s">
        <v>1007</v>
      </c>
      <c r="E456" t="s">
        <v>3652</v>
      </c>
      <c r="F456" t="s">
        <v>4108</v>
      </c>
      <c r="G456">
        <v>27.47</v>
      </c>
      <c r="H456">
        <v>48</v>
      </c>
      <c r="I456">
        <v>1300.95</v>
      </c>
      <c r="J456">
        <v>6.28</v>
      </c>
      <c r="K456">
        <v>190.41</v>
      </c>
      <c r="L456">
        <v>0</v>
      </c>
      <c r="M456">
        <v>0</v>
      </c>
      <c r="N456">
        <v>0</v>
      </c>
      <c r="O456">
        <v>0</v>
      </c>
      <c r="P456" s="2">
        <f>(H456 + J456) - (L456 + N456)</f>
        <v>0</v>
      </c>
      <c r="Q456" s="2">
        <f>P456 * G456</f>
        <v>0</v>
      </c>
      <c r="R456">
        <v>0</v>
      </c>
      <c r="S456" s="2">
        <f>R456 * G456</f>
        <v>0</v>
      </c>
      <c r="T456" s="2">
        <f>(H456 + J456) - (L456 + N456) - R456</f>
        <v>0</v>
      </c>
      <c r="U456" s="2">
        <f>T456 * G456</f>
        <v>0</v>
      </c>
      <c r="V456" s="2">
        <f>I456 + K456 - S456</f>
        <v>0</v>
      </c>
      <c r="W456" s="2">
        <f>M456 - V456</f>
        <v>0</v>
      </c>
      <c r="X456" s="2">
        <f>IFERROR(W456 / M456 * 100, 0)</f>
        <v>0</v>
      </c>
    </row>
    <row r="457" spans="1:24">
      <c r="A457" t="s">
        <v>3121</v>
      </c>
      <c r="B457" t="s">
        <v>512</v>
      </c>
      <c r="C457" t="s">
        <v>3614</v>
      </c>
      <c r="D457" t="s">
        <v>1007</v>
      </c>
      <c r="E457" t="s">
        <v>3652</v>
      </c>
      <c r="F457" t="s">
        <v>4109</v>
      </c>
      <c r="G457">
        <v>10.08</v>
      </c>
      <c r="H457">
        <v>20</v>
      </c>
      <c r="I457">
        <v>171.87</v>
      </c>
      <c r="J457">
        <v>138.01</v>
      </c>
      <c r="K457">
        <v>1413.79</v>
      </c>
      <c r="L457">
        <v>0</v>
      </c>
      <c r="M457">
        <v>0</v>
      </c>
      <c r="N457">
        <v>0</v>
      </c>
      <c r="O457">
        <v>0</v>
      </c>
      <c r="P457" s="2">
        <f>(H457 + J457) - (L457 + N457)</f>
        <v>0</v>
      </c>
      <c r="Q457" s="2">
        <f>P457 * G457</f>
        <v>0</v>
      </c>
      <c r="R457">
        <v>90</v>
      </c>
      <c r="S457" s="2">
        <f>R457 * G457</f>
        <v>0</v>
      </c>
      <c r="T457" s="2">
        <f>(H457 + J457) - (L457 + N457) - R457</f>
        <v>0</v>
      </c>
      <c r="U457" s="2">
        <f>T457 * G457</f>
        <v>0</v>
      </c>
      <c r="V457" s="2">
        <f>I457 + K457 - S457</f>
        <v>0</v>
      </c>
      <c r="W457" s="2">
        <f>M457 - V457</f>
        <v>0</v>
      </c>
      <c r="X457" s="2">
        <f>IFERROR(W457 / M457 * 100, 0)</f>
        <v>0</v>
      </c>
    </row>
    <row r="458" spans="1:24">
      <c r="A458" t="s">
        <v>3122</v>
      </c>
      <c r="B458" t="s">
        <v>512</v>
      </c>
      <c r="C458" t="s">
        <v>3615</v>
      </c>
      <c r="D458" t="s">
        <v>1007</v>
      </c>
      <c r="E458" t="s">
        <v>3652</v>
      </c>
      <c r="F458" t="s">
        <v>4110</v>
      </c>
      <c r="G458">
        <v>44.51</v>
      </c>
      <c r="H458">
        <v>0</v>
      </c>
      <c r="I458">
        <v>0</v>
      </c>
      <c r="J458">
        <v>-2.81</v>
      </c>
      <c r="K458">
        <v>-124.96</v>
      </c>
      <c r="L458">
        <v>0</v>
      </c>
      <c r="M458">
        <v>0</v>
      </c>
      <c r="N458">
        <v>0</v>
      </c>
      <c r="O458">
        <v>0</v>
      </c>
      <c r="P458" s="2">
        <f>(H458 + J458) - (L458 + N458)</f>
        <v>0</v>
      </c>
      <c r="Q458" s="2">
        <f>P458 * G458</f>
        <v>0</v>
      </c>
      <c r="R458">
        <v>0</v>
      </c>
      <c r="S458" s="2">
        <f>R458 * G458</f>
        <v>0</v>
      </c>
      <c r="T458" s="2">
        <f>(H458 + J458) - (L458 + N458) - R458</f>
        <v>0</v>
      </c>
      <c r="U458" s="2">
        <f>T458 * G458</f>
        <v>0</v>
      </c>
      <c r="V458" s="2">
        <f>I458 + K458 - S458</f>
        <v>0</v>
      </c>
      <c r="W458" s="2">
        <f>M458 - V458</f>
        <v>0</v>
      </c>
      <c r="X458" s="2">
        <f>IFERROR(W458 / M458 * 100, 0)</f>
        <v>0</v>
      </c>
    </row>
    <row r="459" spans="1:24">
      <c r="A459" t="s">
        <v>3123</v>
      </c>
      <c r="B459" t="s">
        <v>512</v>
      </c>
      <c r="C459" t="s">
        <v>3616</v>
      </c>
      <c r="D459" t="s">
        <v>1007</v>
      </c>
      <c r="E459" t="s">
        <v>3652</v>
      </c>
      <c r="F459" t="s">
        <v>4111</v>
      </c>
      <c r="G459">
        <v>19.5</v>
      </c>
      <c r="H459">
        <v>1</v>
      </c>
      <c r="I459">
        <v>23.33</v>
      </c>
      <c r="J459">
        <v>-4.51</v>
      </c>
      <c r="K459">
        <v>-96.97</v>
      </c>
      <c r="L459">
        <v>0</v>
      </c>
      <c r="M459">
        <v>0</v>
      </c>
      <c r="N459">
        <v>0</v>
      </c>
      <c r="O459">
        <v>0</v>
      </c>
      <c r="P459" s="2">
        <f>(H459 + J459) - (L459 + N459)</f>
        <v>0</v>
      </c>
      <c r="Q459" s="2">
        <f>P459 * G459</f>
        <v>0</v>
      </c>
      <c r="R459">
        <v>1</v>
      </c>
      <c r="S459" s="2">
        <f>R459 * G459</f>
        <v>0</v>
      </c>
      <c r="T459" s="2">
        <f>(H459 + J459) - (L459 + N459) - R459</f>
        <v>0</v>
      </c>
      <c r="U459" s="2">
        <f>T459 * G459</f>
        <v>0</v>
      </c>
      <c r="V459" s="2">
        <f>I459 + K459 - S459</f>
        <v>0</v>
      </c>
      <c r="W459" s="2">
        <f>M459 - V459</f>
        <v>0</v>
      </c>
      <c r="X459" s="2">
        <f>IFERROR(W459 / M459 * 100, 0)</f>
        <v>0</v>
      </c>
    </row>
    <row r="460" spans="1:24">
      <c r="A460" t="s">
        <v>3124</v>
      </c>
      <c r="B460" t="s">
        <v>512</v>
      </c>
      <c r="C460" t="s">
        <v>3617</v>
      </c>
      <c r="D460" t="s">
        <v>1007</v>
      </c>
      <c r="E460" t="s">
        <v>3652</v>
      </c>
      <c r="F460" t="s">
        <v>4112</v>
      </c>
      <c r="G460">
        <v>10</v>
      </c>
      <c r="H460">
        <v>0</v>
      </c>
      <c r="I460">
        <v>0</v>
      </c>
      <c r="J460">
        <v>-1.7</v>
      </c>
      <c r="K460">
        <v>-17</v>
      </c>
      <c r="L460">
        <v>0</v>
      </c>
      <c r="M460">
        <v>0</v>
      </c>
      <c r="N460">
        <v>0</v>
      </c>
      <c r="O460">
        <v>0</v>
      </c>
      <c r="P460" s="2">
        <f>(H460 + J460) - (L460 + N460)</f>
        <v>0</v>
      </c>
      <c r="Q460" s="2">
        <f>P460 * G460</f>
        <v>0</v>
      </c>
      <c r="R460">
        <v>0</v>
      </c>
      <c r="S460" s="2">
        <f>R460 * G460</f>
        <v>0</v>
      </c>
      <c r="T460" s="2">
        <f>(H460 + J460) - (L460 + N460) - R460</f>
        <v>0</v>
      </c>
      <c r="U460" s="2">
        <f>T460 * G460</f>
        <v>0</v>
      </c>
      <c r="V460" s="2">
        <f>I460 + K460 - S460</f>
        <v>0</v>
      </c>
      <c r="W460" s="2">
        <f>M460 - V460</f>
        <v>0</v>
      </c>
      <c r="X460" s="2">
        <f>IFERROR(W460 / M460 * 100, 0)</f>
        <v>0</v>
      </c>
    </row>
    <row r="461" spans="1:24">
      <c r="A461" t="s">
        <v>3125</v>
      </c>
      <c r="B461" t="s">
        <v>512</v>
      </c>
      <c r="C461" t="s">
        <v>3618</v>
      </c>
      <c r="D461" t="s">
        <v>1007</v>
      </c>
      <c r="E461" t="s">
        <v>3652</v>
      </c>
      <c r="F461" t="s">
        <v>4113</v>
      </c>
      <c r="G461">
        <v>28.61</v>
      </c>
      <c r="H461">
        <v>2</v>
      </c>
      <c r="I461">
        <v>57.22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 s="2">
        <f>(H461 + J461) - (L461 + N461)</f>
        <v>0</v>
      </c>
      <c r="Q461" s="2">
        <f>P461 * G461</f>
        <v>0</v>
      </c>
      <c r="R461">
        <v>2</v>
      </c>
      <c r="S461" s="2">
        <f>R461 * G461</f>
        <v>0</v>
      </c>
      <c r="T461" s="2">
        <f>(H461 + J461) - (L461 + N461) - R461</f>
        <v>0</v>
      </c>
      <c r="U461" s="2">
        <f>T461 * G461</f>
        <v>0</v>
      </c>
      <c r="V461" s="2">
        <f>I461 + K461 - S461</f>
        <v>0</v>
      </c>
      <c r="W461" s="2">
        <f>M461 - V461</f>
        <v>0</v>
      </c>
      <c r="X461" s="2">
        <f>IFERROR(W461 / M461 * 100, 0)</f>
        <v>0</v>
      </c>
    </row>
    <row r="462" spans="1:24">
      <c r="A462" t="s">
        <v>3126</v>
      </c>
      <c r="B462" t="s">
        <v>512</v>
      </c>
      <c r="C462" t="s">
        <v>3619</v>
      </c>
      <c r="D462" t="s">
        <v>1007</v>
      </c>
      <c r="E462" t="s">
        <v>3652</v>
      </c>
      <c r="F462" t="s">
        <v>4114</v>
      </c>
      <c r="G462">
        <v>31.43</v>
      </c>
      <c r="H462">
        <v>1</v>
      </c>
      <c r="I462">
        <v>31.43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 s="2">
        <f>(H462 + J462) - (L462 + N462)</f>
        <v>0</v>
      </c>
      <c r="Q462" s="2">
        <f>P462 * G462</f>
        <v>0</v>
      </c>
      <c r="R462">
        <v>1</v>
      </c>
      <c r="S462" s="2">
        <f>R462 * G462</f>
        <v>0</v>
      </c>
      <c r="T462" s="2">
        <f>(H462 + J462) - (L462 + N462) - R462</f>
        <v>0</v>
      </c>
      <c r="U462" s="2">
        <f>T462 * G462</f>
        <v>0</v>
      </c>
      <c r="V462" s="2">
        <f>I462 + K462 - S462</f>
        <v>0</v>
      </c>
      <c r="W462" s="2">
        <f>M462 - V462</f>
        <v>0</v>
      </c>
      <c r="X462" s="2">
        <f>IFERROR(W462 / M462 * 100, 0)</f>
        <v>0</v>
      </c>
    </row>
    <row r="463" spans="1:24">
      <c r="A463" t="s">
        <v>3127</v>
      </c>
      <c r="B463" t="s">
        <v>512</v>
      </c>
      <c r="C463" t="s">
        <v>3620</v>
      </c>
      <c r="D463" t="s">
        <v>1007</v>
      </c>
      <c r="E463" t="s">
        <v>3652</v>
      </c>
      <c r="F463" t="s">
        <v>4115</v>
      </c>
      <c r="G463">
        <v>5.23</v>
      </c>
      <c r="H463">
        <v>4</v>
      </c>
      <c r="I463">
        <v>26.47</v>
      </c>
      <c r="J463">
        <v>2.29</v>
      </c>
      <c r="K463">
        <v>-9.210000000000001</v>
      </c>
      <c r="L463">
        <v>0</v>
      </c>
      <c r="M463">
        <v>0</v>
      </c>
      <c r="N463">
        <v>0</v>
      </c>
      <c r="O463">
        <v>0</v>
      </c>
      <c r="P463" s="2">
        <f>(H463 + J463) - (L463 + N463)</f>
        <v>0</v>
      </c>
      <c r="Q463" s="2">
        <f>P463 * G463</f>
        <v>0</v>
      </c>
      <c r="R463">
        <v>4</v>
      </c>
      <c r="S463" s="2">
        <f>R463 * G463</f>
        <v>0</v>
      </c>
      <c r="T463" s="2">
        <f>(H463 + J463) - (L463 + N463) - R463</f>
        <v>0</v>
      </c>
      <c r="U463" s="2">
        <f>T463 * G463</f>
        <v>0</v>
      </c>
      <c r="V463" s="2">
        <f>I463 + K463 - S463</f>
        <v>0</v>
      </c>
      <c r="W463" s="2">
        <f>M463 - V463</f>
        <v>0</v>
      </c>
      <c r="X463" s="2">
        <f>IFERROR(W463 / M463 * 100, 0)</f>
        <v>0</v>
      </c>
    </row>
    <row r="464" spans="1:24">
      <c r="A464" t="s">
        <v>3128</v>
      </c>
      <c r="B464" t="s">
        <v>512</v>
      </c>
      <c r="C464" t="s">
        <v>3621</v>
      </c>
      <c r="D464" t="s">
        <v>1007</v>
      </c>
      <c r="E464" t="s">
        <v>3652</v>
      </c>
      <c r="F464" t="s">
        <v>4116</v>
      </c>
      <c r="G464">
        <v>30.56</v>
      </c>
      <c r="H464">
        <v>0</v>
      </c>
      <c r="I464">
        <v>0</v>
      </c>
      <c r="J464">
        <v>2.9</v>
      </c>
      <c r="K464">
        <v>90.11</v>
      </c>
      <c r="L464">
        <v>0</v>
      </c>
      <c r="M464">
        <v>0</v>
      </c>
      <c r="N464">
        <v>0</v>
      </c>
      <c r="O464">
        <v>0</v>
      </c>
      <c r="P464" s="2">
        <f>(H464 + J464) - (L464 + N464)</f>
        <v>0</v>
      </c>
      <c r="Q464" s="2">
        <f>P464 * G464</f>
        <v>0</v>
      </c>
      <c r="R464">
        <v>0</v>
      </c>
      <c r="S464" s="2">
        <f>R464 * G464</f>
        <v>0</v>
      </c>
      <c r="T464" s="2">
        <f>(H464 + J464) - (L464 + N464) - R464</f>
        <v>0</v>
      </c>
      <c r="U464" s="2">
        <f>T464 * G464</f>
        <v>0</v>
      </c>
      <c r="V464" s="2">
        <f>I464 + K464 - S464</f>
        <v>0</v>
      </c>
      <c r="W464" s="2">
        <f>M464 - V464</f>
        <v>0</v>
      </c>
      <c r="X464" s="2">
        <f>IFERROR(W464 / M464 * 100, 0)</f>
        <v>0</v>
      </c>
    </row>
    <row r="465" spans="1:24">
      <c r="A465" t="s">
        <v>3129</v>
      </c>
      <c r="B465" t="s">
        <v>512</v>
      </c>
      <c r="C465" t="s">
        <v>3622</v>
      </c>
      <c r="D465" t="s">
        <v>1007</v>
      </c>
      <c r="E465" t="s">
        <v>3652</v>
      </c>
      <c r="F465" t="s">
        <v>4117</v>
      </c>
      <c r="G465">
        <v>176</v>
      </c>
      <c r="H465">
        <v>1</v>
      </c>
      <c r="I465">
        <v>180</v>
      </c>
      <c r="J465">
        <v>-7.9</v>
      </c>
      <c r="K465">
        <v>-1397.76</v>
      </c>
      <c r="L465">
        <v>0</v>
      </c>
      <c r="M465">
        <v>0</v>
      </c>
      <c r="N465">
        <v>0</v>
      </c>
      <c r="O465">
        <v>0</v>
      </c>
      <c r="P465" s="2">
        <f>(H465 + J465) - (L465 + N465)</f>
        <v>0</v>
      </c>
      <c r="Q465" s="2">
        <f>P465 * G465</f>
        <v>0</v>
      </c>
      <c r="R465">
        <v>1</v>
      </c>
      <c r="S465" s="2">
        <f>R465 * G465</f>
        <v>0</v>
      </c>
      <c r="T465" s="2">
        <f>(H465 + J465) - (L465 + N465) - R465</f>
        <v>0</v>
      </c>
      <c r="U465" s="2">
        <f>T465 * G465</f>
        <v>0</v>
      </c>
      <c r="V465" s="2">
        <f>I465 + K465 - S465</f>
        <v>0</v>
      </c>
      <c r="W465" s="2">
        <f>M465 - V465</f>
        <v>0</v>
      </c>
      <c r="X465" s="2">
        <f>IFERROR(W465 / M465 * 100, 0)</f>
        <v>0</v>
      </c>
    </row>
    <row r="466" spans="1:24">
      <c r="A466" t="s">
        <v>3130</v>
      </c>
      <c r="B466" t="s">
        <v>512</v>
      </c>
      <c r="C466" t="s">
        <v>3623</v>
      </c>
      <c r="D466" t="s">
        <v>1007</v>
      </c>
      <c r="E466" t="s">
        <v>3652</v>
      </c>
      <c r="F466" t="s">
        <v>4118</v>
      </c>
      <c r="G466">
        <v>5.94</v>
      </c>
      <c r="H466">
        <v>0</v>
      </c>
      <c r="I466">
        <v>0</v>
      </c>
      <c r="J466">
        <v>-11.65</v>
      </c>
      <c r="K466">
        <v>-69.16</v>
      </c>
      <c r="L466">
        <v>0</v>
      </c>
      <c r="M466">
        <v>0</v>
      </c>
      <c r="N466">
        <v>0</v>
      </c>
      <c r="O466">
        <v>0</v>
      </c>
      <c r="P466" s="2">
        <f>(H466 + J466) - (L466 + N466)</f>
        <v>0</v>
      </c>
      <c r="Q466" s="2">
        <f>P466 * G466</f>
        <v>0</v>
      </c>
      <c r="R466">
        <v>0</v>
      </c>
      <c r="S466" s="2">
        <f>R466 * G466</f>
        <v>0</v>
      </c>
      <c r="T466" s="2">
        <f>(H466 + J466) - (L466 + N466) - R466</f>
        <v>0</v>
      </c>
      <c r="U466" s="2">
        <f>T466 * G466</f>
        <v>0</v>
      </c>
      <c r="V466" s="2">
        <f>I466 + K466 - S466</f>
        <v>0</v>
      </c>
      <c r="W466" s="2">
        <f>M466 - V466</f>
        <v>0</v>
      </c>
      <c r="X466" s="2">
        <f>IFERROR(W466 / M466 * 100, 0)</f>
        <v>0</v>
      </c>
    </row>
    <row r="467" spans="1:24">
      <c r="A467" t="s">
        <v>3131</v>
      </c>
      <c r="B467" t="s">
        <v>512</v>
      </c>
      <c r="C467" t="s">
        <v>3624</v>
      </c>
      <c r="D467" t="s">
        <v>1008</v>
      </c>
      <c r="E467" t="s">
        <v>3652</v>
      </c>
      <c r="F467" t="s">
        <v>4119</v>
      </c>
      <c r="G467">
        <v>100</v>
      </c>
      <c r="H467">
        <v>0</v>
      </c>
      <c r="I467">
        <v>0</v>
      </c>
      <c r="J467">
        <v>5</v>
      </c>
      <c r="K467">
        <v>500</v>
      </c>
      <c r="L467">
        <v>0</v>
      </c>
      <c r="M467">
        <v>0</v>
      </c>
      <c r="N467">
        <v>0</v>
      </c>
      <c r="O467">
        <v>0</v>
      </c>
      <c r="P467" s="2">
        <f>(H467 + J467) - (L467 + N467)</f>
        <v>0</v>
      </c>
      <c r="Q467" s="2">
        <f>P467 * G467</f>
        <v>0</v>
      </c>
      <c r="R467">
        <v>2</v>
      </c>
      <c r="S467" s="2">
        <f>R467 * G467</f>
        <v>0</v>
      </c>
      <c r="T467" s="2">
        <f>(H467 + J467) - (L467 + N467) - R467</f>
        <v>0</v>
      </c>
      <c r="U467" s="2">
        <f>T467 * G467</f>
        <v>0</v>
      </c>
      <c r="V467" s="2">
        <f>I467 + K467 - S467</f>
        <v>0</v>
      </c>
      <c r="W467" s="2">
        <f>M467 - V467</f>
        <v>0</v>
      </c>
      <c r="X467" s="2">
        <f>IFERROR(W467 / M467 * 100, 0)</f>
        <v>0</v>
      </c>
    </row>
    <row r="468" spans="1:24">
      <c r="A468" t="s">
        <v>3132</v>
      </c>
      <c r="B468" t="s">
        <v>512</v>
      </c>
      <c r="C468" t="s">
        <v>3625</v>
      </c>
      <c r="D468" t="s">
        <v>1008</v>
      </c>
      <c r="E468" t="s">
        <v>3652</v>
      </c>
      <c r="F468" t="s">
        <v>4120</v>
      </c>
      <c r="G468">
        <v>58.42</v>
      </c>
      <c r="H468">
        <v>3</v>
      </c>
      <c r="I468">
        <v>175.25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 s="2">
        <f>(H468 + J468) - (L468 + N468)</f>
        <v>0</v>
      </c>
      <c r="Q468" s="2">
        <f>P468 * G468</f>
        <v>0</v>
      </c>
      <c r="R468">
        <v>5</v>
      </c>
      <c r="S468" s="2">
        <f>R468 * G468</f>
        <v>0</v>
      </c>
      <c r="T468" s="2">
        <f>(H468 + J468) - (L468 + N468) - R468</f>
        <v>0</v>
      </c>
      <c r="U468" s="2">
        <f>T468 * G468</f>
        <v>0</v>
      </c>
      <c r="V468" s="2">
        <f>I468 + K468 - S468</f>
        <v>0</v>
      </c>
      <c r="W468" s="2">
        <f>M468 - V468</f>
        <v>0</v>
      </c>
      <c r="X468" s="2">
        <f>IFERROR(W468 / M468 * 100, 0)</f>
        <v>0</v>
      </c>
    </row>
    <row r="469" spans="1:24">
      <c r="A469" t="s">
        <v>3133</v>
      </c>
      <c r="B469" t="s">
        <v>512</v>
      </c>
      <c r="C469" t="s">
        <v>3626</v>
      </c>
      <c r="D469" t="s">
        <v>1007</v>
      </c>
      <c r="E469" t="s">
        <v>3652</v>
      </c>
      <c r="F469" t="s">
        <v>3670</v>
      </c>
      <c r="G469">
        <v>32.98</v>
      </c>
      <c r="H469">
        <v>5</v>
      </c>
      <c r="I469">
        <v>164.88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 s="2">
        <f>(H469 + J469) - (L469 + N469)</f>
        <v>0</v>
      </c>
      <c r="Q469" s="2">
        <f>P469 * G469</f>
        <v>0</v>
      </c>
      <c r="R469">
        <v>5</v>
      </c>
      <c r="S469" s="2">
        <f>R469 * G469</f>
        <v>0</v>
      </c>
      <c r="T469" s="2">
        <f>(H469 + J469) - (L469 + N469) - R469</f>
        <v>0</v>
      </c>
      <c r="U469" s="2">
        <f>T469 * G469</f>
        <v>0</v>
      </c>
      <c r="V469" s="2">
        <f>I469 + K469 - S469</f>
        <v>0</v>
      </c>
      <c r="W469" s="2">
        <f>M469 - V469</f>
        <v>0</v>
      </c>
      <c r="X469" s="2">
        <f>IFERROR(W469 / M469 * 100, 0)</f>
        <v>0</v>
      </c>
    </row>
    <row r="470" spans="1:24">
      <c r="A470" t="s">
        <v>3134</v>
      </c>
      <c r="B470" t="s">
        <v>512</v>
      </c>
      <c r="C470" t="s">
        <v>3627</v>
      </c>
      <c r="D470" t="s">
        <v>1007</v>
      </c>
      <c r="E470" t="s">
        <v>3652</v>
      </c>
      <c r="F470" t="s">
        <v>4121</v>
      </c>
      <c r="G470">
        <v>26.85</v>
      </c>
      <c r="H470">
        <v>0</v>
      </c>
      <c r="I470">
        <v>0</v>
      </c>
      <c r="J470">
        <v>0.11</v>
      </c>
      <c r="K470">
        <v>2.98</v>
      </c>
      <c r="L470">
        <v>0</v>
      </c>
      <c r="M470">
        <v>0</v>
      </c>
      <c r="N470">
        <v>0</v>
      </c>
      <c r="O470">
        <v>0</v>
      </c>
      <c r="P470" s="2">
        <f>(H470 + J470) - (L470 + N470)</f>
        <v>0</v>
      </c>
      <c r="Q470" s="2">
        <f>P470 * G470</f>
        <v>0</v>
      </c>
      <c r="R470">
        <v>0</v>
      </c>
      <c r="S470" s="2">
        <f>R470 * G470</f>
        <v>0</v>
      </c>
      <c r="T470" s="2">
        <f>(H470 + J470) - (L470 + N470) - R470</f>
        <v>0</v>
      </c>
      <c r="U470" s="2">
        <f>T470 * G470</f>
        <v>0</v>
      </c>
      <c r="V470" s="2">
        <f>I470 + K470 - S470</f>
        <v>0</v>
      </c>
      <c r="W470" s="2">
        <f>M470 - V470</f>
        <v>0</v>
      </c>
      <c r="X470" s="2">
        <f>IFERROR(W470 / M470 * 100, 0)</f>
        <v>0</v>
      </c>
    </row>
    <row r="471" spans="1:24">
      <c r="A471" t="s">
        <v>3135</v>
      </c>
      <c r="B471" t="s">
        <v>512</v>
      </c>
      <c r="C471" t="s">
        <v>3628</v>
      </c>
      <c r="D471" t="s">
        <v>1007</v>
      </c>
      <c r="E471" t="s">
        <v>3652</v>
      </c>
      <c r="F471" t="s">
        <v>4122</v>
      </c>
      <c r="G471">
        <v>11</v>
      </c>
      <c r="H471">
        <v>15</v>
      </c>
      <c r="I471">
        <v>165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 s="2">
        <f>(H471 + J471) - (L471 + N471)</f>
        <v>0</v>
      </c>
      <c r="Q471" s="2">
        <f>P471 * G471</f>
        <v>0</v>
      </c>
      <c r="R471">
        <v>5</v>
      </c>
      <c r="S471" s="2">
        <f>R471 * G471</f>
        <v>0</v>
      </c>
      <c r="T471" s="2">
        <f>(H471 + J471) - (L471 + N471) - R471</f>
        <v>0</v>
      </c>
      <c r="U471" s="2">
        <f>T471 * G471</f>
        <v>0</v>
      </c>
      <c r="V471" s="2">
        <f>I471 + K471 - S471</f>
        <v>0</v>
      </c>
      <c r="W471" s="2">
        <f>M471 - V471</f>
        <v>0</v>
      </c>
      <c r="X471" s="2">
        <f>IFERROR(W471 / M471 * 100, 0)</f>
        <v>0</v>
      </c>
    </row>
    <row r="472" spans="1:24">
      <c r="A472" t="s">
        <v>3136</v>
      </c>
      <c r="B472" t="s">
        <v>512</v>
      </c>
      <c r="C472" t="s">
        <v>3629</v>
      </c>
      <c r="D472" t="s">
        <v>1007</v>
      </c>
      <c r="E472" t="s">
        <v>3652</v>
      </c>
      <c r="F472" t="s">
        <v>4123</v>
      </c>
      <c r="G472">
        <v>56.35</v>
      </c>
      <c r="H472">
        <v>0</v>
      </c>
      <c r="I472">
        <v>0</v>
      </c>
      <c r="J472">
        <v>0.3</v>
      </c>
      <c r="K472">
        <v>18.54</v>
      </c>
      <c r="L472">
        <v>0</v>
      </c>
      <c r="M472">
        <v>0</v>
      </c>
      <c r="N472">
        <v>0</v>
      </c>
      <c r="O472">
        <v>0</v>
      </c>
      <c r="P472" s="2">
        <f>(H472 + J472) - (L472 + N472)</f>
        <v>0</v>
      </c>
      <c r="Q472" s="2">
        <f>P472 * G472</f>
        <v>0</v>
      </c>
      <c r="R472">
        <v>0</v>
      </c>
      <c r="S472" s="2">
        <f>R472 * G472</f>
        <v>0</v>
      </c>
      <c r="T472" s="2">
        <f>(H472 + J472) - (L472 + N472) - R472</f>
        <v>0</v>
      </c>
      <c r="U472" s="2">
        <f>T472 * G472</f>
        <v>0</v>
      </c>
      <c r="V472" s="2">
        <f>I472 + K472 - S472</f>
        <v>0</v>
      </c>
      <c r="W472" s="2">
        <f>M472 - V472</f>
        <v>0</v>
      </c>
      <c r="X472" s="2">
        <f>IFERROR(W472 / M472 * 100, 0)</f>
        <v>0</v>
      </c>
    </row>
    <row r="473" spans="1:24">
      <c r="A473" t="s">
        <v>3137</v>
      </c>
      <c r="B473" t="s">
        <v>512</v>
      </c>
      <c r="C473" t="s">
        <v>3630</v>
      </c>
      <c r="D473" t="s">
        <v>1007</v>
      </c>
      <c r="E473" t="s">
        <v>3652</v>
      </c>
      <c r="F473" t="s">
        <v>4124</v>
      </c>
      <c r="G473">
        <v>6.31</v>
      </c>
      <c r="H473">
        <v>0</v>
      </c>
      <c r="I473">
        <v>0</v>
      </c>
      <c r="J473">
        <v>0.59</v>
      </c>
      <c r="K473">
        <v>2.83</v>
      </c>
      <c r="L473">
        <v>0</v>
      </c>
      <c r="M473">
        <v>0</v>
      </c>
      <c r="N473">
        <v>0</v>
      </c>
      <c r="O473">
        <v>0</v>
      </c>
      <c r="P473" s="2">
        <f>(H473 + J473) - (L473 + N473)</f>
        <v>0</v>
      </c>
      <c r="Q473" s="2">
        <f>P473 * G473</f>
        <v>0</v>
      </c>
      <c r="R473">
        <v>0</v>
      </c>
      <c r="S473" s="2">
        <f>R473 * G473</f>
        <v>0</v>
      </c>
      <c r="T473" s="2">
        <f>(H473 + J473) - (L473 + N473) - R473</f>
        <v>0</v>
      </c>
      <c r="U473" s="2">
        <f>T473 * G473</f>
        <v>0</v>
      </c>
      <c r="V473" s="2">
        <f>I473 + K473 - S473</f>
        <v>0</v>
      </c>
      <c r="W473" s="2">
        <f>M473 - V473</f>
        <v>0</v>
      </c>
      <c r="X473" s="2">
        <f>IFERROR(W473 / M473 * 100, 0)</f>
        <v>0</v>
      </c>
    </row>
    <row r="474" spans="1:24">
      <c r="A474" t="s">
        <v>3138</v>
      </c>
      <c r="B474" t="s">
        <v>512</v>
      </c>
      <c r="C474" t="s">
        <v>3631</v>
      </c>
      <c r="D474" t="s">
        <v>1007</v>
      </c>
      <c r="E474" t="s">
        <v>3652</v>
      </c>
      <c r="F474" t="s">
        <v>4125</v>
      </c>
      <c r="G474">
        <v>287.5</v>
      </c>
      <c r="H474">
        <v>0</v>
      </c>
      <c r="I474">
        <v>0</v>
      </c>
      <c r="J474">
        <v>0.26</v>
      </c>
      <c r="K474">
        <v>74.75</v>
      </c>
      <c r="L474">
        <v>0</v>
      </c>
      <c r="M474">
        <v>0</v>
      </c>
      <c r="N474">
        <v>0</v>
      </c>
      <c r="O474">
        <v>0</v>
      </c>
      <c r="P474" s="2">
        <f>(H474 + J474) - (L474 + N474)</f>
        <v>0</v>
      </c>
      <c r="Q474" s="2">
        <f>P474 * G474</f>
        <v>0</v>
      </c>
      <c r="R474">
        <v>0</v>
      </c>
      <c r="S474" s="2">
        <f>R474 * G474</f>
        <v>0</v>
      </c>
      <c r="T474" s="2">
        <f>(H474 + J474) - (L474 + N474) - R474</f>
        <v>0</v>
      </c>
      <c r="U474" s="2">
        <f>T474 * G474</f>
        <v>0</v>
      </c>
      <c r="V474" s="2">
        <f>I474 + K474 - S474</f>
        <v>0</v>
      </c>
      <c r="W474" s="2">
        <f>M474 - V474</f>
        <v>0</v>
      </c>
      <c r="X474" s="2">
        <f>IFERROR(W474 / M474 * 100, 0)</f>
        <v>0</v>
      </c>
    </row>
    <row r="475" spans="1:24">
      <c r="A475" t="s">
        <v>3139</v>
      </c>
      <c r="B475" t="s">
        <v>513</v>
      </c>
      <c r="C475" t="s">
        <v>3632</v>
      </c>
      <c r="D475" t="s">
        <v>1007</v>
      </c>
      <c r="E475" t="s">
        <v>3652</v>
      </c>
      <c r="F475" t="s">
        <v>4126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13.9</v>
      </c>
      <c r="M475">
        <v>834</v>
      </c>
      <c r="N475">
        <v>0</v>
      </c>
      <c r="O475">
        <v>0</v>
      </c>
      <c r="P475" s="2">
        <f>(H475 + J475) - (L475 + N475)</f>
        <v>0</v>
      </c>
      <c r="Q475" s="2">
        <f>P475 * G475</f>
        <v>0</v>
      </c>
      <c r="R475">
        <v>0</v>
      </c>
      <c r="S475" s="2">
        <f>R475 * G475</f>
        <v>0</v>
      </c>
      <c r="T475" s="2">
        <f>(H475 + J475) - (L475 + N475) - R475</f>
        <v>0</v>
      </c>
      <c r="U475" s="2">
        <f>T475 * G475</f>
        <v>0</v>
      </c>
      <c r="V475" s="2">
        <f>I475 + K475 - S475</f>
        <v>0</v>
      </c>
      <c r="W475" s="2">
        <f>M475 - V475</f>
        <v>0</v>
      </c>
      <c r="X475" s="2">
        <f>IFERROR(W475 / M475 * 100, 0)</f>
        <v>0</v>
      </c>
    </row>
    <row r="476" spans="1:24">
      <c r="A476" t="s">
        <v>3140</v>
      </c>
      <c r="B476" t="s">
        <v>513</v>
      </c>
      <c r="C476" t="s">
        <v>3633</v>
      </c>
      <c r="D476" t="s">
        <v>1007</v>
      </c>
      <c r="E476" t="s">
        <v>3652</v>
      </c>
      <c r="F476" t="s">
        <v>4127</v>
      </c>
      <c r="G476">
        <v>7.88</v>
      </c>
      <c r="H476">
        <v>0</v>
      </c>
      <c r="I476">
        <v>0</v>
      </c>
      <c r="J476">
        <v>17.4</v>
      </c>
      <c r="K476">
        <v>140.59</v>
      </c>
      <c r="L476">
        <v>14.35</v>
      </c>
      <c r="M476">
        <v>487.9</v>
      </c>
      <c r="N476">
        <v>2.7</v>
      </c>
      <c r="O476">
        <v>21.9</v>
      </c>
      <c r="P476" s="2">
        <f>(H476 + J476) - (L476 + N476)</f>
        <v>0</v>
      </c>
      <c r="Q476" s="2">
        <f>P476 * G476</f>
        <v>0</v>
      </c>
      <c r="R476">
        <v>0</v>
      </c>
      <c r="S476" s="2">
        <f>R476 * G476</f>
        <v>0</v>
      </c>
      <c r="T476" s="2">
        <f>(H476 + J476) - (L476 + N476) - R476</f>
        <v>0</v>
      </c>
      <c r="U476" s="2">
        <f>T476 * G476</f>
        <v>0</v>
      </c>
      <c r="V476" s="2">
        <f>I476 + K476 - S476</f>
        <v>0</v>
      </c>
      <c r="W476" s="2">
        <f>M476 - V476</f>
        <v>0</v>
      </c>
      <c r="X476" s="2">
        <f>IFERROR(W476 / M476 * 100, 0)</f>
        <v>0</v>
      </c>
    </row>
    <row r="477" spans="1:24">
      <c r="A477" t="s">
        <v>3141</v>
      </c>
      <c r="B477" t="s">
        <v>513</v>
      </c>
      <c r="C477" t="s">
        <v>3634</v>
      </c>
      <c r="D477" t="s">
        <v>1007</v>
      </c>
      <c r="E477" t="s">
        <v>3652</v>
      </c>
      <c r="F477" t="s">
        <v>4128</v>
      </c>
      <c r="G477">
        <v>11.77</v>
      </c>
      <c r="H477">
        <v>0</v>
      </c>
      <c r="I477">
        <v>0</v>
      </c>
      <c r="J477">
        <v>2.9</v>
      </c>
      <c r="K477">
        <v>34.13</v>
      </c>
      <c r="L477">
        <v>1.5</v>
      </c>
      <c r="M477">
        <v>53.82</v>
      </c>
      <c r="N477">
        <v>0</v>
      </c>
      <c r="O477">
        <v>0</v>
      </c>
      <c r="P477" s="2">
        <f>(H477 + J477) - (L477 + N477)</f>
        <v>0</v>
      </c>
      <c r="Q477" s="2">
        <f>P477 * G477</f>
        <v>0</v>
      </c>
      <c r="R477">
        <v>0</v>
      </c>
      <c r="S477" s="2">
        <f>R477 * G477</f>
        <v>0</v>
      </c>
      <c r="T477" s="2">
        <f>(H477 + J477) - (L477 + N477) - R477</f>
        <v>0</v>
      </c>
      <c r="U477" s="2">
        <f>T477 * G477</f>
        <v>0</v>
      </c>
      <c r="V477" s="2">
        <f>I477 + K477 - S477</f>
        <v>0</v>
      </c>
      <c r="W477" s="2">
        <f>M477 - V477</f>
        <v>0</v>
      </c>
      <c r="X477" s="2">
        <f>IFERROR(W477 / M477 * 100, 0)</f>
        <v>0</v>
      </c>
    </row>
    <row r="478" spans="1:24">
      <c r="A478" t="s">
        <v>3142</v>
      </c>
      <c r="B478" t="s">
        <v>513</v>
      </c>
      <c r="C478" t="s">
        <v>3635</v>
      </c>
      <c r="D478" t="s">
        <v>1007</v>
      </c>
      <c r="E478" t="s">
        <v>3652</v>
      </c>
      <c r="F478" t="s">
        <v>4129</v>
      </c>
      <c r="G478">
        <v>14.45</v>
      </c>
      <c r="H478">
        <v>5</v>
      </c>
      <c r="I478">
        <v>68.45</v>
      </c>
      <c r="J478">
        <v>18.96</v>
      </c>
      <c r="K478">
        <v>246.48</v>
      </c>
      <c r="L478">
        <v>16.59</v>
      </c>
      <c r="M478">
        <v>912.67</v>
      </c>
      <c r="N478">
        <v>0</v>
      </c>
      <c r="O478">
        <v>0</v>
      </c>
      <c r="P478" s="2">
        <f>(H478 + J478) - (L478 + N478)</f>
        <v>0</v>
      </c>
      <c r="Q478" s="2">
        <f>P478 * G478</f>
        <v>0</v>
      </c>
      <c r="R478">
        <v>4</v>
      </c>
      <c r="S478" s="2">
        <f>R478 * G478</f>
        <v>0</v>
      </c>
      <c r="T478" s="2">
        <f>(H478 + J478) - (L478 + N478) - R478</f>
        <v>0</v>
      </c>
      <c r="U478" s="2">
        <f>T478 * G478</f>
        <v>0</v>
      </c>
      <c r="V478" s="2">
        <f>I478 + K478 - S478</f>
        <v>0</v>
      </c>
      <c r="W478" s="2">
        <f>M478 - V478</f>
        <v>0</v>
      </c>
      <c r="X478" s="2">
        <f>IFERROR(W478 / M478 * 100, 0)</f>
        <v>0</v>
      </c>
    </row>
    <row r="479" spans="1:24">
      <c r="A479" t="s">
        <v>3143</v>
      </c>
      <c r="B479" t="s">
        <v>513</v>
      </c>
      <c r="C479" t="s">
        <v>3636</v>
      </c>
      <c r="D479" t="s">
        <v>1007</v>
      </c>
      <c r="E479" t="s">
        <v>3652</v>
      </c>
      <c r="F479" t="s">
        <v>4130</v>
      </c>
      <c r="G479">
        <v>3.18</v>
      </c>
      <c r="H479">
        <v>14</v>
      </c>
      <c r="I479">
        <v>44.43</v>
      </c>
      <c r="J479">
        <v>48.38</v>
      </c>
      <c r="K479">
        <v>153.72</v>
      </c>
      <c r="L479">
        <v>9.050000000000001</v>
      </c>
      <c r="M479">
        <v>181</v>
      </c>
      <c r="N479">
        <v>2</v>
      </c>
      <c r="O479">
        <v>6.35</v>
      </c>
      <c r="P479" s="2">
        <f>(H479 + J479) - (L479 + N479)</f>
        <v>0</v>
      </c>
      <c r="Q479" s="2">
        <f>P479 * G479</f>
        <v>0</v>
      </c>
      <c r="R479">
        <v>14</v>
      </c>
      <c r="S479" s="2">
        <f>R479 * G479</f>
        <v>0</v>
      </c>
      <c r="T479" s="2">
        <f>(H479 + J479) - (L479 + N479) - R479</f>
        <v>0</v>
      </c>
      <c r="U479" s="2">
        <f>T479 * G479</f>
        <v>0</v>
      </c>
      <c r="V479" s="2">
        <f>I479 + K479 - S479</f>
        <v>0</v>
      </c>
      <c r="W479" s="2">
        <f>M479 - V479</f>
        <v>0</v>
      </c>
      <c r="X479" s="2">
        <f>IFERROR(W479 / M479 * 100, 0)</f>
        <v>0</v>
      </c>
    </row>
    <row r="480" spans="1:24">
      <c r="A480" t="s">
        <v>3144</v>
      </c>
      <c r="B480" t="s">
        <v>512</v>
      </c>
      <c r="C480" t="s">
        <v>3637</v>
      </c>
      <c r="D480" t="s">
        <v>1008</v>
      </c>
      <c r="E480" t="s">
        <v>3652</v>
      </c>
      <c r="F480" t="s">
        <v>4131</v>
      </c>
      <c r="G480">
        <v>117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 s="2">
        <f>(H480 + J480) - (L480 + N480)</f>
        <v>0</v>
      </c>
      <c r="Q480" s="2">
        <f>P480 * G480</f>
        <v>0</v>
      </c>
      <c r="R480">
        <v>1</v>
      </c>
      <c r="S480" s="2">
        <f>R480 * G480</f>
        <v>0</v>
      </c>
      <c r="T480" s="2">
        <f>(H480 + J480) - (L480 + N480) - R480</f>
        <v>0</v>
      </c>
      <c r="U480" s="2">
        <f>T480 * G480</f>
        <v>0</v>
      </c>
      <c r="V480" s="2">
        <f>I480 + K480 - S480</f>
        <v>0</v>
      </c>
      <c r="W480" s="2">
        <f>M480 - V480</f>
        <v>0</v>
      </c>
      <c r="X480" s="2">
        <f>IFERROR(W480 / M480 * 100, 0)</f>
        <v>0</v>
      </c>
    </row>
    <row r="481" spans="1:24">
      <c r="A481" t="s">
        <v>3145</v>
      </c>
      <c r="B481" t="s">
        <v>513</v>
      </c>
      <c r="C481" t="s">
        <v>3638</v>
      </c>
      <c r="D481" t="s">
        <v>1008</v>
      </c>
      <c r="E481" t="s">
        <v>3652</v>
      </c>
      <c r="F481" t="s">
        <v>4132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</v>
      </c>
      <c r="M481">
        <v>20</v>
      </c>
      <c r="N481">
        <v>0</v>
      </c>
      <c r="O481">
        <v>0</v>
      </c>
      <c r="P481" s="2">
        <f>(H481 + J481) - (L481 + N481)</f>
        <v>0</v>
      </c>
      <c r="Q481" s="2">
        <f>P481 * G481</f>
        <v>0</v>
      </c>
      <c r="R481">
        <v>0</v>
      </c>
      <c r="S481" s="2">
        <f>R481 * G481</f>
        <v>0</v>
      </c>
      <c r="T481" s="2">
        <f>(H481 + J481) - (L481 + N481) - R481</f>
        <v>0</v>
      </c>
      <c r="U481" s="2">
        <f>T481 * G481</f>
        <v>0</v>
      </c>
      <c r="V481" s="2">
        <f>I481 + K481 - S481</f>
        <v>0</v>
      </c>
      <c r="W481" s="2">
        <f>M481 - V481</f>
        <v>0</v>
      </c>
      <c r="X481" s="2">
        <f>IFERROR(W481 / M481 * 100, 0)</f>
        <v>0</v>
      </c>
    </row>
    <row r="482" spans="1:24">
      <c r="A482" t="s">
        <v>3146</v>
      </c>
      <c r="B482" t="s">
        <v>513</v>
      </c>
      <c r="C482" t="s">
        <v>3639</v>
      </c>
      <c r="D482" t="s">
        <v>1008</v>
      </c>
      <c r="E482" t="s">
        <v>3652</v>
      </c>
      <c r="F482" t="s">
        <v>4133</v>
      </c>
      <c r="G482">
        <v>2.25</v>
      </c>
      <c r="H482">
        <v>0</v>
      </c>
      <c r="I482">
        <v>0</v>
      </c>
      <c r="J482">
        <v>214</v>
      </c>
      <c r="K482">
        <v>484.31</v>
      </c>
      <c r="L482">
        <v>154</v>
      </c>
      <c r="M482">
        <v>1386</v>
      </c>
      <c r="N482">
        <v>3</v>
      </c>
      <c r="O482">
        <v>6.75</v>
      </c>
      <c r="P482" s="2">
        <f>(H482 + J482) - (L482 + N482)</f>
        <v>0</v>
      </c>
      <c r="Q482" s="2">
        <f>P482 * G482</f>
        <v>0</v>
      </c>
      <c r="R482">
        <v>0</v>
      </c>
      <c r="S482" s="2">
        <f>R482 * G482</f>
        <v>0</v>
      </c>
      <c r="T482" s="2">
        <f>(H482 + J482) - (L482 + N482) - R482</f>
        <v>0</v>
      </c>
      <c r="U482" s="2">
        <f>T482 * G482</f>
        <v>0</v>
      </c>
      <c r="V482" s="2">
        <f>I482 + K482 - S482</f>
        <v>0</v>
      </c>
      <c r="W482" s="2">
        <f>M482 - V482</f>
        <v>0</v>
      </c>
      <c r="X482" s="2">
        <f>IFERROR(W482 / M482 * 100, 0)</f>
        <v>0</v>
      </c>
    </row>
    <row r="483" spans="1:24">
      <c r="A483" t="s">
        <v>3147</v>
      </c>
      <c r="B483" t="s">
        <v>513</v>
      </c>
      <c r="C483" t="s">
        <v>3640</v>
      </c>
      <c r="D483" t="s">
        <v>1008</v>
      </c>
      <c r="E483" t="s">
        <v>3652</v>
      </c>
      <c r="F483" t="s">
        <v>4134</v>
      </c>
      <c r="G483">
        <v>1.22</v>
      </c>
      <c r="H483">
        <v>0</v>
      </c>
      <c r="I483">
        <v>0</v>
      </c>
      <c r="J483">
        <v>108</v>
      </c>
      <c r="K483">
        <v>139.77</v>
      </c>
      <c r="L483">
        <v>111</v>
      </c>
      <c r="M483">
        <v>249.75</v>
      </c>
      <c r="N483">
        <v>0</v>
      </c>
      <c r="O483">
        <v>0</v>
      </c>
      <c r="P483" s="2">
        <f>(H483 + J483) - (L483 + N483)</f>
        <v>0</v>
      </c>
      <c r="Q483" s="2">
        <f>P483 * G483</f>
        <v>0</v>
      </c>
      <c r="R483">
        <v>0</v>
      </c>
      <c r="S483" s="2">
        <f>R483 * G483</f>
        <v>0</v>
      </c>
      <c r="T483" s="2">
        <f>(H483 + J483) - (L483 + N483) - R483</f>
        <v>0</v>
      </c>
      <c r="U483" s="2">
        <f>T483 * G483</f>
        <v>0</v>
      </c>
      <c r="V483" s="2">
        <f>I483 + K483 - S483</f>
        <v>0</v>
      </c>
      <c r="W483" s="2">
        <f>M483 - V483</f>
        <v>0</v>
      </c>
      <c r="X483" s="2">
        <f>IFERROR(W483 / M483 * 100, 0)</f>
        <v>0</v>
      </c>
    </row>
    <row r="484" spans="1:24">
      <c r="A484" t="s">
        <v>3148</v>
      </c>
      <c r="B484" t="s">
        <v>512</v>
      </c>
      <c r="C484" t="s">
        <v>3641</v>
      </c>
      <c r="D484" t="s">
        <v>1008</v>
      </c>
      <c r="E484" t="s">
        <v>3652</v>
      </c>
      <c r="F484" t="s">
        <v>4135</v>
      </c>
      <c r="G484">
        <v>44</v>
      </c>
      <c r="H484">
        <v>0</v>
      </c>
      <c r="I484">
        <v>0</v>
      </c>
      <c r="J484">
        <v>24</v>
      </c>
      <c r="K484">
        <v>1056</v>
      </c>
      <c r="L484">
        <v>0</v>
      </c>
      <c r="M484">
        <v>0</v>
      </c>
      <c r="N484">
        <v>0</v>
      </c>
      <c r="O484">
        <v>0</v>
      </c>
      <c r="P484" s="2">
        <f>(H484 + J484) - (L484 + N484)</f>
        <v>0</v>
      </c>
      <c r="Q484" s="2">
        <f>P484 * G484</f>
        <v>0</v>
      </c>
      <c r="R484">
        <v>0</v>
      </c>
      <c r="S484" s="2">
        <f>R484 * G484</f>
        <v>0</v>
      </c>
      <c r="T484" s="2">
        <f>(H484 + J484) - (L484 + N484) - R484</f>
        <v>0</v>
      </c>
      <c r="U484" s="2">
        <f>T484 * G484</f>
        <v>0</v>
      </c>
      <c r="V484" s="2">
        <f>I484 + K484 - S484</f>
        <v>0</v>
      </c>
      <c r="W484" s="2">
        <f>M484 - V484</f>
        <v>0</v>
      </c>
      <c r="X484" s="2">
        <f>IFERROR(W484 / M484 * 100, 0)</f>
        <v>0</v>
      </c>
    </row>
    <row r="485" spans="1:24">
      <c r="A485" t="s">
        <v>3149</v>
      </c>
      <c r="B485" t="s">
        <v>512</v>
      </c>
      <c r="C485" t="s">
        <v>3642</v>
      </c>
      <c r="D485" t="s">
        <v>1008</v>
      </c>
      <c r="E485" t="s">
        <v>3652</v>
      </c>
      <c r="F485" t="s">
        <v>4136</v>
      </c>
      <c r="G485">
        <v>44</v>
      </c>
      <c r="H485">
        <v>0</v>
      </c>
      <c r="I485">
        <v>0</v>
      </c>
      <c r="J485">
        <v>12</v>
      </c>
      <c r="K485">
        <v>528</v>
      </c>
      <c r="L485">
        <v>0</v>
      </c>
      <c r="M485">
        <v>0</v>
      </c>
      <c r="N485">
        <v>0</v>
      </c>
      <c r="O485">
        <v>0</v>
      </c>
      <c r="P485" s="2">
        <f>(H485 + J485) - (L485 + N485)</f>
        <v>0</v>
      </c>
      <c r="Q485" s="2">
        <f>P485 * G485</f>
        <v>0</v>
      </c>
      <c r="R485">
        <v>0</v>
      </c>
      <c r="S485" s="2">
        <f>R485 * G485</f>
        <v>0</v>
      </c>
      <c r="T485" s="2">
        <f>(H485 + J485) - (L485 + N485) - R485</f>
        <v>0</v>
      </c>
      <c r="U485" s="2">
        <f>T485 * G485</f>
        <v>0</v>
      </c>
      <c r="V485" s="2">
        <f>I485 + K485 - S485</f>
        <v>0</v>
      </c>
      <c r="W485" s="2">
        <f>M485 - V485</f>
        <v>0</v>
      </c>
      <c r="X485" s="2">
        <f>IFERROR(W485 / M485 * 100, 0)</f>
        <v>0</v>
      </c>
    </row>
    <row r="486" spans="1:24">
      <c r="A486" t="s">
        <v>3150</v>
      </c>
      <c r="B486" t="s">
        <v>512</v>
      </c>
      <c r="C486" t="s">
        <v>3643</v>
      </c>
      <c r="D486" t="s">
        <v>1008</v>
      </c>
      <c r="E486" t="s">
        <v>3652</v>
      </c>
      <c r="F486" t="s">
        <v>4137</v>
      </c>
      <c r="G486">
        <v>200</v>
      </c>
      <c r="H486">
        <v>0</v>
      </c>
      <c r="I486">
        <v>0</v>
      </c>
      <c r="J486">
        <v>2</v>
      </c>
      <c r="K486">
        <v>400</v>
      </c>
      <c r="L486">
        <v>0</v>
      </c>
      <c r="M486">
        <v>0</v>
      </c>
      <c r="N486">
        <v>0</v>
      </c>
      <c r="O486">
        <v>0</v>
      </c>
      <c r="P486" s="2">
        <f>(H486 + J486) - (L486 + N486)</f>
        <v>0</v>
      </c>
      <c r="Q486" s="2">
        <f>P486 * G486</f>
        <v>0</v>
      </c>
      <c r="R486">
        <v>0</v>
      </c>
      <c r="S486" s="2">
        <f>R486 * G486</f>
        <v>0</v>
      </c>
      <c r="T486" s="2">
        <f>(H486 + J486) - (L486 + N486) - R486</f>
        <v>0</v>
      </c>
      <c r="U486" s="2">
        <f>T486 * G486</f>
        <v>0</v>
      </c>
      <c r="V486" s="2">
        <f>I486 + K486 - S486</f>
        <v>0</v>
      </c>
      <c r="W486" s="2">
        <f>M486 - V486</f>
        <v>0</v>
      </c>
      <c r="X486" s="2">
        <f>IFERROR(W486 / M486 * 100, 0)</f>
        <v>0</v>
      </c>
    </row>
    <row r="487" spans="1:24">
      <c r="A487" t="s">
        <v>3151</v>
      </c>
      <c r="B487" t="s">
        <v>512</v>
      </c>
      <c r="C487" t="s">
        <v>3644</v>
      </c>
      <c r="D487" t="s">
        <v>1008</v>
      </c>
      <c r="E487" t="s">
        <v>3653</v>
      </c>
      <c r="F487" t="s">
        <v>4138</v>
      </c>
      <c r="G487">
        <v>0.5</v>
      </c>
      <c r="H487">
        <v>320</v>
      </c>
      <c r="I487">
        <v>160</v>
      </c>
      <c r="J487">
        <v>500</v>
      </c>
      <c r="K487">
        <v>250</v>
      </c>
      <c r="L487">
        <v>387</v>
      </c>
      <c r="M487">
        <v>387</v>
      </c>
      <c r="N487">
        <v>77</v>
      </c>
      <c r="O487">
        <v>38.5</v>
      </c>
      <c r="P487" s="2">
        <f>(H487 + J487) - (L487 + N487)</f>
        <v>0</v>
      </c>
      <c r="Q487" s="2">
        <f>P487 * G487</f>
        <v>0</v>
      </c>
      <c r="R487">
        <v>0</v>
      </c>
      <c r="S487" s="2">
        <f>R487 * G487</f>
        <v>0</v>
      </c>
      <c r="T487" s="2">
        <f>(H487 + J487) - (L487 + N487) - R487</f>
        <v>0</v>
      </c>
      <c r="U487" s="2">
        <f>T487 * G487</f>
        <v>0</v>
      </c>
      <c r="V487" s="2">
        <f>I487 + K487 - S487</f>
        <v>0</v>
      </c>
      <c r="W487" s="2">
        <f>M487 - V487</f>
        <v>0</v>
      </c>
      <c r="X487" s="2">
        <f>IFERROR(W487 / M487 * 100, 0)</f>
        <v>0</v>
      </c>
    </row>
    <row r="488" spans="1:24">
      <c r="A488" t="s">
        <v>3152</v>
      </c>
      <c r="B488" t="s">
        <v>512</v>
      </c>
      <c r="C488" t="s">
        <v>3645</v>
      </c>
      <c r="D488" t="s">
        <v>1007</v>
      </c>
      <c r="E488" t="s">
        <v>3653</v>
      </c>
      <c r="F488" t="s">
        <v>4139</v>
      </c>
      <c r="G488">
        <v>12</v>
      </c>
      <c r="H488">
        <v>0</v>
      </c>
      <c r="I488">
        <v>0</v>
      </c>
      <c r="J488">
        <v>100</v>
      </c>
      <c r="K488">
        <v>1200</v>
      </c>
      <c r="L488">
        <v>130.92</v>
      </c>
      <c r="M488">
        <v>2618.4</v>
      </c>
      <c r="N488">
        <v>0</v>
      </c>
      <c r="O488">
        <v>0</v>
      </c>
      <c r="P488" s="2">
        <f>(H488 + J488) - (L488 + N488)</f>
        <v>0</v>
      </c>
      <c r="Q488" s="2">
        <f>P488 * G488</f>
        <v>0</v>
      </c>
      <c r="R488">
        <v>109</v>
      </c>
      <c r="S488" s="2">
        <f>R488 * G488</f>
        <v>0</v>
      </c>
      <c r="T488" s="2">
        <f>(H488 + J488) - (L488 + N488) - R488</f>
        <v>0</v>
      </c>
      <c r="U488" s="2">
        <f>T488 * G488</f>
        <v>0</v>
      </c>
      <c r="V488" s="2">
        <f>I488 + K488 - S488</f>
        <v>0</v>
      </c>
      <c r="W488" s="2">
        <f>M488 - V488</f>
        <v>0</v>
      </c>
      <c r="X488" s="2">
        <f>IFERROR(W488 / M488 * 100, 0)</f>
        <v>0</v>
      </c>
    </row>
    <row r="489" spans="1:24">
      <c r="A489" t="s">
        <v>3153</v>
      </c>
      <c r="B489" t="s">
        <v>512</v>
      </c>
      <c r="C489" t="s">
        <v>3646</v>
      </c>
      <c r="D489" t="s">
        <v>1008</v>
      </c>
      <c r="E489" t="s">
        <v>3653</v>
      </c>
      <c r="F489" t="s">
        <v>4140</v>
      </c>
      <c r="G489">
        <v>0.5</v>
      </c>
      <c r="H489">
        <v>1200</v>
      </c>
      <c r="I489">
        <v>600</v>
      </c>
      <c r="J489">
        <v>2763</v>
      </c>
      <c r="K489">
        <v>1342.1</v>
      </c>
      <c r="L489">
        <v>2681</v>
      </c>
      <c r="M489">
        <v>2681</v>
      </c>
      <c r="N489">
        <v>142</v>
      </c>
      <c r="O489">
        <v>71</v>
      </c>
      <c r="P489" s="2">
        <f>(H489 + J489) - (L489 + N489)</f>
        <v>0</v>
      </c>
      <c r="Q489" s="2">
        <f>P489 * G489</f>
        <v>0</v>
      </c>
      <c r="R489">
        <v>1200</v>
      </c>
      <c r="S489" s="2">
        <f>R489 * G489</f>
        <v>0</v>
      </c>
      <c r="T489" s="2">
        <f>(H489 + J489) - (L489 + N489) - R489</f>
        <v>0</v>
      </c>
      <c r="U489" s="2">
        <f>T489 * G489</f>
        <v>0</v>
      </c>
      <c r="V489" s="2">
        <f>I489 + K489 - S489</f>
        <v>0</v>
      </c>
      <c r="W489" s="2">
        <f>M489 - V489</f>
        <v>0</v>
      </c>
      <c r="X489" s="2">
        <f>IFERROR(W489 / M489 * 100, 0)</f>
        <v>0</v>
      </c>
    </row>
    <row r="490" spans="1:24">
      <c r="A490" t="s">
        <v>3154</v>
      </c>
      <c r="B490" t="s">
        <v>512</v>
      </c>
      <c r="C490" t="s">
        <v>3647</v>
      </c>
      <c r="D490" t="s">
        <v>1007</v>
      </c>
      <c r="E490" t="s">
        <v>3653</v>
      </c>
      <c r="F490" t="s">
        <v>4141</v>
      </c>
      <c r="G490">
        <v>15</v>
      </c>
      <c r="H490">
        <v>0</v>
      </c>
      <c r="I490">
        <v>0</v>
      </c>
      <c r="J490">
        <v>0</v>
      </c>
      <c r="K490">
        <v>0</v>
      </c>
      <c r="L490">
        <v>1.13</v>
      </c>
      <c r="M490">
        <v>21.45</v>
      </c>
      <c r="N490">
        <v>0</v>
      </c>
      <c r="O490">
        <v>0</v>
      </c>
      <c r="P490" s="2">
        <f>(H490 + J490) - (L490 + N490)</f>
        <v>0</v>
      </c>
      <c r="Q490" s="2">
        <f>P490 * G490</f>
        <v>0</v>
      </c>
      <c r="R490">
        <v>0</v>
      </c>
      <c r="S490" s="2">
        <f>R490 * G490</f>
        <v>0</v>
      </c>
      <c r="T490" s="2">
        <f>(H490 + J490) - (L490 + N490) - R490</f>
        <v>0</v>
      </c>
      <c r="U490" s="2">
        <f>T490 * G490</f>
        <v>0</v>
      </c>
      <c r="V490" s="2">
        <f>I490 + K490 - S490</f>
        <v>0</v>
      </c>
      <c r="W490" s="2">
        <f>M490 - V490</f>
        <v>0</v>
      </c>
      <c r="X490" s="2">
        <f>IFERROR(W490 / M490 * 100, 0)</f>
        <v>0</v>
      </c>
    </row>
    <row r="491" spans="1:24">
      <c r="A491" t="s">
        <v>3155</v>
      </c>
      <c r="B491" t="s">
        <v>512</v>
      </c>
      <c r="C491" t="s">
        <v>3648</v>
      </c>
      <c r="D491" t="s">
        <v>1008</v>
      </c>
      <c r="E491" t="s">
        <v>3653</v>
      </c>
      <c r="F491" t="s">
        <v>4142</v>
      </c>
      <c r="G491">
        <v>1.9</v>
      </c>
      <c r="H491">
        <v>0</v>
      </c>
      <c r="I491">
        <v>0</v>
      </c>
      <c r="J491">
        <v>369</v>
      </c>
      <c r="K491">
        <v>701.1</v>
      </c>
      <c r="L491">
        <v>381</v>
      </c>
      <c r="M491">
        <v>952.5</v>
      </c>
      <c r="N491">
        <v>0</v>
      </c>
      <c r="O491">
        <v>0</v>
      </c>
      <c r="P491" s="2">
        <f>(H491 + J491) - (L491 + N491)</f>
        <v>0</v>
      </c>
      <c r="Q491" s="2">
        <f>P491 * G491</f>
        <v>0</v>
      </c>
      <c r="R491">
        <v>0</v>
      </c>
      <c r="S491" s="2">
        <f>R491 * G491</f>
        <v>0</v>
      </c>
      <c r="T491" s="2">
        <f>(H491 + J491) - (L491 + N491) - R491</f>
        <v>0</v>
      </c>
      <c r="U491" s="2">
        <f>T491 * G491</f>
        <v>0</v>
      </c>
      <c r="V491" s="2">
        <f>I491 + K491 - S491</f>
        <v>0</v>
      </c>
      <c r="W491" s="2">
        <f>M491 - V491</f>
        <v>0</v>
      </c>
      <c r="X491" s="2">
        <f>IFERROR(W491 / M491 * 100, 0)</f>
        <v>0</v>
      </c>
    </row>
    <row r="492" spans="1:24">
      <c r="A492" t="s">
        <v>3156</v>
      </c>
      <c r="B492" t="s">
        <v>512</v>
      </c>
      <c r="C492" t="s">
        <v>3649</v>
      </c>
      <c r="D492" t="s">
        <v>1008</v>
      </c>
      <c r="E492" t="s">
        <v>3653</v>
      </c>
      <c r="F492" t="s">
        <v>4143</v>
      </c>
      <c r="G492">
        <v>0.18</v>
      </c>
      <c r="H492">
        <v>0</v>
      </c>
      <c r="I492">
        <v>0</v>
      </c>
      <c r="J492">
        <v>1000</v>
      </c>
      <c r="K492">
        <v>180</v>
      </c>
      <c r="L492">
        <v>177</v>
      </c>
      <c r="M492">
        <v>88.5</v>
      </c>
      <c r="N492">
        <v>0</v>
      </c>
      <c r="O492">
        <v>0</v>
      </c>
      <c r="P492" s="2">
        <f>(H492 + J492) - (L492 + N492)</f>
        <v>0</v>
      </c>
      <c r="Q492" s="2">
        <f>P492 * G492</f>
        <v>0</v>
      </c>
      <c r="R492">
        <v>650</v>
      </c>
      <c r="S492" s="2">
        <f>R492 * G492</f>
        <v>0</v>
      </c>
      <c r="T492" s="2">
        <f>(H492 + J492) - (L492 + N492) - R492</f>
        <v>0</v>
      </c>
      <c r="U492" s="2">
        <f>T492 * G492</f>
        <v>0</v>
      </c>
      <c r="V492" s="2">
        <f>I492 + K492 - S492</f>
        <v>0</v>
      </c>
      <c r="W492" s="2">
        <f>M492 - V492</f>
        <v>0</v>
      </c>
      <c r="X492" s="2">
        <f>IFERROR(W492 / M492 * 100, 0)</f>
        <v>0</v>
      </c>
    </row>
    <row r="493" spans="1:24">
      <c r="A493" t="s">
        <v>3157</v>
      </c>
      <c r="B493" t="s">
        <v>512</v>
      </c>
      <c r="C493" t="s">
        <v>3650</v>
      </c>
      <c r="D493" t="s">
        <v>1008</v>
      </c>
      <c r="E493" t="s">
        <v>3653</v>
      </c>
      <c r="F493" t="s">
        <v>4144</v>
      </c>
      <c r="G493">
        <v>0.25</v>
      </c>
      <c r="H493">
        <v>0</v>
      </c>
      <c r="I493">
        <v>0</v>
      </c>
      <c r="J493">
        <v>1000</v>
      </c>
      <c r="K493">
        <v>250</v>
      </c>
      <c r="L493">
        <v>247</v>
      </c>
      <c r="M493">
        <v>123.5</v>
      </c>
      <c r="N493">
        <v>0</v>
      </c>
      <c r="O493">
        <v>0</v>
      </c>
      <c r="P493" s="2">
        <f>(H493 + J493) - (L493 + N493)</f>
        <v>0</v>
      </c>
      <c r="Q493" s="2">
        <f>P493 * G493</f>
        <v>0</v>
      </c>
      <c r="R493">
        <v>650</v>
      </c>
      <c r="S493" s="2">
        <f>R493 * G493</f>
        <v>0</v>
      </c>
      <c r="T493" s="2">
        <f>(H493 + J493) - (L493 + N493) - R493</f>
        <v>0</v>
      </c>
      <c r="U493" s="2">
        <f>T493 * G493</f>
        <v>0</v>
      </c>
      <c r="V493" s="2">
        <f>I493 + K493 - S493</f>
        <v>0</v>
      </c>
      <c r="W493" s="2">
        <f>M493 - V493</f>
        <v>0</v>
      </c>
      <c r="X493" s="2">
        <f>IFERROR(W493 / M493 * 100, 0)</f>
        <v>0</v>
      </c>
    </row>
    <row r="494" spans="1:24">
      <c r="A494" t="s">
        <v>3158</v>
      </c>
      <c r="B494" t="s">
        <v>512</v>
      </c>
      <c r="C494" t="s">
        <v>3651</v>
      </c>
      <c r="D494" t="s">
        <v>1008</v>
      </c>
      <c r="E494" t="s">
        <v>3653</v>
      </c>
      <c r="F494" t="s">
        <v>4145</v>
      </c>
      <c r="G494">
        <v>0.53</v>
      </c>
      <c r="H494">
        <v>600</v>
      </c>
      <c r="I494">
        <v>330</v>
      </c>
      <c r="J494">
        <v>2300</v>
      </c>
      <c r="K494">
        <v>1225</v>
      </c>
      <c r="L494">
        <v>1327</v>
      </c>
      <c r="M494">
        <v>1658.75</v>
      </c>
      <c r="N494">
        <v>104</v>
      </c>
      <c r="O494">
        <v>56.08</v>
      </c>
      <c r="P494" s="2">
        <f>(H494 + J494) - (L494 + N494)</f>
        <v>0</v>
      </c>
      <c r="Q494" s="2">
        <f>P494 * G494</f>
        <v>0</v>
      </c>
      <c r="R494">
        <v>1400</v>
      </c>
      <c r="S494" s="2">
        <f>R494 * G494</f>
        <v>0</v>
      </c>
      <c r="T494" s="2">
        <f>(H494 + J494) - (L494 + N494) - R494</f>
        <v>0</v>
      </c>
      <c r="U494" s="2">
        <f>T494 * G494</f>
        <v>0</v>
      </c>
      <c r="V494" s="2">
        <f>I494 + K494 - S494</f>
        <v>0</v>
      </c>
      <c r="W494" s="2">
        <f>M494 - V494</f>
        <v>0</v>
      </c>
      <c r="X494" s="2">
        <f>IFERROR(W494 / M494 * 100, 0)</f>
        <v>0</v>
      </c>
    </row>
    <row r="499" spans="8:24">
      <c r="H499" s="2">
        <f>SUM(H2:H494)</f>
        <v>0</v>
      </c>
      <c r="I499" s="2">
        <f>SUM(I2:I494)</f>
        <v>0</v>
      </c>
      <c r="J499" s="2">
        <f>SUM(J2:J494)</f>
        <v>0</v>
      </c>
      <c r="K499" s="2">
        <f>SUM(K2:K494)</f>
        <v>0</v>
      </c>
      <c r="L499" s="2">
        <f>SUM(L2:L494)</f>
        <v>0</v>
      </c>
      <c r="M499" s="2">
        <f>SUM(M2:M494)</f>
        <v>0</v>
      </c>
      <c r="N499" s="2">
        <f>SUM(N2:N494)</f>
        <v>0</v>
      </c>
      <c r="O499" s="2">
        <f>SUM(O2:O494)</f>
        <v>0</v>
      </c>
      <c r="P499" s="2">
        <f>SUM(P2:P494)</f>
        <v>0</v>
      </c>
      <c r="Q499" s="2">
        <f>SUM(Q2:Q494)</f>
        <v>0</v>
      </c>
      <c r="R499" s="2">
        <f>SUM(R2:R494)</f>
        <v>0</v>
      </c>
      <c r="S499" s="2">
        <f>SUM(S2:S494)</f>
        <v>0</v>
      </c>
      <c r="T499" s="2">
        <f>SUM(T2:T494)</f>
        <v>0</v>
      </c>
      <c r="U499" s="2">
        <f>SUM(U2:U494)</f>
        <v>0</v>
      </c>
      <c r="V499" s="2">
        <f>SUM(V2:V494)</f>
        <v>0</v>
      </c>
      <c r="W499" s="2">
        <f>SUM(W2:W494)</f>
        <v>0</v>
      </c>
      <c r="X499" s="2">
        <f>IFERROR((W499 / M499) * 100, 0)</f>
        <v>0</v>
      </c>
    </row>
  </sheetData>
  <conditionalFormatting sqref="A2:X494">
    <cfRule type="notContainsBlanks" dxfId="0" priority="1">
      <formula>LEN(TRIM(A2))&gt;0</formula>
    </cfRule>
  </conditionalFormatting>
  <conditionalFormatting sqref="X2:X494">
    <cfRule type="expression" dxfId="1" priority="2">
      <formula>AND($X2&lt;=0, $X2&lt;&gt;"")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675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4146</v>
      </c>
      <c r="B2" t="s">
        <v>513</v>
      </c>
      <c r="C2" t="s">
        <v>4815</v>
      </c>
      <c r="D2" t="s">
        <v>1008</v>
      </c>
      <c r="E2" t="s">
        <v>5482</v>
      </c>
      <c r="F2" t="s">
        <v>5483</v>
      </c>
      <c r="G2">
        <v>2.64</v>
      </c>
      <c r="H2">
        <v>2</v>
      </c>
      <c r="I2">
        <v>5.31</v>
      </c>
      <c r="J2">
        <v>25</v>
      </c>
      <c r="K2">
        <v>91.97</v>
      </c>
      <c r="L2">
        <v>22</v>
      </c>
      <c r="M2">
        <v>1408</v>
      </c>
      <c r="N2">
        <v>0</v>
      </c>
      <c r="O2">
        <v>0</v>
      </c>
      <c r="P2" s="2">
        <f>(H2 + J2) - (L2 + N2)</f>
        <v>0</v>
      </c>
      <c r="Q2" s="2">
        <f>P2 * G2</f>
        <v>0</v>
      </c>
      <c r="R2">
        <v>2</v>
      </c>
      <c r="S2" s="2">
        <f>R2 * G2</f>
        <v>0</v>
      </c>
      <c r="T2" s="2">
        <f>(H2 + J2) - (L2 + N2) - R2</f>
        <v>0</v>
      </c>
      <c r="U2" s="2">
        <f>T2 * G2</f>
        <v>0</v>
      </c>
      <c r="V2" s="2">
        <f>I2 + K2 - S2</f>
        <v>0</v>
      </c>
      <c r="W2" s="2">
        <f>M2 - V2</f>
        <v>0</v>
      </c>
      <c r="X2" s="2">
        <f>IFERROR(W2 / M2 * 100, 0)</f>
        <v>0</v>
      </c>
    </row>
    <row r="3" spans="1:24">
      <c r="A3" t="s">
        <v>4147</v>
      </c>
      <c r="B3" t="s">
        <v>513</v>
      </c>
      <c r="C3" t="s">
        <v>4816</v>
      </c>
      <c r="D3" t="s">
        <v>1008</v>
      </c>
      <c r="E3" t="s">
        <v>5482</v>
      </c>
      <c r="F3" t="s">
        <v>5484</v>
      </c>
      <c r="G3">
        <v>1.76</v>
      </c>
      <c r="H3">
        <v>2</v>
      </c>
      <c r="I3">
        <v>3.5</v>
      </c>
      <c r="J3">
        <v>28</v>
      </c>
      <c r="K3">
        <v>12.29</v>
      </c>
      <c r="L3">
        <v>37</v>
      </c>
      <c r="M3">
        <v>2405</v>
      </c>
      <c r="N3">
        <v>0</v>
      </c>
      <c r="O3">
        <v>0</v>
      </c>
      <c r="P3" s="2">
        <f>(H3 + J3) - (L3 + N3)</f>
        <v>0</v>
      </c>
      <c r="Q3" s="2">
        <f>P3 * G3</f>
        <v>0</v>
      </c>
      <c r="R3">
        <v>2</v>
      </c>
      <c r="S3" s="2">
        <f>R3 * G3</f>
        <v>0</v>
      </c>
      <c r="T3" s="2">
        <f>(H3 + J3) - (L3 + N3) - R3</f>
        <v>0</v>
      </c>
      <c r="U3" s="2">
        <f>T3 * G3</f>
        <v>0</v>
      </c>
      <c r="V3" s="2">
        <f>I3 + K3 - S3</f>
        <v>0</v>
      </c>
      <c r="W3" s="2">
        <f>M3 - V3</f>
        <v>0</v>
      </c>
      <c r="X3" s="2">
        <f>IFERROR(W3 / M3 * 100, 0)</f>
        <v>0</v>
      </c>
    </row>
    <row r="4" spans="1:24">
      <c r="A4" t="s">
        <v>4148</v>
      </c>
      <c r="B4" t="s">
        <v>513</v>
      </c>
      <c r="C4" t="s">
        <v>4817</v>
      </c>
      <c r="D4" t="s">
        <v>1008</v>
      </c>
      <c r="E4" t="s">
        <v>5482</v>
      </c>
      <c r="F4" t="s">
        <v>5485</v>
      </c>
      <c r="G4">
        <v>1.29</v>
      </c>
      <c r="H4">
        <v>0</v>
      </c>
      <c r="I4">
        <v>0</v>
      </c>
      <c r="J4">
        <v>49</v>
      </c>
      <c r="K4">
        <v>20.31</v>
      </c>
      <c r="L4">
        <v>47</v>
      </c>
      <c r="M4">
        <v>164.5</v>
      </c>
      <c r="N4">
        <v>0</v>
      </c>
      <c r="O4">
        <v>0</v>
      </c>
      <c r="P4" s="2">
        <f>(H4 + J4) - (L4 + N4)</f>
        <v>0</v>
      </c>
      <c r="Q4" s="2">
        <f>P4 * G4</f>
        <v>0</v>
      </c>
      <c r="R4">
        <v>0</v>
      </c>
      <c r="S4" s="2">
        <f>R4 * G4</f>
        <v>0</v>
      </c>
      <c r="T4" s="2">
        <f>(H4 + J4) - (L4 + N4) - R4</f>
        <v>0</v>
      </c>
      <c r="U4" s="2">
        <f>T4 * G4</f>
        <v>0</v>
      </c>
      <c r="V4" s="2">
        <f>I4 + K4 - S4</f>
        <v>0</v>
      </c>
      <c r="W4" s="2">
        <f>M4 - V4</f>
        <v>0</v>
      </c>
      <c r="X4" s="2">
        <f>IFERROR(W4 / M4 * 100, 0)</f>
        <v>0</v>
      </c>
    </row>
    <row r="5" spans="1:24">
      <c r="A5" t="s">
        <v>4149</v>
      </c>
      <c r="B5" t="s">
        <v>513</v>
      </c>
      <c r="C5" t="s">
        <v>4818</v>
      </c>
      <c r="D5" t="s">
        <v>1008</v>
      </c>
      <c r="E5" t="s">
        <v>5482</v>
      </c>
      <c r="F5" t="s">
        <v>5486</v>
      </c>
      <c r="G5">
        <v>1.52</v>
      </c>
      <c r="H5">
        <v>0</v>
      </c>
      <c r="I5">
        <v>0</v>
      </c>
      <c r="J5">
        <v>45</v>
      </c>
      <c r="K5">
        <v>32.5</v>
      </c>
      <c r="L5">
        <v>36</v>
      </c>
      <c r="M5">
        <v>126</v>
      </c>
      <c r="N5">
        <v>6</v>
      </c>
      <c r="O5">
        <v>9.529999999999999</v>
      </c>
      <c r="P5" s="2">
        <f>(H5 + J5) - (L5 + N5)</f>
        <v>0</v>
      </c>
      <c r="Q5" s="2">
        <f>P5 * G5</f>
        <v>0</v>
      </c>
      <c r="R5">
        <v>0</v>
      </c>
      <c r="S5" s="2">
        <f>R5 * G5</f>
        <v>0</v>
      </c>
      <c r="T5" s="2">
        <f>(H5 + J5) - (L5 + N5) - R5</f>
        <v>0</v>
      </c>
      <c r="U5" s="2">
        <f>T5 * G5</f>
        <v>0</v>
      </c>
      <c r="V5" s="2">
        <f>I5 + K5 - S5</f>
        <v>0</v>
      </c>
      <c r="W5" s="2">
        <f>M5 - V5</f>
        <v>0</v>
      </c>
      <c r="X5" s="2">
        <f>IFERROR(W5 / M5 * 100, 0)</f>
        <v>0</v>
      </c>
    </row>
    <row r="6" spans="1:24">
      <c r="A6" t="s">
        <v>4150</v>
      </c>
      <c r="B6" t="s">
        <v>513</v>
      </c>
      <c r="C6" t="s">
        <v>4819</v>
      </c>
      <c r="D6" t="s">
        <v>1008</v>
      </c>
      <c r="E6" t="s">
        <v>5482</v>
      </c>
      <c r="F6" t="s">
        <v>5487</v>
      </c>
      <c r="G6">
        <v>1.23</v>
      </c>
      <c r="H6">
        <v>0</v>
      </c>
      <c r="I6">
        <v>0</v>
      </c>
      <c r="J6">
        <v>79</v>
      </c>
      <c r="K6">
        <v>77.08</v>
      </c>
      <c r="L6">
        <v>78</v>
      </c>
      <c r="M6">
        <v>312</v>
      </c>
      <c r="N6">
        <v>0</v>
      </c>
      <c r="O6">
        <v>0</v>
      </c>
      <c r="P6" s="2">
        <f>(H6 + J6) - (L6 + N6)</f>
        <v>0</v>
      </c>
      <c r="Q6" s="2">
        <f>P6 * G6</f>
        <v>0</v>
      </c>
      <c r="R6">
        <v>0</v>
      </c>
      <c r="S6" s="2">
        <f>R6 * G6</f>
        <v>0</v>
      </c>
      <c r="T6" s="2">
        <f>(H6 + J6) - (L6 + N6) - R6</f>
        <v>0</v>
      </c>
      <c r="U6" s="2">
        <f>T6 * G6</f>
        <v>0</v>
      </c>
      <c r="V6" s="2">
        <f>I6 + K6 - S6</f>
        <v>0</v>
      </c>
      <c r="W6" s="2">
        <f>M6 - V6</f>
        <v>0</v>
      </c>
      <c r="X6" s="2">
        <f>IFERROR(W6 / M6 * 100, 0)</f>
        <v>0</v>
      </c>
    </row>
    <row r="7" spans="1:24">
      <c r="A7" t="s">
        <v>4151</v>
      </c>
      <c r="B7" t="s">
        <v>513</v>
      </c>
      <c r="C7" t="s">
        <v>4820</v>
      </c>
      <c r="D7" t="s">
        <v>1008</v>
      </c>
      <c r="E7" t="s">
        <v>5482</v>
      </c>
      <c r="F7" t="s">
        <v>5488</v>
      </c>
      <c r="G7">
        <v>7.73</v>
      </c>
      <c r="H7">
        <v>3</v>
      </c>
      <c r="I7">
        <v>23.08</v>
      </c>
      <c r="J7">
        <v>24</v>
      </c>
      <c r="K7">
        <v>159.99</v>
      </c>
      <c r="L7">
        <v>23</v>
      </c>
      <c r="M7">
        <v>184</v>
      </c>
      <c r="N7">
        <v>0</v>
      </c>
      <c r="O7">
        <v>0</v>
      </c>
      <c r="P7" s="2">
        <f>(H7 + J7) - (L7 + N7)</f>
        <v>0</v>
      </c>
      <c r="Q7" s="2">
        <f>P7 * G7</f>
        <v>0</v>
      </c>
      <c r="R7">
        <v>4</v>
      </c>
      <c r="S7" s="2">
        <f>R7 * G7</f>
        <v>0</v>
      </c>
      <c r="T7" s="2">
        <f>(H7 + J7) - (L7 + N7) - R7</f>
        <v>0</v>
      </c>
      <c r="U7" s="2">
        <f>T7 * G7</f>
        <v>0</v>
      </c>
      <c r="V7" s="2">
        <f>I7 + K7 - S7</f>
        <v>0</v>
      </c>
      <c r="W7" s="2">
        <f>M7 - V7</f>
        <v>0</v>
      </c>
      <c r="X7" s="2">
        <f>IFERROR(W7 / M7 * 100, 0)</f>
        <v>0</v>
      </c>
    </row>
    <row r="8" spans="1:24">
      <c r="A8" t="s">
        <v>4152</v>
      </c>
      <c r="B8" t="s">
        <v>513</v>
      </c>
      <c r="C8" t="s">
        <v>4821</v>
      </c>
      <c r="D8" t="s">
        <v>1008</v>
      </c>
      <c r="E8" t="s">
        <v>5482</v>
      </c>
      <c r="F8" t="s">
        <v>5489</v>
      </c>
      <c r="G8">
        <v>13.28</v>
      </c>
      <c r="H8">
        <v>1</v>
      </c>
      <c r="I8">
        <v>13.2</v>
      </c>
      <c r="J8">
        <v>20</v>
      </c>
      <c r="K8">
        <v>265.97</v>
      </c>
      <c r="L8">
        <v>5</v>
      </c>
      <c r="M8">
        <v>320</v>
      </c>
      <c r="N8">
        <v>0</v>
      </c>
      <c r="O8">
        <v>0</v>
      </c>
      <c r="P8" s="2">
        <f>(H8 + J8) - (L8 + N8)</f>
        <v>0</v>
      </c>
      <c r="Q8" s="2">
        <f>P8 * G8</f>
        <v>0</v>
      </c>
      <c r="R8">
        <v>2</v>
      </c>
      <c r="S8" s="2">
        <f>R8 * G8</f>
        <v>0</v>
      </c>
      <c r="T8" s="2">
        <f>(H8 + J8) - (L8 + N8) - R8</f>
        <v>0</v>
      </c>
      <c r="U8" s="2">
        <f>T8 * G8</f>
        <v>0</v>
      </c>
      <c r="V8" s="2">
        <f>I8 + K8 - S8</f>
        <v>0</v>
      </c>
      <c r="W8" s="2">
        <f>M8 - V8</f>
        <v>0</v>
      </c>
      <c r="X8" s="2">
        <f>IFERROR(W8 / M8 * 100, 0)</f>
        <v>0</v>
      </c>
    </row>
    <row r="9" spans="1:24">
      <c r="A9" t="s">
        <v>4153</v>
      </c>
      <c r="B9" t="s">
        <v>512</v>
      </c>
      <c r="C9" t="s">
        <v>4822</v>
      </c>
      <c r="D9" t="s">
        <v>1007</v>
      </c>
      <c r="E9" t="s">
        <v>5482</v>
      </c>
      <c r="F9" t="s">
        <v>5490</v>
      </c>
      <c r="G9">
        <v>23.92</v>
      </c>
      <c r="H9">
        <v>12.5</v>
      </c>
      <c r="I9">
        <v>299</v>
      </c>
      <c r="J9">
        <v>-2</v>
      </c>
      <c r="K9">
        <v>-47.84</v>
      </c>
      <c r="L9">
        <v>0</v>
      </c>
      <c r="M9">
        <v>0</v>
      </c>
      <c r="N9">
        <v>0</v>
      </c>
      <c r="O9">
        <v>0</v>
      </c>
      <c r="P9" s="2">
        <f>(H9 + J9) - (L9 + N9)</f>
        <v>0</v>
      </c>
      <c r="Q9" s="2">
        <f>P9 * G9</f>
        <v>0</v>
      </c>
      <c r="R9">
        <v>5</v>
      </c>
      <c r="S9" s="2">
        <f>R9 * G9</f>
        <v>0</v>
      </c>
      <c r="T9" s="2">
        <f>(H9 + J9) - (L9 + N9) - R9</f>
        <v>0</v>
      </c>
      <c r="U9" s="2">
        <f>T9 * G9</f>
        <v>0</v>
      </c>
      <c r="V9" s="2">
        <f>I9 + K9 - S9</f>
        <v>0</v>
      </c>
      <c r="W9" s="2">
        <f>M9 - V9</f>
        <v>0</v>
      </c>
      <c r="X9" s="2">
        <f>IFERROR(W9 / M9 * 100, 0)</f>
        <v>0</v>
      </c>
    </row>
    <row r="10" spans="1:24">
      <c r="A10" t="s">
        <v>4154</v>
      </c>
      <c r="B10" t="s">
        <v>512</v>
      </c>
      <c r="C10" t="s">
        <v>4823</v>
      </c>
      <c r="D10" t="s">
        <v>1008</v>
      </c>
      <c r="E10" t="s">
        <v>5482</v>
      </c>
      <c r="F10" t="s">
        <v>5491</v>
      </c>
      <c r="G10">
        <v>220</v>
      </c>
      <c r="H10">
        <v>0</v>
      </c>
      <c r="I10">
        <v>0</v>
      </c>
      <c r="J10">
        <v>1</v>
      </c>
      <c r="K10">
        <v>220</v>
      </c>
      <c r="L10">
        <v>0</v>
      </c>
      <c r="M10">
        <v>0</v>
      </c>
      <c r="N10">
        <v>0</v>
      </c>
      <c r="O10">
        <v>0</v>
      </c>
      <c r="P10" s="2">
        <f>(H10 + J10) - (L10 + N10)</f>
        <v>0</v>
      </c>
      <c r="Q10" s="2">
        <f>P10 * G10</f>
        <v>0</v>
      </c>
      <c r="R10">
        <v>1</v>
      </c>
      <c r="S10" s="2">
        <f>R10 * G10</f>
        <v>0</v>
      </c>
      <c r="T10" s="2">
        <f>(H10 + J10) - (L10 + N10) - R10</f>
        <v>0</v>
      </c>
      <c r="U10" s="2">
        <f>T10 * G10</f>
        <v>0</v>
      </c>
      <c r="V10" s="2">
        <f>I10 + K10 - S10</f>
        <v>0</v>
      </c>
      <c r="W10" s="2">
        <f>M10 - V10</f>
        <v>0</v>
      </c>
      <c r="X10" s="2">
        <f>IFERROR(W10 / M10 * 100, 0)</f>
        <v>0</v>
      </c>
    </row>
    <row r="11" spans="1:24">
      <c r="A11" t="s">
        <v>4155</v>
      </c>
      <c r="B11" t="s">
        <v>513</v>
      </c>
      <c r="D11" t="s">
        <v>1008</v>
      </c>
      <c r="E11" t="s">
        <v>5482</v>
      </c>
      <c r="F11" t="s">
        <v>5492</v>
      </c>
      <c r="G11">
        <v>3.25</v>
      </c>
      <c r="H11">
        <v>0</v>
      </c>
      <c r="I11">
        <v>0</v>
      </c>
      <c r="J11">
        <v>-24.08</v>
      </c>
      <c r="K11">
        <v>-78.25</v>
      </c>
      <c r="L11">
        <v>0</v>
      </c>
      <c r="M11">
        <v>0</v>
      </c>
      <c r="N11">
        <v>0</v>
      </c>
      <c r="O11">
        <v>0</v>
      </c>
      <c r="P11" s="2">
        <f>(H11 + J11) - (L11 + N11)</f>
        <v>0</v>
      </c>
      <c r="Q11" s="2">
        <f>P11 * G11</f>
        <v>0</v>
      </c>
      <c r="R11">
        <v>0</v>
      </c>
      <c r="S11" s="2">
        <f>R11 * G11</f>
        <v>0</v>
      </c>
      <c r="T11" s="2">
        <f>(H11 + J11) - (L11 + N11) - R11</f>
        <v>0</v>
      </c>
      <c r="U11" s="2">
        <f>T11 * G11</f>
        <v>0</v>
      </c>
      <c r="V11" s="2">
        <f>I11 + K11 - S11</f>
        <v>0</v>
      </c>
      <c r="W11" s="2">
        <f>M11 - V11</f>
        <v>0</v>
      </c>
      <c r="X11" s="2">
        <f>IFERROR(W11 / M11 * 100, 0)</f>
        <v>0</v>
      </c>
    </row>
    <row r="12" spans="1:24">
      <c r="A12" t="s">
        <v>4156</v>
      </c>
      <c r="B12" t="s">
        <v>512</v>
      </c>
      <c r="C12" t="s">
        <v>4824</v>
      </c>
      <c r="D12" t="s">
        <v>1008</v>
      </c>
      <c r="E12" t="s">
        <v>5482</v>
      </c>
      <c r="F12" t="s">
        <v>5493</v>
      </c>
      <c r="G12">
        <v>45</v>
      </c>
      <c r="H12">
        <v>0</v>
      </c>
      <c r="I12">
        <v>0</v>
      </c>
      <c r="J12">
        <v>2</v>
      </c>
      <c r="K12">
        <v>90</v>
      </c>
      <c r="L12">
        <v>0</v>
      </c>
      <c r="M12">
        <v>0</v>
      </c>
      <c r="N12">
        <v>0</v>
      </c>
      <c r="O12">
        <v>0</v>
      </c>
      <c r="P12" s="2">
        <f>(H12 + J12) - (L12 + N12)</f>
        <v>0</v>
      </c>
      <c r="Q12" s="2">
        <f>P12 * G12</f>
        <v>0</v>
      </c>
      <c r="R12">
        <v>1</v>
      </c>
      <c r="S12" s="2">
        <f>R12 * G12</f>
        <v>0</v>
      </c>
      <c r="T12" s="2">
        <f>(H12 + J12) - (L12 + N12) - R12</f>
        <v>0</v>
      </c>
      <c r="U12" s="2">
        <f>T12 * G12</f>
        <v>0</v>
      </c>
      <c r="V12" s="2">
        <f>I12 + K12 - S12</f>
        <v>0</v>
      </c>
      <c r="W12" s="2">
        <f>M12 - V12</f>
        <v>0</v>
      </c>
      <c r="X12" s="2">
        <f>IFERROR(W12 / M12 * 100, 0)</f>
        <v>0</v>
      </c>
    </row>
    <row r="13" spans="1:24">
      <c r="A13" t="s">
        <v>4157</v>
      </c>
      <c r="B13" t="s">
        <v>512</v>
      </c>
      <c r="C13" t="s">
        <v>4825</v>
      </c>
      <c r="D13" t="s">
        <v>1007</v>
      </c>
      <c r="E13" t="s">
        <v>5482</v>
      </c>
      <c r="F13" t="s">
        <v>5494</v>
      </c>
      <c r="G13">
        <v>17.38</v>
      </c>
      <c r="H13">
        <v>0.25</v>
      </c>
      <c r="I13">
        <v>4.34</v>
      </c>
      <c r="J13">
        <v>2.25</v>
      </c>
      <c r="K13">
        <v>39.12</v>
      </c>
      <c r="L13">
        <v>0</v>
      </c>
      <c r="M13">
        <v>0</v>
      </c>
      <c r="N13">
        <v>0</v>
      </c>
      <c r="O13">
        <v>0</v>
      </c>
      <c r="P13" s="2">
        <f>(H13 + J13) - (L13 + N13)</f>
        <v>0</v>
      </c>
      <c r="Q13" s="2">
        <f>P13 * G13</f>
        <v>0</v>
      </c>
      <c r="R13">
        <v>0.25</v>
      </c>
      <c r="S13" s="2">
        <f>R13 * G13</f>
        <v>0</v>
      </c>
      <c r="T13" s="2">
        <f>(H13 + J13) - (L13 + N13) - R13</f>
        <v>0</v>
      </c>
      <c r="U13" s="2">
        <f>T13 * G13</f>
        <v>0</v>
      </c>
      <c r="V13" s="2">
        <f>I13 + K13 - S13</f>
        <v>0</v>
      </c>
      <c r="W13" s="2">
        <f>M13 - V13</f>
        <v>0</v>
      </c>
      <c r="X13" s="2">
        <f>IFERROR(W13 / M13 * 100, 0)</f>
        <v>0</v>
      </c>
    </row>
    <row r="14" spans="1:24">
      <c r="A14" t="s">
        <v>4158</v>
      </c>
      <c r="B14" t="s">
        <v>512</v>
      </c>
      <c r="C14" t="s">
        <v>4826</v>
      </c>
      <c r="D14" t="s">
        <v>1007</v>
      </c>
      <c r="E14" t="s">
        <v>5482</v>
      </c>
      <c r="F14" t="s">
        <v>5495</v>
      </c>
      <c r="G14">
        <v>28.32</v>
      </c>
      <c r="H14">
        <v>0.5</v>
      </c>
      <c r="I14">
        <v>14.16</v>
      </c>
      <c r="J14">
        <v>-0.12</v>
      </c>
      <c r="K14">
        <v>-3.42</v>
      </c>
      <c r="L14">
        <v>0</v>
      </c>
      <c r="M14">
        <v>0</v>
      </c>
      <c r="N14">
        <v>0</v>
      </c>
      <c r="O14">
        <v>0</v>
      </c>
      <c r="P14" s="2">
        <f>(H14 + J14) - (L14 + N14)</f>
        <v>0</v>
      </c>
      <c r="Q14" s="2">
        <f>P14 * G14</f>
        <v>0</v>
      </c>
      <c r="R14">
        <v>1</v>
      </c>
      <c r="S14" s="2">
        <f>R14 * G14</f>
        <v>0</v>
      </c>
      <c r="T14" s="2">
        <f>(H14 + J14) - (L14 + N14) - R14</f>
        <v>0</v>
      </c>
      <c r="U14" s="2">
        <f>T14 * G14</f>
        <v>0</v>
      </c>
      <c r="V14" s="2">
        <f>I14 + K14 - S14</f>
        <v>0</v>
      </c>
      <c r="W14" s="2">
        <f>M14 - V14</f>
        <v>0</v>
      </c>
      <c r="X14" s="2">
        <f>IFERROR(W14 / M14 * 100, 0)</f>
        <v>0</v>
      </c>
    </row>
    <row r="15" spans="1:24">
      <c r="A15" t="s">
        <v>4159</v>
      </c>
      <c r="B15" t="s">
        <v>513</v>
      </c>
      <c r="C15" t="s">
        <v>4827</v>
      </c>
      <c r="D15" t="s">
        <v>1007</v>
      </c>
      <c r="E15" t="s">
        <v>5482</v>
      </c>
      <c r="F15" t="s">
        <v>5496</v>
      </c>
      <c r="G15">
        <v>8.699999999999999</v>
      </c>
      <c r="H15">
        <v>2</v>
      </c>
      <c r="I15">
        <v>17.76</v>
      </c>
      <c r="J15">
        <v>9.300000000000001</v>
      </c>
      <c r="K15">
        <v>80.86</v>
      </c>
      <c r="L15">
        <v>8.609999999999999</v>
      </c>
      <c r="M15">
        <v>215.34</v>
      </c>
      <c r="N15">
        <v>0</v>
      </c>
      <c r="O15">
        <v>0</v>
      </c>
      <c r="P15" s="2">
        <f>(H15 + J15) - (L15 + N15)</f>
        <v>0</v>
      </c>
      <c r="Q15" s="2">
        <f>P15 * G15</f>
        <v>0</v>
      </c>
      <c r="R15">
        <v>5.82</v>
      </c>
      <c r="S15" s="2">
        <f>R15 * G15</f>
        <v>0</v>
      </c>
      <c r="T15" s="2">
        <f>(H15 + J15) - (L15 + N15) - R15</f>
        <v>0</v>
      </c>
      <c r="U15" s="2">
        <f>T15 * G15</f>
        <v>0</v>
      </c>
      <c r="V15" s="2">
        <f>I15 + K15 - S15</f>
        <v>0</v>
      </c>
      <c r="W15" s="2">
        <f>M15 - V15</f>
        <v>0</v>
      </c>
      <c r="X15" s="2">
        <f>IFERROR(W15 / M15 * 100, 0)</f>
        <v>0</v>
      </c>
    </row>
    <row r="16" spans="1:24">
      <c r="A16" t="s">
        <v>4160</v>
      </c>
      <c r="B16" t="s">
        <v>512</v>
      </c>
      <c r="C16" t="s">
        <v>4828</v>
      </c>
      <c r="D16" t="s">
        <v>1007</v>
      </c>
      <c r="E16" t="s">
        <v>5482</v>
      </c>
      <c r="F16" t="s">
        <v>5497</v>
      </c>
      <c r="G16">
        <v>52.91</v>
      </c>
      <c r="H16">
        <v>0</v>
      </c>
      <c r="I16">
        <v>0</v>
      </c>
      <c r="J16">
        <v>10.6</v>
      </c>
      <c r="K16">
        <v>560.63</v>
      </c>
      <c r="L16">
        <v>0</v>
      </c>
      <c r="M16">
        <v>0</v>
      </c>
      <c r="N16">
        <v>0</v>
      </c>
      <c r="O16">
        <v>0</v>
      </c>
      <c r="P16" s="2">
        <f>(H16 + J16) - (L16 + N16)</f>
        <v>0</v>
      </c>
      <c r="Q16" s="2">
        <f>P16 * G16</f>
        <v>0</v>
      </c>
      <c r="R16">
        <v>0</v>
      </c>
      <c r="S16" s="2">
        <f>R16 * G16</f>
        <v>0</v>
      </c>
      <c r="T16" s="2">
        <f>(H16 + J16) - (L16 + N16) - R16</f>
        <v>0</v>
      </c>
      <c r="U16" s="2">
        <f>T16 * G16</f>
        <v>0</v>
      </c>
      <c r="V16" s="2">
        <f>I16 + K16 - S16</f>
        <v>0</v>
      </c>
      <c r="W16" s="2">
        <f>M16 - V16</f>
        <v>0</v>
      </c>
      <c r="X16" s="2">
        <f>IFERROR(W16 / M16 * 100, 0)</f>
        <v>0</v>
      </c>
    </row>
    <row r="17" spans="1:24">
      <c r="A17" t="s">
        <v>4161</v>
      </c>
      <c r="B17" t="s">
        <v>512</v>
      </c>
      <c r="C17" t="s">
        <v>4829</v>
      </c>
      <c r="D17" t="s">
        <v>1008</v>
      </c>
      <c r="E17" t="s">
        <v>5482</v>
      </c>
      <c r="F17" t="s">
        <v>5498</v>
      </c>
      <c r="G17">
        <v>55.73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s="2">
        <f>(H17 + J17) - (L17 + N17)</f>
        <v>0</v>
      </c>
      <c r="Q17" s="2">
        <f>P17 * G17</f>
        <v>0</v>
      </c>
      <c r="R17">
        <v>1</v>
      </c>
      <c r="S17" s="2">
        <f>R17 * G17</f>
        <v>0</v>
      </c>
      <c r="T17" s="2">
        <f>(H17 + J17) - (L17 + N17) - R17</f>
        <v>0</v>
      </c>
      <c r="U17" s="2">
        <f>T17 * G17</f>
        <v>0</v>
      </c>
      <c r="V17" s="2">
        <f>I17 + K17 - S17</f>
        <v>0</v>
      </c>
      <c r="W17" s="2">
        <f>M17 - V17</f>
        <v>0</v>
      </c>
      <c r="X17" s="2">
        <f>IFERROR(W17 / M17 * 100, 0)</f>
        <v>0</v>
      </c>
    </row>
    <row r="18" spans="1:24">
      <c r="A18" t="s">
        <v>4162</v>
      </c>
      <c r="B18" t="s">
        <v>512</v>
      </c>
      <c r="C18" t="s">
        <v>4830</v>
      </c>
      <c r="D18" t="s">
        <v>1008</v>
      </c>
      <c r="E18" t="s">
        <v>5482</v>
      </c>
      <c r="F18" t="s">
        <v>5499</v>
      </c>
      <c r="G18">
        <v>0.64</v>
      </c>
      <c r="H18">
        <v>0</v>
      </c>
      <c r="I18">
        <v>0</v>
      </c>
      <c r="J18">
        <v>22</v>
      </c>
      <c r="K18">
        <v>14</v>
      </c>
      <c r="L18">
        <v>0</v>
      </c>
      <c r="M18">
        <v>0</v>
      </c>
      <c r="N18">
        <v>0</v>
      </c>
      <c r="O18">
        <v>0</v>
      </c>
      <c r="P18" s="2">
        <f>(H18 + J18) - (L18 + N18)</f>
        <v>0</v>
      </c>
      <c r="Q18" s="2">
        <f>P18 * G18</f>
        <v>0</v>
      </c>
      <c r="R18">
        <v>0</v>
      </c>
      <c r="S18" s="2">
        <f>R18 * G18</f>
        <v>0</v>
      </c>
      <c r="T18" s="2">
        <f>(H18 + J18) - (L18 + N18) - R18</f>
        <v>0</v>
      </c>
      <c r="U18" s="2">
        <f>T18 * G18</f>
        <v>0</v>
      </c>
      <c r="V18" s="2">
        <f>I18 + K18 - S18</f>
        <v>0</v>
      </c>
      <c r="W18" s="2">
        <f>M18 - V18</f>
        <v>0</v>
      </c>
      <c r="X18" s="2">
        <f>IFERROR(W18 / M18 * 100, 0)</f>
        <v>0</v>
      </c>
    </row>
    <row r="19" spans="1:24">
      <c r="A19" t="s">
        <v>4163</v>
      </c>
      <c r="B19" t="s">
        <v>513</v>
      </c>
      <c r="C19" t="s">
        <v>4831</v>
      </c>
      <c r="D19" t="s">
        <v>1007</v>
      </c>
      <c r="E19" t="s">
        <v>5482</v>
      </c>
      <c r="F19" t="s">
        <v>5500</v>
      </c>
      <c r="G19">
        <v>3.41</v>
      </c>
      <c r="H19">
        <v>2.5</v>
      </c>
      <c r="I19">
        <v>8.65</v>
      </c>
      <c r="J19">
        <v>18.6</v>
      </c>
      <c r="K19">
        <v>63.63</v>
      </c>
      <c r="L19">
        <v>15.84</v>
      </c>
      <c r="M19">
        <v>396</v>
      </c>
      <c r="N19">
        <v>0</v>
      </c>
      <c r="O19">
        <v>0</v>
      </c>
      <c r="P19" s="2">
        <f>(H19 + J19) - (L19 + N19)</f>
        <v>0</v>
      </c>
      <c r="Q19" s="2">
        <f>P19 * G19</f>
        <v>0</v>
      </c>
      <c r="R19">
        <v>10</v>
      </c>
      <c r="S19" s="2">
        <f>R19 * G19</f>
        <v>0</v>
      </c>
      <c r="T19" s="2">
        <f>(H19 + J19) - (L19 + N19) - R19</f>
        <v>0</v>
      </c>
      <c r="U19" s="2">
        <f>T19 * G19</f>
        <v>0</v>
      </c>
      <c r="V19" s="2">
        <f>I19 + K19 - S19</f>
        <v>0</v>
      </c>
      <c r="W19" s="2">
        <f>M19 - V19</f>
        <v>0</v>
      </c>
      <c r="X19" s="2">
        <f>IFERROR(W19 / M19 * 100, 0)</f>
        <v>0</v>
      </c>
    </row>
    <row r="20" spans="1:24">
      <c r="A20" t="s">
        <v>4164</v>
      </c>
      <c r="B20" t="s">
        <v>512</v>
      </c>
      <c r="C20" t="s">
        <v>4832</v>
      </c>
      <c r="D20" t="s">
        <v>1007</v>
      </c>
      <c r="E20" t="s">
        <v>5482</v>
      </c>
      <c r="F20" t="s">
        <v>5501</v>
      </c>
      <c r="G20">
        <v>9.289999999999999</v>
      </c>
      <c r="H20">
        <v>0</v>
      </c>
      <c r="I20">
        <v>0</v>
      </c>
      <c r="J20">
        <v>39.22</v>
      </c>
      <c r="K20">
        <v>362.15</v>
      </c>
      <c r="L20">
        <v>0</v>
      </c>
      <c r="M20">
        <v>0</v>
      </c>
      <c r="N20">
        <v>0</v>
      </c>
      <c r="O20">
        <v>0</v>
      </c>
      <c r="P20" s="2">
        <f>(H20 + J20) - (L20 + N20)</f>
        <v>0</v>
      </c>
      <c r="Q20" s="2">
        <f>P20 * G20</f>
        <v>0</v>
      </c>
      <c r="R20">
        <v>0</v>
      </c>
      <c r="S20" s="2">
        <f>R20 * G20</f>
        <v>0</v>
      </c>
      <c r="T20" s="2">
        <f>(H20 + J20) - (L20 + N20) - R20</f>
        <v>0</v>
      </c>
      <c r="U20" s="2">
        <f>T20 * G20</f>
        <v>0</v>
      </c>
      <c r="V20" s="2">
        <f>I20 + K20 - S20</f>
        <v>0</v>
      </c>
      <c r="W20" s="2">
        <f>M20 - V20</f>
        <v>0</v>
      </c>
      <c r="X20" s="2">
        <f>IFERROR(W20 / M20 * 100, 0)</f>
        <v>0</v>
      </c>
    </row>
    <row r="21" spans="1:24">
      <c r="A21" t="s">
        <v>4165</v>
      </c>
      <c r="B21" t="s">
        <v>512</v>
      </c>
      <c r="C21" t="s">
        <v>4833</v>
      </c>
      <c r="D21" t="s">
        <v>1007</v>
      </c>
      <c r="E21" t="s">
        <v>5482</v>
      </c>
      <c r="F21" t="s">
        <v>5502</v>
      </c>
      <c r="G21">
        <v>8.800000000000001</v>
      </c>
      <c r="H21">
        <v>0</v>
      </c>
      <c r="I21">
        <v>0</v>
      </c>
      <c r="J21">
        <v>-94.54000000000001</v>
      </c>
      <c r="K21">
        <v>-831.9400000000001</v>
      </c>
      <c r="L21">
        <v>0</v>
      </c>
      <c r="M21">
        <v>0</v>
      </c>
      <c r="N21">
        <v>0</v>
      </c>
      <c r="O21">
        <v>0</v>
      </c>
      <c r="P21" s="2">
        <f>(H21 + J21) - (L21 + N21)</f>
        <v>0</v>
      </c>
      <c r="Q21" s="2">
        <f>P21 * G21</f>
        <v>0</v>
      </c>
      <c r="R21">
        <v>0</v>
      </c>
      <c r="S21" s="2">
        <f>R21 * G21</f>
        <v>0</v>
      </c>
      <c r="T21" s="2">
        <f>(H21 + J21) - (L21 + N21) - R21</f>
        <v>0</v>
      </c>
      <c r="U21" s="2">
        <f>T21 * G21</f>
        <v>0</v>
      </c>
      <c r="V21" s="2">
        <f>I21 + K21 - S21</f>
        <v>0</v>
      </c>
      <c r="W21" s="2">
        <f>M21 - V21</f>
        <v>0</v>
      </c>
      <c r="X21" s="2">
        <f>IFERROR(W21 / M21 * 100, 0)</f>
        <v>0</v>
      </c>
    </row>
    <row r="22" spans="1:24">
      <c r="A22" t="s">
        <v>4166</v>
      </c>
      <c r="B22" t="s">
        <v>512</v>
      </c>
      <c r="C22" t="s">
        <v>4834</v>
      </c>
      <c r="D22" t="s">
        <v>1007</v>
      </c>
      <c r="E22" t="s">
        <v>5482</v>
      </c>
      <c r="F22" t="s">
        <v>5503</v>
      </c>
      <c r="G22">
        <v>13.62</v>
      </c>
      <c r="H22">
        <v>1</v>
      </c>
      <c r="I22">
        <v>13.62</v>
      </c>
      <c r="J22">
        <v>-6.14</v>
      </c>
      <c r="K22">
        <v>-83.62</v>
      </c>
      <c r="L22">
        <v>0</v>
      </c>
      <c r="M22">
        <v>0</v>
      </c>
      <c r="N22">
        <v>0</v>
      </c>
      <c r="O22">
        <v>0</v>
      </c>
      <c r="P22" s="2">
        <f>(H22 + J22) - (L22 + N22)</f>
        <v>0</v>
      </c>
      <c r="Q22" s="2">
        <f>P22 * G22</f>
        <v>0</v>
      </c>
      <c r="R22">
        <v>1</v>
      </c>
      <c r="S22" s="2">
        <f>R22 * G22</f>
        <v>0</v>
      </c>
      <c r="T22" s="2">
        <f>(H22 + J22) - (L22 + N22) - R22</f>
        <v>0</v>
      </c>
      <c r="U22" s="2">
        <f>T22 * G22</f>
        <v>0</v>
      </c>
      <c r="V22" s="2">
        <f>I22 + K22 - S22</f>
        <v>0</v>
      </c>
      <c r="W22" s="2">
        <f>M22 - V22</f>
        <v>0</v>
      </c>
      <c r="X22" s="2">
        <f>IFERROR(W22 / M22 * 100, 0)</f>
        <v>0</v>
      </c>
    </row>
    <row r="23" spans="1:24">
      <c r="A23" t="s">
        <v>4167</v>
      </c>
      <c r="B23" t="s">
        <v>512</v>
      </c>
      <c r="C23" t="s">
        <v>4835</v>
      </c>
      <c r="D23" t="s">
        <v>1007</v>
      </c>
      <c r="E23" t="s">
        <v>5482</v>
      </c>
      <c r="F23" t="s">
        <v>5504</v>
      </c>
      <c r="G23">
        <v>5.82</v>
      </c>
      <c r="H23">
        <v>2</v>
      </c>
      <c r="I23">
        <v>11.64</v>
      </c>
      <c r="J23">
        <v>-0.28</v>
      </c>
      <c r="K23">
        <v>-1.6</v>
      </c>
      <c r="L23">
        <v>0</v>
      </c>
      <c r="M23">
        <v>0</v>
      </c>
      <c r="N23">
        <v>0</v>
      </c>
      <c r="O23">
        <v>0</v>
      </c>
      <c r="P23" s="2">
        <f>(H23 + J23) - (L23 + N23)</f>
        <v>0</v>
      </c>
      <c r="Q23" s="2">
        <f>P23 * G23</f>
        <v>0</v>
      </c>
      <c r="R23">
        <v>2</v>
      </c>
      <c r="S23" s="2">
        <f>R23 * G23</f>
        <v>0</v>
      </c>
      <c r="T23" s="2">
        <f>(H23 + J23) - (L23 + N23) - R23</f>
        <v>0</v>
      </c>
      <c r="U23" s="2">
        <f>T23 * G23</f>
        <v>0</v>
      </c>
      <c r="V23" s="2">
        <f>I23 + K23 - S23</f>
        <v>0</v>
      </c>
      <c r="W23" s="2">
        <f>M23 - V23</f>
        <v>0</v>
      </c>
      <c r="X23" s="2">
        <f>IFERROR(W23 / M23 * 100, 0)</f>
        <v>0</v>
      </c>
    </row>
    <row r="24" spans="1:24">
      <c r="A24" t="s">
        <v>4168</v>
      </c>
      <c r="B24" t="s">
        <v>512</v>
      </c>
      <c r="C24" t="s">
        <v>4836</v>
      </c>
      <c r="D24" t="s">
        <v>1007</v>
      </c>
      <c r="E24" t="s">
        <v>5482</v>
      </c>
      <c r="F24" t="s">
        <v>5505</v>
      </c>
      <c r="G24">
        <v>30.64</v>
      </c>
      <c r="H24">
        <v>6</v>
      </c>
      <c r="I24">
        <v>183.86</v>
      </c>
      <c r="J24">
        <v>-1.69</v>
      </c>
      <c r="K24">
        <v>-51.72</v>
      </c>
      <c r="L24">
        <v>0</v>
      </c>
      <c r="M24">
        <v>0</v>
      </c>
      <c r="N24">
        <v>0</v>
      </c>
      <c r="O24">
        <v>0</v>
      </c>
      <c r="P24" s="2">
        <f>(H24 + J24) - (L24 + N24)</f>
        <v>0</v>
      </c>
      <c r="Q24" s="2">
        <f>P24 * G24</f>
        <v>0</v>
      </c>
      <c r="R24">
        <v>2</v>
      </c>
      <c r="S24" s="2">
        <f>R24 * G24</f>
        <v>0</v>
      </c>
      <c r="T24" s="2">
        <f>(H24 + J24) - (L24 + N24) - R24</f>
        <v>0</v>
      </c>
      <c r="U24" s="2">
        <f>T24 * G24</f>
        <v>0</v>
      </c>
      <c r="V24" s="2">
        <f>I24 + K24 - S24</f>
        <v>0</v>
      </c>
      <c r="W24" s="2">
        <f>M24 - V24</f>
        <v>0</v>
      </c>
      <c r="X24" s="2">
        <f>IFERROR(W24 / M24 * 100, 0)</f>
        <v>0</v>
      </c>
    </row>
    <row r="25" spans="1:24">
      <c r="A25" t="s">
        <v>4169</v>
      </c>
      <c r="B25" t="s">
        <v>512</v>
      </c>
      <c r="C25" t="s">
        <v>4837</v>
      </c>
      <c r="D25" t="s">
        <v>1008</v>
      </c>
      <c r="E25" t="s">
        <v>5482</v>
      </c>
      <c r="F25" t="s">
        <v>5506</v>
      </c>
      <c r="G25">
        <v>0.51</v>
      </c>
      <c r="H25">
        <v>0</v>
      </c>
      <c r="I25">
        <v>0</v>
      </c>
      <c r="J25">
        <v>-1593.58</v>
      </c>
      <c r="K25">
        <v>-818.45</v>
      </c>
      <c r="L25">
        <v>0</v>
      </c>
      <c r="M25">
        <v>0</v>
      </c>
      <c r="N25">
        <v>0</v>
      </c>
      <c r="O25">
        <v>0</v>
      </c>
      <c r="P25" s="2">
        <f>(H25 + J25) - (L25 + N25)</f>
        <v>0</v>
      </c>
      <c r="Q25" s="2">
        <f>P25 * G25</f>
        <v>0</v>
      </c>
      <c r="R25">
        <v>0</v>
      </c>
      <c r="S25" s="2">
        <f>R25 * G25</f>
        <v>0</v>
      </c>
      <c r="T25" s="2">
        <f>(H25 + J25) - (L25 + N25) - R25</f>
        <v>0</v>
      </c>
      <c r="U25" s="2">
        <f>T25 * G25</f>
        <v>0</v>
      </c>
      <c r="V25" s="2">
        <f>I25 + K25 - S25</f>
        <v>0</v>
      </c>
      <c r="W25" s="2">
        <f>M25 - V25</f>
        <v>0</v>
      </c>
      <c r="X25" s="2">
        <f>IFERROR(W25 / M25 * 100, 0)</f>
        <v>0</v>
      </c>
    </row>
    <row r="26" spans="1:24">
      <c r="A26" t="s">
        <v>4170</v>
      </c>
      <c r="B26" t="s">
        <v>512</v>
      </c>
      <c r="C26" t="s">
        <v>4838</v>
      </c>
      <c r="D26" t="s">
        <v>1007</v>
      </c>
      <c r="E26" t="s">
        <v>5482</v>
      </c>
      <c r="F26" t="s">
        <v>5507</v>
      </c>
      <c r="G26">
        <v>24</v>
      </c>
      <c r="H26">
        <v>1.5</v>
      </c>
      <c r="I26">
        <v>36</v>
      </c>
      <c r="J26">
        <v>-10.35</v>
      </c>
      <c r="K26">
        <v>-248.28</v>
      </c>
      <c r="L26">
        <v>0</v>
      </c>
      <c r="M26">
        <v>0</v>
      </c>
      <c r="N26">
        <v>0</v>
      </c>
      <c r="O26">
        <v>0</v>
      </c>
      <c r="P26" s="2">
        <f>(H26 + J26) - (L26 + N26)</f>
        <v>0</v>
      </c>
      <c r="Q26" s="2">
        <f>P26 * G26</f>
        <v>0</v>
      </c>
      <c r="R26">
        <v>1</v>
      </c>
      <c r="S26" s="2">
        <f>R26 * G26</f>
        <v>0</v>
      </c>
      <c r="T26" s="2">
        <f>(H26 + J26) - (L26 + N26) - R26</f>
        <v>0</v>
      </c>
      <c r="U26" s="2">
        <f>T26 * G26</f>
        <v>0</v>
      </c>
      <c r="V26" s="2">
        <f>I26 + K26 - S26</f>
        <v>0</v>
      </c>
      <c r="W26" s="2">
        <f>M26 - V26</f>
        <v>0</v>
      </c>
      <c r="X26" s="2">
        <f>IFERROR(W26 / M26 * 100, 0)</f>
        <v>0</v>
      </c>
    </row>
    <row r="27" spans="1:24">
      <c r="A27" t="s">
        <v>4171</v>
      </c>
      <c r="B27" t="s">
        <v>512</v>
      </c>
      <c r="C27" t="s">
        <v>4839</v>
      </c>
      <c r="D27" t="s">
        <v>1007</v>
      </c>
      <c r="E27" t="s">
        <v>5482</v>
      </c>
      <c r="F27" t="s">
        <v>5508</v>
      </c>
      <c r="G27">
        <v>16.3</v>
      </c>
      <c r="H27">
        <v>0</v>
      </c>
      <c r="I27">
        <v>0</v>
      </c>
      <c r="J27">
        <v>-2.82</v>
      </c>
      <c r="K27">
        <v>-45.97</v>
      </c>
      <c r="L27">
        <v>0</v>
      </c>
      <c r="M27">
        <v>0</v>
      </c>
      <c r="N27">
        <v>0</v>
      </c>
      <c r="O27">
        <v>0</v>
      </c>
      <c r="P27" s="2">
        <f>(H27 + J27) - (L27 + N27)</f>
        <v>0</v>
      </c>
      <c r="Q27" s="2">
        <f>P27 * G27</f>
        <v>0</v>
      </c>
      <c r="R27">
        <v>0</v>
      </c>
      <c r="S27" s="2">
        <f>R27 * G27</f>
        <v>0</v>
      </c>
      <c r="T27" s="2">
        <f>(H27 + J27) - (L27 + N27) - R27</f>
        <v>0</v>
      </c>
      <c r="U27" s="2">
        <f>T27 * G27</f>
        <v>0</v>
      </c>
      <c r="V27" s="2">
        <f>I27 + K27 - S27</f>
        <v>0</v>
      </c>
      <c r="W27" s="2">
        <f>M27 - V27</f>
        <v>0</v>
      </c>
      <c r="X27" s="2">
        <f>IFERROR(W27 / M27 * 100, 0)</f>
        <v>0</v>
      </c>
    </row>
    <row r="28" spans="1:24">
      <c r="A28" t="s">
        <v>4172</v>
      </c>
      <c r="B28" t="s">
        <v>512</v>
      </c>
      <c r="C28" t="s">
        <v>4840</v>
      </c>
      <c r="D28" t="s">
        <v>1007</v>
      </c>
      <c r="E28" t="s">
        <v>5482</v>
      </c>
      <c r="F28" t="s">
        <v>5509</v>
      </c>
      <c r="G28">
        <v>47.46</v>
      </c>
      <c r="H28">
        <v>1</v>
      </c>
      <c r="I28">
        <v>52.3</v>
      </c>
      <c r="J28">
        <v>0.15</v>
      </c>
      <c r="K28">
        <v>-48.19</v>
      </c>
      <c r="L28">
        <v>0</v>
      </c>
      <c r="M28">
        <v>0</v>
      </c>
      <c r="N28">
        <v>0</v>
      </c>
      <c r="O28">
        <v>0</v>
      </c>
      <c r="P28" s="2">
        <f>(H28 + J28) - (L28 + N28)</f>
        <v>0</v>
      </c>
      <c r="Q28" s="2">
        <f>P28 * G28</f>
        <v>0</v>
      </c>
      <c r="R28">
        <v>2</v>
      </c>
      <c r="S28" s="2">
        <f>R28 * G28</f>
        <v>0</v>
      </c>
      <c r="T28" s="2">
        <f>(H28 + J28) - (L28 + N28) - R28</f>
        <v>0</v>
      </c>
      <c r="U28" s="2">
        <f>T28 * G28</f>
        <v>0</v>
      </c>
      <c r="V28" s="2">
        <f>I28 + K28 - S28</f>
        <v>0</v>
      </c>
      <c r="W28" s="2">
        <f>M28 - V28</f>
        <v>0</v>
      </c>
      <c r="X28" s="2">
        <f>IFERROR(W28 / M28 * 100, 0)</f>
        <v>0</v>
      </c>
    </row>
    <row r="29" spans="1:24">
      <c r="A29" t="s">
        <v>4173</v>
      </c>
      <c r="B29" t="s">
        <v>512</v>
      </c>
      <c r="C29" t="s">
        <v>4841</v>
      </c>
      <c r="D29" t="s">
        <v>1007</v>
      </c>
      <c r="E29" t="s">
        <v>5482</v>
      </c>
      <c r="F29" t="s">
        <v>5510</v>
      </c>
      <c r="G29">
        <v>23.04</v>
      </c>
      <c r="H29">
        <v>0</v>
      </c>
      <c r="I29">
        <v>0</v>
      </c>
      <c r="J29">
        <v>-0.42</v>
      </c>
      <c r="K29">
        <v>-9.68</v>
      </c>
      <c r="L29">
        <v>0</v>
      </c>
      <c r="M29">
        <v>0</v>
      </c>
      <c r="N29">
        <v>0</v>
      </c>
      <c r="O29">
        <v>0</v>
      </c>
      <c r="P29" s="2">
        <f>(H29 + J29) - (L29 + N29)</f>
        <v>0</v>
      </c>
      <c r="Q29" s="2">
        <f>P29 * G29</f>
        <v>0</v>
      </c>
      <c r="R29">
        <v>0</v>
      </c>
      <c r="S29" s="2">
        <f>R29 * G29</f>
        <v>0</v>
      </c>
      <c r="T29" s="2">
        <f>(H29 + J29) - (L29 + N29) - R29</f>
        <v>0</v>
      </c>
      <c r="U29" s="2">
        <f>T29 * G29</f>
        <v>0</v>
      </c>
      <c r="V29" s="2">
        <f>I29 + K29 - S29</f>
        <v>0</v>
      </c>
      <c r="W29" s="2">
        <f>M29 - V29</f>
        <v>0</v>
      </c>
      <c r="X29" s="2">
        <f>IFERROR(W29 / M29 * 100, 0)</f>
        <v>0</v>
      </c>
    </row>
    <row r="30" spans="1:24">
      <c r="A30" t="s">
        <v>4174</v>
      </c>
      <c r="B30" t="s">
        <v>512</v>
      </c>
      <c r="C30" t="s">
        <v>4842</v>
      </c>
      <c r="D30" t="s">
        <v>1007</v>
      </c>
      <c r="E30" t="s">
        <v>5482</v>
      </c>
      <c r="F30" t="s">
        <v>5511</v>
      </c>
      <c r="G30">
        <v>4</v>
      </c>
      <c r="H30">
        <v>0.5</v>
      </c>
      <c r="I30">
        <v>2.75</v>
      </c>
      <c r="J30">
        <v>-5.45</v>
      </c>
      <c r="K30">
        <v>-22.99</v>
      </c>
      <c r="L30">
        <v>0</v>
      </c>
      <c r="M30">
        <v>0</v>
      </c>
      <c r="N30">
        <v>0</v>
      </c>
      <c r="O30">
        <v>0</v>
      </c>
      <c r="P30" s="2">
        <f>(H30 + J30) - (L30 + N30)</f>
        <v>0</v>
      </c>
      <c r="Q30" s="2">
        <f>P30 * G30</f>
        <v>0</v>
      </c>
      <c r="R30">
        <v>0</v>
      </c>
      <c r="S30" s="2">
        <f>R30 * G30</f>
        <v>0</v>
      </c>
      <c r="T30" s="2">
        <f>(H30 + J30) - (L30 + N30) - R30</f>
        <v>0</v>
      </c>
      <c r="U30" s="2">
        <f>T30 * G30</f>
        <v>0</v>
      </c>
      <c r="V30" s="2">
        <f>I30 + K30 - S30</f>
        <v>0</v>
      </c>
      <c r="W30" s="2">
        <f>M30 - V30</f>
        <v>0</v>
      </c>
      <c r="X30" s="2">
        <f>IFERROR(W30 / M30 * 100, 0)</f>
        <v>0</v>
      </c>
    </row>
    <row r="31" spans="1:24">
      <c r="A31" t="s">
        <v>4175</v>
      </c>
      <c r="B31" t="s">
        <v>512</v>
      </c>
      <c r="C31" t="s">
        <v>4843</v>
      </c>
      <c r="D31" t="s">
        <v>1007</v>
      </c>
      <c r="E31" t="s">
        <v>5482</v>
      </c>
      <c r="F31" t="s">
        <v>5512</v>
      </c>
      <c r="G31">
        <v>9.92</v>
      </c>
      <c r="H31">
        <v>1</v>
      </c>
      <c r="I31">
        <v>9.960000000000001</v>
      </c>
      <c r="J31">
        <v>4.33</v>
      </c>
      <c r="K31">
        <v>42.84</v>
      </c>
      <c r="L31">
        <v>0</v>
      </c>
      <c r="M31">
        <v>0</v>
      </c>
      <c r="N31">
        <v>0</v>
      </c>
      <c r="O31">
        <v>0</v>
      </c>
      <c r="P31" s="2">
        <f>(H31 + J31) - (L31 + N31)</f>
        <v>0</v>
      </c>
      <c r="Q31" s="2">
        <f>P31 * G31</f>
        <v>0</v>
      </c>
      <c r="R31">
        <v>1</v>
      </c>
      <c r="S31" s="2">
        <f>R31 * G31</f>
        <v>0</v>
      </c>
      <c r="T31" s="2">
        <f>(H31 + J31) - (L31 + N31) - R31</f>
        <v>0</v>
      </c>
      <c r="U31" s="2">
        <f>T31 * G31</f>
        <v>0</v>
      </c>
      <c r="V31" s="2">
        <f>I31 + K31 - S31</f>
        <v>0</v>
      </c>
      <c r="W31" s="2">
        <f>M31 - V31</f>
        <v>0</v>
      </c>
      <c r="X31" s="2">
        <f>IFERROR(W31 / M31 * 100, 0)</f>
        <v>0</v>
      </c>
    </row>
    <row r="32" spans="1:24">
      <c r="A32" t="s">
        <v>4176</v>
      </c>
      <c r="B32" t="s">
        <v>512</v>
      </c>
      <c r="C32" t="s">
        <v>4844</v>
      </c>
      <c r="D32" t="s">
        <v>1007</v>
      </c>
      <c r="E32" t="s">
        <v>5482</v>
      </c>
      <c r="F32" t="s">
        <v>5513</v>
      </c>
      <c r="G32">
        <v>23.8</v>
      </c>
      <c r="H32">
        <v>1</v>
      </c>
      <c r="I32">
        <v>10.82</v>
      </c>
      <c r="J32">
        <v>8.01</v>
      </c>
      <c r="K32">
        <v>207.21</v>
      </c>
      <c r="L32">
        <v>0</v>
      </c>
      <c r="M32">
        <v>0</v>
      </c>
      <c r="N32">
        <v>0</v>
      </c>
      <c r="O32">
        <v>0</v>
      </c>
      <c r="P32" s="2">
        <f>(H32 + J32) - (L32 + N32)</f>
        <v>0</v>
      </c>
      <c r="Q32" s="2">
        <f>P32 * G32</f>
        <v>0</v>
      </c>
      <c r="R32">
        <v>1</v>
      </c>
      <c r="S32" s="2">
        <f>R32 * G32</f>
        <v>0</v>
      </c>
      <c r="T32" s="2">
        <f>(H32 + J32) - (L32 + N32) - R32</f>
        <v>0</v>
      </c>
      <c r="U32" s="2">
        <f>T32 * G32</f>
        <v>0</v>
      </c>
      <c r="V32" s="2">
        <f>I32 + K32 - S32</f>
        <v>0</v>
      </c>
      <c r="W32" s="2">
        <f>M32 - V32</f>
        <v>0</v>
      </c>
      <c r="X32" s="2">
        <f>IFERROR(W32 / M32 * 100, 0)</f>
        <v>0</v>
      </c>
    </row>
    <row r="33" spans="1:24">
      <c r="A33" t="s">
        <v>4177</v>
      </c>
      <c r="B33" t="s">
        <v>512</v>
      </c>
      <c r="C33" t="s">
        <v>4845</v>
      </c>
      <c r="D33" t="s">
        <v>1007</v>
      </c>
      <c r="E33" t="s">
        <v>5482</v>
      </c>
      <c r="F33" t="s">
        <v>5514</v>
      </c>
      <c r="G33">
        <v>20.13</v>
      </c>
      <c r="H33">
        <v>20</v>
      </c>
      <c r="I33">
        <v>402.65</v>
      </c>
      <c r="J33">
        <v>-25.89</v>
      </c>
      <c r="K33">
        <v>-521.1799999999999</v>
      </c>
      <c r="L33">
        <v>0</v>
      </c>
      <c r="M33">
        <v>0</v>
      </c>
      <c r="N33">
        <v>0</v>
      </c>
      <c r="O33">
        <v>0</v>
      </c>
      <c r="P33" s="2">
        <f>(H33 + J33) - (L33 + N33)</f>
        <v>0</v>
      </c>
      <c r="Q33" s="2">
        <f>P33 * G33</f>
        <v>0</v>
      </c>
      <c r="R33">
        <v>18</v>
      </c>
      <c r="S33" s="2">
        <f>R33 * G33</f>
        <v>0</v>
      </c>
      <c r="T33" s="2">
        <f>(H33 + J33) - (L33 + N33) - R33</f>
        <v>0</v>
      </c>
      <c r="U33" s="2">
        <f>T33 * G33</f>
        <v>0</v>
      </c>
      <c r="V33" s="2">
        <f>I33 + K33 - S33</f>
        <v>0</v>
      </c>
      <c r="W33" s="2">
        <f>M33 - V33</f>
        <v>0</v>
      </c>
      <c r="X33" s="2">
        <f>IFERROR(W33 / M33 * 100, 0)</f>
        <v>0</v>
      </c>
    </row>
    <row r="34" spans="1:24">
      <c r="A34" t="s">
        <v>4178</v>
      </c>
      <c r="B34" t="s">
        <v>512</v>
      </c>
      <c r="C34" t="s">
        <v>4846</v>
      </c>
      <c r="D34" t="s">
        <v>1007</v>
      </c>
      <c r="E34" t="s">
        <v>5482</v>
      </c>
      <c r="F34" t="s">
        <v>5515</v>
      </c>
      <c r="G34">
        <v>12.89</v>
      </c>
      <c r="H34">
        <v>0</v>
      </c>
      <c r="I34">
        <v>0</v>
      </c>
      <c r="J34">
        <v>-2027.02</v>
      </c>
      <c r="K34">
        <v>-3243.84</v>
      </c>
      <c r="L34">
        <v>0</v>
      </c>
      <c r="M34">
        <v>0</v>
      </c>
      <c r="N34">
        <v>0</v>
      </c>
      <c r="O34">
        <v>0</v>
      </c>
      <c r="P34" s="2">
        <f>(H34 + J34) - (L34 + N34)</f>
        <v>0</v>
      </c>
      <c r="Q34" s="2">
        <f>P34 * G34</f>
        <v>0</v>
      </c>
      <c r="R34">
        <v>0</v>
      </c>
      <c r="S34" s="2">
        <f>R34 * G34</f>
        <v>0</v>
      </c>
      <c r="T34" s="2">
        <f>(H34 + J34) - (L34 + N34) - R34</f>
        <v>0</v>
      </c>
      <c r="U34" s="2">
        <f>T34 * G34</f>
        <v>0</v>
      </c>
      <c r="V34" s="2">
        <f>I34 + K34 - S34</f>
        <v>0</v>
      </c>
      <c r="W34" s="2">
        <f>M34 - V34</f>
        <v>0</v>
      </c>
      <c r="X34" s="2">
        <f>IFERROR(W34 / M34 * 100, 0)</f>
        <v>0</v>
      </c>
    </row>
    <row r="35" spans="1:24">
      <c r="A35" t="s">
        <v>4179</v>
      </c>
      <c r="B35" t="s">
        <v>512</v>
      </c>
      <c r="C35" t="s">
        <v>4847</v>
      </c>
      <c r="D35" t="s">
        <v>1007</v>
      </c>
      <c r="E35" t="s">
        <v>5482</v>
      </c>
      <c r="F35" t="s">
        <v>5516</v>
      </c>
      <c r="G35">
        <v>37.35</v>
      </c>
      <c r="H35">
        <v>0.25</v>
      </c>
      <c r="I35">
        <v>8.460000000000001</v>
      </c>
      <c r="J35">
        <v>4.06</v>
      </c>
      <c r="K35">
        <v>152.72</v>
      </c>
      <c r="L35">
        <v>0</v>
      </c>
      <c r="M35">
        <v>0</v>
      </c>
      <c r="N35">
        <v>0</v>
      </c>
      <c r="O35">
        <v>0</v>
      </c>
      <c r="P35" s="2">
        <f>(H35 + J35) - (L35 + N35)</f>
        <v>0</v>
      </c>
      <c r="Q35" s="2">
        <f>P35 * G35</f>
        <v>0</v>
      </c>
      <c r="R35">
        <v>0</v>
      </c>
      <c r="S35" s="2">
        <f>R35 * G35</f>
        <v>0</v>
      </c>
      <c r="T35" s="2">
        <f>(H35 + J35) - (L35 + N35) - R35</f>
        <v>0</v>
      </c>
      <c r="U35" s="2">
        <f>T35 * G35</f>
        <v>0</v>
      </c>
      <c r="V35" s="2">
        <f>I35 + K35 - S35</f>
        <v>0</v>
      </c>
      <c r="W35" s="2">
        <f>M35 - V35</f>
        <v>0</v>
      </c>
      <c r="X35" s="2">
        <f>IFERROR(W35 / M35 * 100, 0)</f>
        <v>0</v>
      </c>
    </row>
    <row r="36" spans="1:24">
      <c r="A36" t="s">
        <v>4180</v>
      </c>
      <c r="B36" t="s">
        <v>512</v>
      </c>
      <c r="C36" t="s">
        <v>4848</v>
      </c>
      <c r="D36" t="s">
        <v>1007</v>
      </c>
      <c r="E36" t="s">
        <v>5482</v>
      </c>
      <c r="F36" t="s">
        <v>5517</v>
      </c>
      <c r="G36">
        <v>27</v>
      </c>
      <c r="H36">
        <v>1.5</v>
      </c>
      <c r="I36">
        <v>52.5</v>
      </c>
      <c r="J36">
        <v>-12.19</v>
      </c>
      <c r="K36">
        <v>-386.82</v>
      </c>
      <c r="L36">
        <v>0</v>
      </c>
      <c r="M36">
        <v>0</v>
      </c>
      <c r="N36">
        <v>0</v>
      </c>
      <c r="O36">
        <v>0</v>
      </c>
      <c r="P36" s="2">
        <f>(H36 + J36) - (L36 + N36)</f>
        <v>0</v>
      </c>
      <c r="Q36" s="2">
        <f>P36 * G36</f>
        <v>0</v>
      </c>
      <c r="R36">
        <v>1</v>
      </c>
      <c r="S36" s="2">
        <f>R36 * G36</f>
        <v>0</v>
      </c>
      <c r="T36" s="2">
        <f>(H36 + J36) - (L36 + N36) - R36</f>
        <v>0</v>
      </c>
      <c r="U36" s="2">
        <f>T36 * G36</f>
        <v>0</v>
      </c>
      <c r="V36" s="2">
        <f>I36 + K36 - S36</f>
        <v>0</v>
      </c>
      <c r="W36" s="2">
        <f>M36 - V36</f>
        <v>0</v>
      </c>
      <c r="X36" s="2">
        <f>IFERROR(W36 / M36 * 100, 0)</f>
        <v>0</v>
      </c>
    </row>
    <row r="37" spans="1:24">
      <c r="A37" t="s">
        <v>4181</v>
      </c>
      <c r="B37" t="s">
        <v>512</v>
      </c>
      <c r="C37" t="s">
        <v>4849</v>
      </c>
      <c r="D37" t="s">
        <v>1007</v>
      </c>
      <c r="E37" t="s">
        <v>5482</v>
      </c>
      <c r="F37" t="s">
        <v>5518</v>
      </c>
      <c r="G37">
        <v>39.93</v>
      </c>
      <c r="H37">
        <v>3</v>
      </c>
      <c r="I37">
        <v>119.8</v>
      </c>
      <c r="J37">
        <v>-1.89</v>
      </c>
      <c r="K37">
        <v>-75.47</v>
      </c>
      <c r="L37">
        <v>0</v>
      </c>
      <c r="M37">
        <v>0</v>
      </c>
      <c r="N37">
        <v>0</v>
      </c>
      <c r="O37">
        <v>0</v>
      </c>
      <c r="P37" s="2">
        <f>(H37 + J37) - (L37 + N37)</f>
        <v>0</v>
      </c>
      <c r="Q37" s="2">
        <f>P37 * G37</f>
        <v>0</v>
      </c>
      <c r="R37">
        <v>0</v>
      </c>
      <c r="S37" s="2">
        <f>R37 * G37</f>
        <v>0</v>
      </c>
      <c r="T37" s="2">
        <f>(H37 + J37) - (L37 + N37) - R37</f>
        <v>0</v>
      </c>
      <c r="U37" s="2">
        <f>T37 * G37</f>
        <v>0</v>
      </c>
      <c r="V37" s="2">
        <f>I37 + K37 - S37</f>
        <v>0</v>
      </c>
      <c r="W37" s="2">
        <f>M37 - V37</f>
        <v>0</v>
      </c>
      <c r="X37" s="2">
        <f>IFERROR(W37 / M37 * 100, 0)</f>
        <v>0</v>
      </c>
    </row>
    <row r="38" spans="1:24">
      <c r="A38" t="s">
        <v>4182</v>
      </c>
      <c r="B38" t="s">
        <v>512</v>
      </c>
      <c r="C38" t="s">
        <v>4850</v>
      </c>
      <c r="D38" t="s">
        <v>1007</v>
      </c>
      <c r="E38" t="s">
        <v>5482</v>
      </c>
      <c r="F38" t="s">
        <v>5519</v>
      </c>
      <c r="G38">
        <v>8.539999999999999</v>
      </c>
      <c r="H38">
        <v>0</v>
      </c>
      <c r="I38">
        <v>0</v>
      </c>
      <c r="J38">
        <v>-3.18</v>
      </c>
      <c r="K38">
        <v>-34.84</v>
      </c>
      <c r="L38">
        <v>0</v>
      </c>
      <c r="M38">
        <v>0</v>
      </c>
      <c r="N38">
        <v>0</v>
      </c>
      <c r="O38">
        <v>0</v>
      </c>
      <c r="P38" s="2">
        <f>(H38 + J38) - (L38 + N38)</f>
        <v>0</v>
      </c>
      <c r="Q38" s="2">
        <f>P38 * G38</f>
        <v>0</v>
      </c>
      <c r="R38">
        <v>0</v>
      </c>
      <c r="S38" s="2">
        <f>R38 * G38</f>
        <v>0</v>
      </c>
      <c r="T38" s="2">
        <f>(H38 + J38) - (L38 + N38) - R38</f>
        <v>0</v>
      </c>
      <c r="U38" s="2">
        <f>T38 * G38</f>
        <v>0</v>
      </c>
      <c r="V38" s="2">
        <f>I38 + K38 - S38</f>
        <v>0</v>
      </c>
      <c r="W38" s="2">
        <f>M38 - V38</f>
        <v>0</v>
      </c>
      <c r="X38" s="2">
        <f>IFERROR(W38 / M38 * 100, 0)</f>
        <v>0</v>
      </c>
    </row>
    <row r="39" spans="1:24">
      <c r="A39" t="s">
        <v>4183</v>
      </c>
      <c r="B39" t="s">
        <v>512</v>
      </c>
      <c r="C39" t="s">
        <v>4851</v>
      </c>
      <c r="D39" t="s">
        <v>1007</v>
      </c>
      <c r="E39" t="s">
        <v>5482</v>
      </c>
      <c r="F39" t="s">
        <v>5520</v>
      </c>
      <c r="G39">
        <v>13.31</v>
      </c>
      <c r="H39">
        <v>42</v>
      </c>
      <c r="I39">
        <v>559.0599999999999</v>
      </c>
      <c r="J39">
        <v>-16.27</v>
      </c>
      <c r="K39">
        <v>-216.52</v>
      </c>
      <c r="L39">
        <v>0</v>
      </c>
      <c r="M39">
        <v>0</v>
      </c>
      <c r="N39">
        <v>0</v>
      </c>
      <c r="O39">
        <v>0</v>
      </c>
      <c r="P39" s="2">
        <f>(H39 + J39) - (L39 + N39)</f>
        <v>0</v>
      </c>
      <c r="Q39" s="2">
        <f>P39 * G39</f>
        <v>0</v>
      </c>
      <c r="R39">
        <v>20</v>
      </c>
      <c r="S39" s="2">
        <f>R39 * G39</f>
        <v>0</v>
      </c>
      <c r="T39" s="2">
        <f>(H39 + J39) - (L39 + N39) - R39</f>
        <v>0</v>
      </c>
      <c r="U39" s="2">
        <f>T39 * G39</f>
        <v>0</v>
      </c>
      <c r="V39" s="2">
        <f>I39 + K39 - S39</f>
        <v>0</v>
      </c>
      <c r="W39" s="2">
        <f>M39 - V39</f>
        <v>0</v>
      </c>
      <c r="X39" s="2">
        <f>IFERROR(W39 / M39 * 100, 0)</f>
        <v>0</v>
      </c>
    </row>
    <row r="40" spans="1:24">
      <c r="A40" t="s">
        <v>4184</v>
      </c>
      <c r="B40" t="s">
        <v>513</v>
      </c>
      <c r="C40" t="s">
        <v>4852</v>
      </c>
      <c r="D40" t="s">
        <v>1007</v>
      </c>
      <c r="E40" t="s">
        <v>5482</v>
      </c>
      <c r="F40" t="s">
        <v>5521</v>
      </c>
      <c r="G40">
        <v>14.14</v>
      </c>
      <c r="H40">
        <v>3.5</v>
      </c>
      <c r="I40">
        <v>49.85</v>
      </c>
      <c r="J40">
        <v>10.4</v>
      </c>
      <c r="K40">
        <v>77.34999999999999</v>
      </c>
      <c r="L40">
        <v>12.71</v>
      </c>
      <c r="M40">
        <v>431.97</v>
      </c>
      <c r="N40">
        <v>0</v>
      </c>
      <c r="O40">
        <v>0</v>
      </c>
      <c r="P40" s="2">
        <f>(H40 + J40) - (L40 + N40)</f>
        <v>0</v>
      </c>
      <c r="Q40" s="2">
        <f>P40 * G40</f>
        <v>0</v>
      </c>
      <c r="R40">
        <v>2</v>
      </c>
      <c r="S40" s="2">
        <f>R40 * G40</f>
        <v>0</v>
      </c>
      <c r="T40" s="2">
        <f>(H40 + J40) - (L40 + N40) - R40</f>
        <v>0</v>
      </c>
      <c r="U40" s="2">
        <f>T40 * G40</f>
        <v>0</v>
      </c>
      <c r="V40" s="2">
        <f>I40 + K40 - S40</f>
        <v>0</v>
      </c>
      <c r="W40" s="2">
        <f>M40 - V40</f>
        <v>0</v>
      </c>
      <c r="X40" s="2">
        <f>IFERROR(W40 / M40 * 100, 0)</f>
        <v>0</v>
      </c>
    </row>
    <row r="41" spans="1:24">
      <c r="A41" t="s">
        <v>4185</v>
      </c>
      <c r="B41" t="s">
        <v>513</v>
      </c>
      <c r="C41" t="s">
        <v>4853</v>
      </c>
      <c r="D41" t="s">
        <v>1008</v>
      </c>
      <c r="E41" t="s">
        <v>5482</v>
      </c>
      <c r="F41" t="s">
        <v>5522</v>
      </c>
      <c r="G41">
        <v>1.92</v>
      </c>
      <c r="H41">
        <v>19</v>
      </c>
      <c r="I41">
        <v>32.82</v>
      </c>
      <c r="J41">
        <v>171</v>
      </c>
      <c r="K41">
        <v>208.08</v>
      </c>
      <c r="L41">
        <v>120</v>
      </c>
      <c r="M41">
        <v>480</v>
      </c>
      <c r="N41">
        <v>0</v>
      </c>
      <c r="O41">
        <v>0</v>
      </c>
      <c r="P41" s="2">
        <f>(H41 + J41) - (L41 + N41)</f>
        <v>0</v>
      </c>
      <c r="Q41" s="2">
        <f>P41 * G41</f>
        <v>0</v>
      </c>
      <c r="R41">
        <v>45</v>
      </c>
      <c r="S41" s="2">
        <f>R41 * G41</f>
        <v>0</v>
      </c>
      <c r="T41" s="2">
        <f>(H41 + J41) - (L41 + N41) - R41</f>
        <v>0</v>
      </c>
      <c r="U41" s="2">
        <f>T41 * G41</f>
        <v>0</v>
      </c>
      <c r="V41" s="2">
        <f>I41 + K41 - S41</f>
        <v>0</v>
      </c>
      <c r="W41" s="2">
        <f>M41 - V41</f>
        <v>0</v>
      </c>
      <c r="X41" s="2">
        <f>IFERROR(W41 / M41 * 100, 0)</f>
        <v>0</v>
      </c>
    </row>
    <row r="42" spans="1:24">
      <c r="A42" t="s">
        <v>4186</v>
      </c>
      <c r="B42" t="s">
        <v>513</v>
      </c>
      <c r="C42" t="s">
        <v>4854</v>
      </c>
      <c r="D42" t="s">
        <v>1008</v>
      </c>
      <c r="E42" t="s">
        <v>5482</v>
      </c>
      <c r="F42" t="s">
        <v>5523</v>
      </c>
      <c r="G42">
        <v>2</v>
      </c>
      <c r="H42">
        <v>54</v>
      </c>
      <c r="I42">
        <v>110.94</v>
      </c>
      <c r="J42">
        <v>27</v>
      </c>
      <c r="K42">
        <v>1.33</v>
      </c>
      <c r="L42">
        <v>37</v>
      </c>
      <c r="M42">
        <v>277.5</v>
      </c>
      <c r="N42">
        <v>0</v>
      </c>
      <c r="O42">
        <v>0</v>
      </c>
      <c r="P42" s="2">
        <f>(H42 + J42) - (L42 + N42)</f>
        <v>0</v>
      </c>
      <c r="Q42" s="2">
        <f>P42 * G42</f>
        <v>0</v>
      </c>
      <c r="R42">
        <v>28</v>
      </c>
      <c r="S42" s="2">
        <f>R42 * G42</f>
        <v>0</v>
      </c>
      <c r="T42" s="2">
        <f>(H42 + J42) - (L42 + N42) - R42</f>
        <v>0</v>
      </c>
      <c r="U42" s="2">
        <f>T42 * G42</f>
        <v>0</v>
      </c>
      <c r="V42" s="2">
        <f>I42 + K42 - S42</f>
        <v>0</v>
      </c>
      <c r="W42" s="2">
        <f>M42 - V42</f>
        <v>0</v>
      </c>
      <c r="X42" s="2">
        <f>IFERROR(W42 / M42 * 100, 0)</f>
        <v>0</v>
      </c>
    </row>
    <row r="43" spans="1:24">
      <c r="A43" t="s">
        <v>4187</v>
      </c>
      <c r="B43" t="s">
        <v>512</v>
      </c>
      <c r="C43" t="s">
        <v>4855</v>
      </c>
      <c r="D43" t="s">
        <v>1007</v>
      </c>
      <c r="E43" t="s">
        <v>5482</v>
      </c>
      <c r="F43" t="s">
        <v>5524</v>
      </c>
      <c r="G43">
        <v>10</v>
      </c>
      <c r="H43">
        <v>0</v>
      </c>
      <c r="I43">
        <v>0</v>
      </c>
      <c r="J43">
        <v>12.76</v>
      </c>
      <c r="K43">
        <v>127.6</v>
      </c>
      <c r="L43">
        <v>0</v>
      </c>
      <c r="M43">
        <v>0</v>
      </c>
      <c r="N43">
        <v>0</v>
      </c>
      <c r="O43">
        <v>0</v>
      </c>
      <c r="P43" s="2">
        <f>(H43 + J43) - (L43 + N43)</f>
        <v>0</v>
      </c>
      <c r="Q43" s="2">
        <f>P43 * G43</f>
        <v>0</v>
      </c>
      <c r="R43">
        <v>0</v>
      </c>
      <c r="S43" s="2">
        <f>R43 * G43</f>
        <v>0</v>
      </c>
      <c r="T43" s="2">
        <f>(H43 + J43) - (L43 + N43) - R43</f>
        <v>0</v>
      </c>
      <c r="U43" s="2">
        <f>T43 * G43</f>
        <v>0</v>
      </c>
      <c r="V43" s="2">
        <f>I43 + K43 - S43</f>
        <v>0</v>
      </c>
      <c r="W43" s="2">
        <f>M43 - V43</f>
        <v>0</v>
      </c>
      <c r="X43" s="2">
        <f>IFERROR(W43 / M43 * 100, 0)</f>
        <v>0</v>
      </c>
    </row>
    <row r="44" spans="1:24">
      <c r="A44" t="s">
        <v>4188</v>
      </c>
      <c r="B44" t="s">
        <v>512</v>
      </c>
      <c r="C44" t="s">
        <v>4856</v>
      </c>
      <c r="D44" t="s">
        <v>1007</v>
      </c>
      <c r="E44" t="s">
        <v>5482</v>
      </c>
      <c r="F44" t="s">
        <v>5525</v>
      </c>
      <c r="G44">
        <v>172.6</v>
      </c>
      <c r="H44">
        <v>0.5</v>
      </c>
      <c r="I44">
        <v>86.3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s="2">
        <f>(H44 + J44) - (L44 + N44)</f>
        <v>0</v>
      </c>
      <c r="Q44" s="2">
        <f>P44 * G44</f>
        <v>0</v>
      </c>
      <c r="R44">
        <v>0.5</v>
      </c>
      <c r="S44" s="2">
        <f>R44 * G44</f>
        <v>0</v>
      </c>
      <c r="T44" s="2">
        <f>(H44 + J44) - (L44 + N44) - R44</f>
        <v>0</v>
      </c>
      <c r="U44" s="2">
        <f>T44 * G44</f>
        <v>0</v>
      </c>
      <c r="V44" s="2">
        <f>I44 + K44 - S44</f>
        <v>0</v>
      </c>
      <c r="W44" s="2">
        <f>M44 - V44</f>
        <v>0</v>
      </c>
      <c r="X44" s="2">
        <f>IFERROR(W44 / M44 * 100, 0)</f>
        <v>0</v>
      </c>
    </row>
    <row r="45" spans="1:24">
      <c r="A45" t="s">
        <v>4189</v>
      </c>
      <c r="B45" t="s">
        <v>512</v>
      </c>
      <c r="C45" t="s">
        <v>4857</v>
      </c>
      <c r="D45" t="s">
        <v>1007</v>
      </c>
      <c r="E45" t="s">
        <v>5482</v>
      </c>
      <c r="F45" t="s">
        <v>5526</v>
      </c>
      <c r="G45">
        <v>10.34</v>
      </c>
      <c r="H45">
        <v>16</v>
      </c>
      <c r="I45">
        <v>165.37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s="2">
        <f>(H45 + J45) - (L45 + N45)</f>
        <v>0</v>
      </c>
      <c r="Q45" s="2">
        <f>P45 * G45</f>
        <v>0</v>
      </c>
      <c r="R45">
        <v>1</v>
      </c>
      <c r="S45" s="2">
        <f>R45 * G45</f>
        <v>0</v>
      </c>
      <c r="T45" s="2">
        <f>(H45 + J45) - (L45 + N45) - R45</f>
        <v>0</v>
      </c>
      <c r="U45" s="2">
        <f>T45 * G45</f>
        <v>0</v>
      </c>
      <c r="V45" s="2">
        <f>I45 + K45 - S45</f>
        <v>0</v>
      </c>
      <c r="W45" s="2">
        <f>M45 - V45</f>
        <v>0</v>
      </c>
      <c r="X45" s="2">
        <f>IFERROR(W45 / M45 * 100, 0)</f>
        <v>0</v>
      </c>
    </row>
    <row r="46" spans="1:24">
      <c r="A46" t="s">
        <v>4190</v>
      </c>
      <c r="B46" t="s">
        <v>512</v>
      </c>
      <c r="C46" t="s">
        <v>4858</v>
      </c>
      <c r="D46" t="s">
        <v>1008</v>
      </c>
      <c r="E46" t="s">
        <v>5482</v>
      </c>
      <c r="F46" t="s">
        <v>5527</v>
      </c>
      <c r="G46">
        <v>0.67</v>
      </c>
      <c r="H46">
        <v>0</v>
      </c>
      <c r="I46">
        <v>0</v>
      </c>
      <c r="J46">
        <v>690</v>
      </c>
      <c r="K46">
        <v>461</v>
      </c>
      <c r="L46">
        <v>0</v>
      </c>
      <c r="M46">
        <v>0</v>
      </c>
      <c r="N46">
        <v>0</v>
      </c>
      <c r="O46">
        <v>0</v>
      </c>
      <c r="P46" s="2">
        <f>(H46 + J46) - (L46 + N46)</f>
        <v>0</v>
      </c>
      <c r="Q46" s="2">
        <f>P46 * G46</f>
        <v>0</v>
      </c>
      <c r="R46">
        <v>0</v>
      </c>
      <c r="S46" s="2">
        <f>R46 * G46</f>
        <v>0</v>
      </c>
      <c r="T46" s="2">
        <f>(H46 + J46) - (L46 + N46) - R46</f>
        <v>0</v>
      </c>
      <c r="U46" s="2">
        <f>T46 * G46</f>
        <v>0</v>
      </c>
      <c r="V46" s="2">
        <f>I46 + K46 - S46</f>
        <v>0</v>
      </c>
      <c r="W46" s="2">
        <f>M46 - V46</f>
        <v>0</v>
      </c>
      <c r="X46" s="2">
        <f>IFERROR(W46 / M46 * 100, 0)</f>
        <v>0</v>
      </c>
    </row>
    <row r="47" spans="1:24">
      <c r="A47" t="s">
        <v>4191</v>
      </c>
      <c r="B47" t="s">
        <v>512</v>
      </c>
      <c r="C47" t="s">
        <v>4859</v>
      </c>
      <c r="D47" t="s">
        <v>1007</v>
      </c>
      <c r="E47" t="s">
        <v>5482</v>
      </c>
      <c r="F47" t="s">
        <v>5528</v>
      </c>
      <c r="G47">
        <v>7.33</v>
      </c>
      <c r="H47">
        <v>0</v>
      </c>
      <c r="I47">
        <v>0</v>
      </c>
      <c r="J47">
        <v>11.01</v>
      </c>
      <c r="K47">
        <v>80.75</v>
      </c>
      <c r="L47">
        <v>0</v>
      </c>
      <c r="M47">
        <v>0</v>
      </c>
      <c r="N47">
        <v>0</v>
      </c>
      <c r="O47">
        <v>0</v>
      </c>
      <c r="P47" s="2">
        <f>(H47 + J47) - (L47 + N47)</f>
        <v>0</v>
      </c>
      <c r="Q47" s="2">
        <f>P47 * G47</f>
        <v>0</v>
      </c>
      <c r="R47">
        <v>20</v>
      </c>
      <c r="S47" s="2">
        <f>R47 * G47</f>
        <v>0</v>
      </c>
      <c r="T47" s="2">
        <f>(H47 + J47) - (L47 + N47) - R47</f>
        <v>0</v>
      </c>
      <c r="U47" s="2">
        <f>T47 * G47</f>
        <v>0</v>
      </c>
      <c r="V47" s="2">
        <f>I47 + K47 - S47</f>
        <v>0</v>
      </c>
      <c r="W47" s="2">
        <f>M47 - V47</f>
        <v>0</v>
      </c>
      <c r="X47" s="2">
        <f>IFERROR(W47 / M47 * 100, 0)</f>
        <v>0</v>
      </c>
    </row>
    <row r="48" spans="1:24">
      <c r="A48" t="s">
        <v>4192</v>
      </c>
      <c r="B48" t="s">
        <v>512</v>
      </c>
      <c r="C48" t="s">
        <v>4860</v>
      </c>
      <c r="D48" t="s">
        <v>1007</v>
      </c>
      <c r="E48" t="s">
        <v>5482</v>
      </c>
      <c r="F48" t="s">
        <v>5529</v>
      </c>
      <c r="G48">
        <v>4.25</v>
      </c>
      <c r="H48">
        <v>0</v>
      </c>
      <c r="I48">
        <v>0</v>
      </c>
      <c r="J48">
        <v>-4.56</v>
      </c>
      <c r="K48">
        <v>-19.36</v>
      </c>
      <c r="L48">
        <v>0</v>
      </c>
      <c r="M48">
        <v>0</v>
      </c>
      <c r="N48">
        <v>0</v>
      </c>
      <c r="O48">
        <v>0</v>
      </c>
      <c r="P48" s="2">
        <f>(H48 + J48) - (L48 + N48)</f>
        <v>0</v>
      </c>
      <c r="Q48" s="2">
        <f>P48 * G48</f>
        <v>0</v>
      </c>
      <c r="R48">
        <v>0</v>
      </c>
      <c r="S48" s="2">
        <f>R48 * G48</f>
        <v>0</v>
      </c>
      <c r="T48" s="2">
        <f>(H48 + J48) - (L48 + N48) - R48</f>
        <v>0</v>
      </c>
      <c r="U48" s="2">
        <f>T48 * G48</f>
        <v>0</v>
      </c>
      <c r="V48" s="2">
        <f>I48 + K48 - S48</f>
        <v>0</v>
      </c>
      <c r="W48" s="2">
        <f>M48 - V48</f>
        <v>0</v>
      </c>
      <c r="X48" s="2">
        <f>IFERROR(W48 / M48 * 100, 0)</f>
        <v>0</v>
      </c>
    </row>
    <row r="49" spans="1:24">
      <c r="A49" t="s">
        <v>4193</v>
      </c>
      <c r="B49" t="s">
        <v>512</v>
      </c>
      <c r="C49" t="s">
        <v>4861</v>
      </c>
      <c r="D49" t="s">
        <v>1007</v>
      </c>
      <c r="E49" t="s">
        <v>5482</v>
      </c>
      <c r="F49" t="s">
        <v>5530</v>
      </c>
      <c r="G49">
        <v>14</v>
      </c>
      <c r="H49">
        <v>2.5</v>
      </c>
      <c r="I49">
        <v>35</v>
      </c>
      <c r="J49">
        <v>-11.82</v>
      </c>
      <c r="K49">
        <v>-165.42</v>
      </c>
      <c r="L49">
        <v>0</v>
      </c>
      <c r="M49">
        <v>0</v>
      </c>
      <c r="N49">
        <v>0</v>
      </c>
      <c r="O49">
        <v>0</v>
      </c>
      <c r="P49" s="2">
        <f>(H49 + J49) - (L49 + N49)</f>
        <v>0</v>
      </c>
      <c r="Q49" s="2">
        <f>P49 * G49</f>
        <v>0</v>
      </c>
      <c r="R49">
        <v>1</v>
      </c>
      <c r="S49" s="2">
        <f>R49 * G49</f>
        <v>0</v>
      </c>
      <c r="T49" s="2">
        <f>(H49 + J49) - (L49 + N49) - R49</f>
        <v>0</v>
      </c>
      <c r="U49" s="2">
        <f>T49 * G49</f>
        <v>0</v>
      </c>
      <c r="V49" s="2">
        <f>I49 + K49 - S49</f>
        <v>0</v>
      </c>
      <c r="W49" s="2">
        <f>M49 - V49</f>
        <v>0</v>
      </c>
      <c r="X49" s="2">
        <f>IFERROR(W49 / M49 * 100, 0)</f>
        <v>0</v>
      </c>
    </row>
    <row r="50" spans="1:24">
      <c r="A50" t="s">
        <v>4194</v>
      </c>
      <c r="B50" t="s">
        <v>512</v>
      </c>
      <c r="C50" t="s">
        <v>4862</v>
      </c>
      <c r="D50" t="s">
        <v>1007</v>
      </c>
      <c r="E50" t="s">
        <v>5482</v>
      </c>
      <c r="F50" t="s">
        <v>5531</v>
      </c>
      <c r="G50">
        <v>21.13</v>
      </c>
      <c r="H50">
        <v>20</v>
      </c>
      <c r="I50">
        <v>422.68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s="2">
        <f>(H50 + J50) - (L50 + N50)</f>
        <v>0</v>
      </c>
      <c r="Q50" s="2">
        <f>P50 * G50</f>
        <v>0</v>
      </c>
      <c r="R50">
        <v>23</v>
      </c>
      <c r="S50" s="2">
        <f>R50 * G50</f>
        <v>0</v>
      </c>
      <c r="T50" s="2">
        <f>(H50 + J50) - (L50 + N50) - R50</f>
        <v>0</v>
      </c>
      <c r="U50" s="2">
        <f>T50 * G50</f>
        <v>0</v>
      </c>
      <c r="V50" s="2">
        <f>I50 + K50 - S50</f>
        <v>0</v>
      </c>
      <c r="W50" s="2">
        <f>M50 - V50</f>
        <v>0</v>
      </c>
      <c r="X50" s="2">
        <f>IFERROR(W50 / M50 * 100, 0)</f>
        <v>0</v>
      </c>
    </row>
    <row r="51" spans="1:24">
      <c r="A51" t="s">
        <v>4195</v>
      </c>
      <c r="B51" t="s">
        <v>512</v>
      </c>
      <c r="C51" t="s">
        <v>4863</v>
      </c>
      <c r="D51" t="s">
        <v>1007</v>
      </c>
      <c r="E51" t="s">
        <v>5482</v>
      </c>
      <c r="F51" t="s">
        <v>5532</v>
      </c>
      <c r="G51">
        <v>4.89</v>
      </c>
      <c r="H51">
        <v>0.5</v>
      </c>
      <c r="I51">
        <v>2.44</v>
      </c>
      <c r="J51">
        <v>-44.35</v>
      </c>
      <c r="K51">
        <v>-246.11</v>
      </c>
      <c r="L51">
        <v>0</v>
      </c>
      <c r="M51">
        <v>0</v>
      </c>
      <c r="N51">
        <v>0</v>
      </c>
      <c r="O51">
        <v>0</v>
      </c>
      <c r="P51" s="2">
        <f>(H51 + J51) - (L51 + N51)</f>
        <v>0</v>
      </c>
      <c r="Q51" s="2">
        <f>P51 * G51</f>
        <v>0</v>
      </c>
      <c r="R51">
        <v>1</v>
      </c>
      <c r="S51" s="2">
        <f>R51 * G51</f>
        <v>0</v>
      </c>
      <c r="T51" s="2">
        <f>(H51 + J51) - (L51 + N51) - R51</f>
        <v>0</v>
      </c>
      <c r="U51" s="2">
        <f>T51 * G51</f>
        <v>0</v>
      </c>
      <c r="V51" s="2">
        <f>I51 + K51 - S51</f>
        <v>0</v>
      </c>
      <c r="W51" s="2">
        <f>M51 - V51</f>
        <v>0</v>
      </c>
      <c r="X51" s="2">
        <f>IFERROR(W51 / M51 * 100, 0)</f>
        <v>0</v>
      </c>
    </row>
    <row r="52" spans="1:24">
      <c r="A52" t="s">
        <v>4196</v>
      </c>
      <c r="B52" t="s">
        <v>513</v>
      </c>
      <c r="C52" t="s">
        <v>4864</v>
      </c>
      <c r="D52" t="s">
        <v>1007</v>
      </c>
      <c r="E52" t="s">
        <v>5482</v>
      </c>
      <c r="F52" t="s">
        <v>5533</v>
      </c>
      <c r="G52">
        <v>45</v>
      </c>
      <c r="H52">
        <v>3</v>
      </c>
      <c r="I52">
        <v>108.09</v>
      </c>
      <c r="J52">
        <v>-1</v>
      </c>
      <c r="K52">
        <v>-30</v>
      </c>
      <c r="L52">
        <v>10.34</v>
      </c>
      <c r="M52">
        <v>362</v>
      </c>
      <c r="N52">
        <v>0</v>
      </c>
      <c r="O52">
        <v>0</v>
      </c>
      <c r="P52" s="2">
        <f>(H52 + J52) - (L52 + N52)</f>
        <v>0</v>
      </c>
      <c r="Q52" s="2">
        <f>P52 * G52</f>
        <v>0</v>
      </c>
      <c r="R52">
        <v>2.54</v>
      </c>
      <c r="S52" s="2">
        <f>R52 * G52</f>
        <v>0</v>
      </c>
      <c r="T52" s="2">
        <f>(H52 + J52) - (L52 + N52) - R52</f>
        <v>0</v>
      </c>
      <c r="U52" s="2">
        <f>T52 * G52</f>
        <v>0</v>
      </c>
      <c r="V52" s="2">
        <f>I52 + K52 - S52</f>
        <v>0</v>
      </c>
      <c r="W52" s="2">
        <f>M52 - V52</f>
        <v>0</v>
      </c>
      <c r="X52" s="2">
        <f>IFERROR(W52 / M52 * 100, 0)</f>
        <v>0</v>
      </c>
    </row>
    <row r="53" spans="1:24">
      <c r="A53" t="s">
        <v>4197</v>
      </c>
      <c r="B53" t="s">
        <v>513</v>
      </c>
      <c r="C53" t="s">
        <v>4865</v>
      </c>
      <c r="D53" t="s">
        <v>1008</v>
      </c>
      <c r="E53" t="s">
        <v>5482</v>
      </c>
      <c r="F53" t="s">
        <v>5534</v>
      </c>
      <c r="G53">
        <v>3.2</v>
      </c>
      <c r="H53">
        <v>0</v>
      </c>
      <c r="I53">
        <v>0</v>
      </c>
      <c r="J53">
        <v>0</v>
      </c>
      <c r="K53">
        <v>0</v>
      </c>
      <c r="L53">
        <v>3</v>
      </c>
      <c r="M53">
        <v>15</v>
      </c>
      <c r="N53">
        <v>0</v>
      </c>
      <c r="O53">
        <v>0</v>
      </c>
      <c r="P53" s="2">
        <f>(H53 + J53) - (L53 + N53)</f>
        <v>0</v>
      </c>
      <c r="Q53" s="2">
        <f>P53 * G53</f>
        <v>0</v>
      </c>
      <c r="R53">
        <v>0</v>
      </c>
      <c r="S53" s="2">
        <f>R53 * G53</f>
        <v>0</v>
      </c>
      <c r="T53" s="2">
        <f>(H53 + J53) - (L53 + N53) - R53</f>
        <v>0</v>
      </c>
      <c r="U53" s="2">
        <f>T53 * G53</f>
        <v>0</v>
      </c>
      <c r="V53" s="2">
        <f>I53 + K53 - S53</f>
        <v>0</v>
      </c>
      <c r="W53" s="2">
        <f>M53 - V53</f>
        <v>0</v>
      </c>
      <c r="X53" s="2">
        <f>IFERROR(W53 / M53 * 100, 0)</f>
        <v>0</v>
      </c>
    </row>
    <row r="54" spans="1:24">
      <c r="A54" t="s">
        <v>4198</v>
      </c>
      <c r="B54" t="s">
        <v>513</v>
      </c>
      <c r="C54" t="s">
        <v>4866</v>
      </c>
      <c r="D54" t="s">
        <v>1008</v>
      </c>
      <c r="E54" t="s">
        <v>5482</v>
      </c>
      <c r="F54" t="s">
        <v>5535</v>
      </c>
      <c r="G54">
        <v>1</v>
      </c>
      <c r="H54">
        <v>2</v>
      </c>
      <c r="I54">
        <v>2</v>
      </c>
      <c r="J54">
        <v>0</v>
      </c>
      <c r="K54">
        <v>0</v>
      </c>
      <c r="L54">
        <v>52</v>
      </c>
      <c r="M54">
        <v>65</v>
      </c>
      <c r="N54">
        <v>0</v>
      </c>
      <c r="O54">
        <v>0</v>
      </c>
      <c r="P54" s="2">
        <f>(H54 + J54) - (L54 + N54)</f>
        <v>0</v>
      </c>
      <c r="Q54" s="2">
        <f>P54 * G54</f>
        <v>0</v>
      </c>
      <c r="R54">
        <v>0</v>
      </c>
      <c r="S54" s="2">
        <f>R54 * G54</f>
        <v>0</v>
      </c>
      <c r="T54" s="2">
        <f>(H54 + J54) - (L54 + N54) - R54</f>
        <v>0</v>
      </c>
      <c r="U54" s="2">
        <f>T54 * G54</f>
        <v>0</v>
      </c>
      <c r="V54" s="2">
        <f>I54 + K54 - S54</f>
        <v>0</v>
      </c>
      <c r="W54" s="2">
        <f>M54 - V54</f>
        <v>0</v>
      </c>
      <c r="X54" s="2">
        <f>IFERROR(W54 / M54 * 100, 0)</f>
        <v>0</v>
      </c>
    </row>
    <row r="55" spans="1:24">
      <c r="A55" t="s">
        <v>4199</v>
      </c>
      <c r="B55" t="s">
        <v>513</v>
      </c>
      <c r="C55" t="s">
        <v>4867</v>
      </c>
      <c r="D55" t="s">
        <v>1008</v>
      </c>
      <c r="E55" t="s">
        <v>5482</v>
      </c>
      <c r="F55" t="s">
        <v>5536</v>
      </c>
      <c r="G55">
        <v>3.6</v>
      </c>
      <c r="H55">
        <v>0</v>
      </c>
      <c r="I55">
        <v>0</v>
      </c>
      <c r="J55">
        <v>0</v>
      </c>
      <c r="K55">
        <v>0</v>
      </c>
      <c r="L55">
        <v>2</v>
      </c>
      <c r="M55">
        <v>12</v>
      </c>
      <c r="N55">
        <v>0</v>
      </c>
      <c r="O55">
        <v>0</v>
      </c>
      <c r="P55" s="2">
        <f>(H55 + J55) - (L55 + N55)</f>
        <v>0</v>
      </c>
      <c r="Q55" s="2">
        <f>P55 * G55</f>
        <v>0</v>
      </c>
      <c r="R55">
        <v>0</v>
      </c>
      <c r="S55" s="2">
        <f>R55 * G55</f>
        <v>0</v>
      </c>
      <c r="T55" s="2">
        <f>(H55 + J55) - (L55 + N55) - R55</f>
        <v>0</v>
      </c>
      <c r="U55" s="2">
        <f>T55 * G55</f>
        <v>0</v>
      </c>
      <c r="V55" s="2">
        <f>I55 + K55 - S55</f>
        <v>0</v>
      </c>
      <c r="W55" s="2">
        <f>M55 - V55</f>
        <v>0</v>
      </c>
      <c r="X55" s="2">
        <f>IFERROR(W55 / M55 * 100, 0)</f>
        <v>0</v>
      </c>
    </row>
    <row r="56" spans="1:24">
      <c r="A56" t="s">
        <v>4200</v>
      </c>
      <c r="B56" t="s">
        <v>512</v>
      </c>
      <c r="C56" t="s">
        <v>4868</v>
      </c>
      <c r="D56" t="s">
        <v>1007</v>
      </c>
      <c r="E56" t="s">
        <v>5482</v>
      </c>
      <c r="F56" t="s">
        <v>5537</v>
      </c>
      <c r="G56">
        <v>1</v>
      </c>
      <c r="H56">
        <v>3</v>
      </c>
      <c r="I56">
        <v>3</v>
      </c>
      <c r="J56">
        <v>-8.640000000000001</v>
      </c>
      <c r="K56">
        <v>-8.640000000000001</v>
      </c>
      <c r="L56">
        <v>0</v>
      </c>
      <c r="M56">
        <v>0</v>
      </c>
      <c r="N56">
        <v>0</v>
      </c>
      <c r="O56">
        <v>0</v>
      </c>
      <c r="P56" s="2">
        <f>(H56 + J56) - (L56 + N56)</f>
        <v>0</v>
      </c>
      <c r="Q56" s="2">
        <f>P56 * G56</f>
        <v>0</v>
      </c>
      <c r="R56">
        <v>2</v>
      </c>
      <c r="S56" s="2">
        <f>R56 * G56</f>
        <v>0</v>
      </c>
      <c r="T56" s="2">
        <f>(H56 + J56) - (L56 + N56) - R56</f>
        <v>0</v>
      </c>
      <c r="U56" s="2">
        <f>T56 * G56</f>
        <v>0</v>
      </c>
      <c r="V56" s="2">
        <f>I56 + K56 - S56</f>
        <v>0</v>
      </c>
      <c r="W56" s="2">
        <f>M56 - V56</f>
        <v>0</v>
      </c>
      <c r="X56" s="2">
        <f>IFERROR(W56 / M56 * 100, 0)</f>
        <v>0</v>
      </c>
    </row>
    <row r="57" spans="1:24">
      <c r="A57" t="s">
        <v>4201</v>
      </c>
      <c r="B57" t="s">
        <v>512</v>
      </c>
      <c r="C57" t="s">
        <v>4869</v>
      </c>
      <c r="D57" t="s">
        <v>1007</v>
      </c>
      <c r="E57" t="s">
        <v>5482</v>
      </c>
      <c r="F57" t="s">
        <v>5538</v>
      </c>
      <c r="G57">
        <v>111.73</v>
      </c>
      <c r="H57">
        <v>0.5</v>
      </c>
      <c r="I57">
        <v>65.79000000000001</v>
      </c>
      <c r="J57">
        <v>-0.93</v>
      </c>
      <c r="K57">
        <v>-130.86</v>
      </c>
      <c r="L57">
        <v>0</v>
      </c>
      <c r="M57">
        <v>0</v>
      </c>
      <c r="N57">
        <v>0</v>
      </c>
      <c r="O57">
        <v>0</v>
      </c>
      <c r="P57" s="2">
        <f>(H57 + J57) - (L57 + N57)</f>
        <v>0</v>
      </c>
      <c r="Q57" s="2">
        <f>P57 * G57</f>
        <v>0</v>
      </c>
      <c r="R57">
        <v>0.5</v>
      </c>
      <c r="S57" s="2">
        <f>R57 * G57</f>
        <v>0</v>
      </c>
      <c r="T57" s="2">
        <f>(H57 + J57) - (L57 + N57) - R57</f>
        <v>0</v>
      </c>
      <c r="U57" s="2">
        <f>T57 * G57</f>
        <v>0</v>
      </c>
      <c r="V57" s="2">
        <f>I57 + K57 - S57</f>
        <v>0</v>
      </c>
      <c r="W57" s="2">
        <f>M57 - V57</f>
        <v>0</v>
      </c>
      <c r="X57" s="2">
        <f>IFERROR(W57 / M57 * 100, 0)</f>
        <v>0</v>
      </c>
    </row>
    <row r="58" spans="1:24">
      <c r="A58" t="s">
        <v>4202</v>
      </c>
      <c r="B58" t="s">
        <v>512</v>
      </c>
      <c r="C58" t="s">
        <v>4870</v>
      </c>
      <c r="D58" t="s">
        <v>1007</v>
      </c>
      <c r="E58" t="s">
        <v>5482</v>
      </c>
      <c r="F58" t="s">
        <v>5539</v>
      </c>
      <c r="G58">
        <v>15.43</v>
      </c>
      <c r="H58">
        <v>0</v>
      </c>
      <c r="I58">
        <v>0</v>
      </c>
      <c r="J58">
        <v>-1.22</v>
      </c>
      <c r="K58">
        <v>-18.88</v>
      </c>
      <c r="L58">
        <v>0</v>
      </c>
      <c r="M58">
        <v>0</v>
      </c>
      <c r="N58">
        <v>0</v>
      </c>
      <c r="O58">
        <v>0</v>
      </c>
      <c r="P58" s="2">
        <f>(H58 + J58) - (L58 + N58)</f>
        <v>0</v>
      </c>
      <c r="Q58" s="2">
        <f>P58 * G58</f>
        <v>0</v>
      </c>
      <c r="R58">
        <v>0</v>
      </c>
      <c r="S58" s="2">
        <f>R58 * G58</f>
        <v>0</v>
      </c>
      <c r="T58" s="2">
        <f>(H58 + J58) - (L58 + N58) - R58</f>
        <v>0</v>
      </c>
      <c r="U58" s="2">
        <f>T58 * G58</f>
        <v>0</v>
      </c>
      <c r="V58" s="2">
        <f>I58 + K58 - S58</f>
        <v>0</v>
      </c>
      <c r="W58" s="2">
        <f>M58 - V58</f>
        <v>0</v>
      </c>
      <c r="X58" s="2">
        <f>IFERROR(W58 / M58 * 100, 0)</f>
        <v>0</v>
      </c>
    </row>
    <row r="59" spans="1:24">
      <c r="A59" t="s">
        <v>4203</v>
      </c>
      <c r="B59" t="s">
        <v>512</v>
      </c>
      <c r="C59" t="s">
        <v>4871</v>
      </c>
      <c r="D59" t="s">
        <v>1007</v>
      </c>
      <c r="E59" t="s">
        <v>5482</v>
      </c>
      <c r="F59" t="s">
        <v>5540</v>
      </c>
      <c r="G59">
        <v>50</v>
      </c>
      <c r="H59">
        <v>0</v>
      </c>
      <c r="I59">
        <v>0</v>
      </c>
      <c r="J59">
        <v>-1.84</v>
      </c>
      <c r="K59">
        <v>-85.97</v>
      </c>
      <c r="L59">
        <v>0</v>
      </c>
      <c r="M59">
        <v>0</v>
      </c>
      <c r="N59">
        <v>0</v>
      </c>
      <c r="O59">
        <v>0</v>
      </c>
      <c r="P59" s="2">
        <f>(H59 + J59) - (L59 + N59)</f>
        <v>0</v>
      </c>
      <c r="Q59" s="2">
        <f>P59 * G59</f>
        <v>0</v>
      </c>
      <c r="R59">
        <v>0</v>
      </c>
      <c r="S59" s="2">
        <f>R59 * G59</f>
        <v>0</v>
      </c>
      <c r="T59" s="2">
        <f>(H59 + J59) - (L59 + N59) - R59</f>
        <v>0</v>
      </c>
      <c r="U59" s="2">
        <f>T59 * G59</f>
        <v>0</v>
      </c>
      <c r="V59" s="2">
        <f>I59 + K59 - S59</f>
        <v>0</v>
      </c>
      <c r="W59" s="2">
        <f>M59 - V59</f>
        <v>0</v>
      </c>
      <c r="X59" s="2">
        <f>IFERROR(W59 / M59 * 100, 0)</f>
        <v>0</v>
      </c>
    </row>
    <row r="60" spans="1:24">
      <c r="A60" t="s">
        <v>4204</v>
      </c>
      <c r="B60" t="s">
        <v>512</v>
      </c>
      <c r="C60" t="s">
        <v>4872</v>
      </c>
      <c r="D60" t="s">
        <v>1007</v>
      </c>
      <c r="E60" t="s">
        <v>5482</v>
      </c>
      <c r="F60" t="s">
        <v>5541</v>
      </c>
      <c r="G60">
        <v>90.01000000000001</v>
      </c>
      <c r="H60">
        <v>0</v>
      </c>
      <c r="I60">
        <v>0</v>
      </c>
      <c r="J60">
        <v>0.2</v>
      </c>
      <c r="K60">
        <v>18</v>
      </c>
      <c r="L60">
        <v>0</v>
      </c>
      <c r="M60">
        <v>0</v>
      </c>
      <c r="N60">
        <v>0</v>
      </c>
      <c r="O60">
        <v>0</v>
      </c>
      <c r="P60" s="2">
        <f>(H60 + J60) - (L60 + N60)</f>
        <v>0</v>
      </c>
      <c r="Q60" s="2">
        <f>P60 * G60</f>
        <v>0</v>
      </c>
      <c r="R60">
        <v>0</v>
      </c>
      <c r="S60" s="2">
        <f>R60 * G60</f>
        <v>0</v>
      </c>
      <c r="T60" s="2">
        <f>(H60 + J60) - (L60 + N60) - R60</f>
        <v>0</v>
      </c>
      <c r="U60" s="2">
        <f>T60 * G60</f>
        <v>0</v>
      </c>
      <c r="V60" s="2">
        <f>I60 + K60 - S60</f>
        <v>0</v>
      </c>
      <c r="W60" s="2">
        <f>M60 - V60</f>
        <v>0</v>
      </c>
      <c r="X60" s="2">
        <f>IFERROR(W60 / M60 * 100, 0)</f>
        <v>0</v>
      </c>
    </row>
    <row r="61" spans="1:24">
      <c r="A61" t="s">
        <v>4205</v>
      </c>
      <c r="B61" t="s">
        <v>512</v>
      </c>
      <c r="C61" t="s">
        <v>4873</v>
      </c>
      <c r="D61" t="s">
        <v>1008</v>
      </c>
      <c r="E61" t="s">
        <v>5482</v>
      </c>
      <c r="F61" t="s">
        <v>5542</v>
      </c>
      <c r="G61">
        <v>7.96</v>
      </c>
      <c r="H61">
        <v>140</v>
      </c>
      <c r="I61">
        <v>1114.4</v>
      </c>
      <c r="J61">
        <v>-1</v>
      </c>
      <c r="K61">
        <v>-7.96</v>
      </c>
      <c r="L61">
        <v>0</v>
      </c>
      <c r="M61">
        <v>0</v>
      </c>
      <c r="N61">
        <v>0</v>
      </c>
      <c r="O61">
        <v>0</v>
      </c>
      <c r="P61" s="2">
        <f>(H61 + J61) - (L61 + N61)</f>
        <v>0</v>
      </c>
      <c r="Q61" s="2">
        <f>P61 * G61</f>
        <v>0</v>
      </c>
      <c r="R61">
        <v>100</v>
      </c>
      <c r="S61" s="2">
        <f>R61 * G61</f>
        <v>0</v>
      </c>
      <c r="T61" s="2">
        <f>(H61 + J61) - (L61 + N61) - R61</f>
        <v>0</v>
      </c>
      <c r="U61" s="2">
        <f>T61 * G61</f>
        <v>0</v>
      </c>
      <c r="V61" s="2">
        <f>I61 + K61 - S61</f>
        <v>0</v>
      </c>
      <c r="W61" s="2">
        <f>M61 - V61</f>
        <v>0</v>
      </c>
      <c r="X61" s="2">
        <f>IFERROR(W61 / M61 * 100, 0)</f>
        <v>0</v>
      </c>
    </row>
    <row r="62" spans="1:24">
      <c r="A62" t="s">
        <v>4206</v>
      </c>
      <c r="B62" t="s">
        <v>512</v>
      </c>
      <c r="C62" t="s">
        <v>4874</v>
      </c>
      <c r="D62" t="s">
        <v>1007</v>
      </c>
      <c r="E62" t="s">
        <v>5482</v>
      </c>
      <c r="F62" t="s">
        <v>5543</v>
      </c>
      <c r="G62">
        <v>47.51</v>
      </c>
      <c r="H62">
        <v>10</v>
      </c>
      <c r="I62">
        <v>475.1</v>
      </c>
      <c r="J62">
        <v>-5.6</v>
      </c>
      <c r="K62">
        <v>-266.05</v>
      </c>
      <c r="L62">
        <v>0</v>
      </c>
      <c r="M62">
        <v>0</v>
      </c>
      <c r="N62">
        <v>0</v>
      </c>
      <c r="O62">
        <v>0</v>
      </c>
      <c r="P62" s="2">
        <f>(H62 + J62) - (L62 + N62)</f>
        <v>0</v>
      </c>
      <c r="Q62" s="2">
        <f>P62 * G62</f>
        <v>0</v>
      </c>
      <c r="R62">
        <v>5</v>
      </c>
      <c r="S62" s="2">
        <f>R62 * G62</f>
        <v>0</v>
      </c>
      <c r="T62" s="2">
        <f>(H62 + J62) - (L62 + N62) - R62</f>
        <v>0</v>
      </c>
      <c r="U62" s="2">
        <f>T62 * G62</f>
        <v>0</v>
      </c>
      <c r="V62" s="2">
        <f>I62 + K62 - S62</f>
        <v>0</v>
      </c>
      <c r="W62" s="2">
        <f>M62 - V62</f>
        <v>0</v>
      </c>
      <c r="X62" s="2">
        <f>IFERROR(W62 / M62 * 100, 0)</f>
        <v>0</v>
      </c>
    </row>
    <row r="63" spans="1:24">
      <c r="A63" t="s">
        <v>4207</v>
      </c>
      <c r="B63" t="s">
        <v>512</v>
      </c>
      <c r="C63" t="s">
        <v>4875</v>
      </c>
      <c r="D63" t="s">
        <v>1007</v>
      </c>
      <c r="E63" t="s">
        <v>5482</v>
      </c>
      <c r="F63" t="s">
        <v>5544</v>
      </c>
      <c r="G63">
        <v>25</v>
      </c>
      <c r="H63">
        <v>3</v>
      </c>
      <c r="I63">
        <v>81</v>
      </c>
      <c r="J63">
        <v>8.5</v>
      </c>
      <c r="K63">
        <v>206.49</v>
      </c>
      <c r="L63">
        <v>0</v>
      </c>
      <c r="M63">
        <v>0</v>
      </c>
      <c r="N63">
        <v>0</v>
      </c>
      <c r="O63">
        <v>0</v>
      </c>
      <c r="P63" s="2">
        <f>(H63 + J63) - (L63 + N63)</f>
        <v>0</v>
      </c>
      <c r="Q63" s="2">
        <f>P63 * G63</f>
        <v>0</v>
      </c>
      <c r="R63">
        <v>5</v>
      </c>
      <c r="S63" s="2">
        <f>R63 * G63</f>
        <v>0</v>
      </c>
      <c r="T63" s="2">
        <f>(H63 + J63) - (L63 + N63) - R63</f>
        <v>0</v>
      </c>
      <c r="U63" s="2">
        <f>T63 * G63</f>
        <v>0</v>
      </c>
      <c r="V63" s="2">
        <f>I63 + K63 - S63</f>
        <v>0</v>
      </c>
      <c r="W63" s="2">
        <f>M63 - V63</f>
        <v>0</v>
      </c>
      <c r="X63" s="2">
        <f>IFERROR(W63 / M63 * 100, 0)</f>
        <v>0</v>
      </c>
    </row>
    <row r="64" spans="1:24">
      <c r="A64" t="s">
        <v>4208</v>
      </c>
      <c r="B64" t="s">
        <v>512</v>
      </c>
      <c r="C64" t="s">
        <v>4876</v>
      </c>
      <c r="D64" t="s">
        <v>1007</v>
      </c>
      <c r="E64" t="s">
        <v>5482</v>
      </c>
      <c r="F64" t="s">
        <v>5545</v>
      </c>
      <c r="G64">
        <v>12.99</v>
      </c>
      <c r="H64">
        <v>20</v>
      </c>
      <c r="I64">
        <v>259.86</v>
      </c>
      <c r="J64">
        <v>-14.15</v>
      </c>
      <c r="K64">
        <v>-183.85</v>
      </c>
      <c r="L64">
        <v>0</v>
      </c>
      <c r="M64">
        <v>0</v>
      </c>
      <c r="N64">
        <v>0</v>
      </c>
      <c r="O64">
        <v>0</v>
      </c>
      <c r="P64" s="2">
        <f>(H64 + J64) - (L64 + N64)</f>
        <v>0</v>
      </c>
      <c r="Q64" s="2">
        <f>P64 * G64</f>
        <v>0</v>
      </c>
      <c r="R64">
        <v>0</v>
      </c>
      <c r="S64" s="2">
        <f>R64 * G64</f>
        <v>0</v>
      </c>
      <c r="T64" s="2">
        <f>(H64 + J64) - (L64 + N64) - R64</f>
        <v>0</v>
      </c>
      <c r="U64" s="2">
        <f>T64 * G64</f>
        <v>0</v>
      </c>
      <c r="V64" s="2">
        <f>I64 + K64 - S64</f>
        <v>0</v>
      </c>
      <c r="W64" s="2">
        <f>M64 - V64</f>
        <v>0</v>
      </c>
      <c r="X64" s="2">
        <f>IFERROR(W64 / M64 * 100, 0)</f>
        <v>0</v>
      </c>
    </row>
    <row r="65" spans="1:24">
      <c r="A65" t="s">
        <v>4209</v>
      </c>
      <c r="B65" t="s">
        <v>512</v>
      </c>
      <c r="C65" t="s">
        <v>4877</v>
      </c>
      <c r="D65" t="s">
        <v>1007</v>
      </c>
      <c r="E65" t="s">
        <v>5482</v>
      </c>
      <c r="F65" t="s">
        <v>5546</v>
      </c>
      <c r="G65">
        <v>17.73</v>
      </c>
      <c r="H65">
        <v>5</v>
      </c>
      <c r="I65">
        <v>88.66</v>
      </c>
      <c r="J65">
        <v>-1.1</v>
      </c>
      <c r="K65">
        <v>-19.47</v>
      </c>
      <c r="L65">
        <v>0</v>
      </c>
      <c r="M65">
        <v>0</v>
      </c>
      <c r="N65">
        <v>0</v>
      </c>
      <c r="O65">
        <v>0</v>
      </c>
      <c r="P65" s="2">
        <f>(H65 + J65) - (L65 + N65)</f>
        <v>0</v>
      </c>
      <c r="Q65" s="2">
        <f>P65 * G65</f>
        <v>0</v>
      </c>
      <c r="R65">
        <v>3</v>
      </c>
      <c r="S65" s="2">
        <f>R65 * G65</f>
        <v>0</v>
      </c>
      <c r="T65" s="2">
        <f>(H65 + J65) - (L65 + N65) - R65</f>
        <v>0</v>
      </c>
      <c r="U65" s="2">
        <f>T65 * G65</f>
        <v>0</v>
      </c>
      <c r="V65" s="2">
        <f>I65 + K65 - S65</f>
        <v>0</v>
      </c>
      <c r="W65" s="2">
        <f>M65 - V65</f>
        <v>0</v>
      </c>
      <c r="X65" s="2">
        <f>IFERROR(W65 / M65 * 100, 0)</f>
        <v>0</v>
      </c>
    </row>
    <row r="66" spans="1:24">
      <c r="A66" t="s">
        <v>4210</v>
      </c>
      <c r="B66" t="s">
        <v>512</v>
      </c>
      <c r="C66" t="s">
        <v>4878</v>
      </c>
      <c r="D66" t="s">
        <v>1007</v>
      </c>
      <c r="E66" t="s">
        <v>5482</v>
      </c>
      <c r="F66" t="s">
        <v>5547</v>
      </c>
      <c r="G66">
        <v>21.75</v>
      </c>
      <c r="H66">
        <v>12</v>
      </c>
      <c r="I66">
        <v>257.13</v>
      </c>
      <c r="J66">
        <v>30.5</v>
      </c>
      <c r="K66">
        <v>667.37</v>
      </c>
      <c r="L66">
        <v>0</v>
      </c>
      <c r="M66">
        <v>0</v>
      </c>
      <c r="N66">
        <v>0</v>
      </c>
      <c r="O66">
        <v>0</v>
      </c>
      <c r="P66" s="2">
        <f>(H66 + J66) - (L66 + N66)</f>
        <v>0</v>
      </c>
      <c r="Q66" s="2">
        <f>P66 * G66</f>
        <v>0</v>
      </c>
      <c r="R66">
        <v>33</v>
      </c>
      <c r="S66" s="2">
        <f>R66 * G66</f>
        <v>0</v>
      </c>
      <c r="T66" s="2">
        <f>(H66 + J66) - (L66 + N66) - R66</f>
        <v>0</v>
      </c>
      <c r="U66" s="2">
        <f>T66 * G66</f>
        <v>0</v>
      </c>
      <c r="V66" s="2">
        <f>I66 + K66 - S66</f>
        <v>0</v>
      </c>
      <c r="W66" s="2">
        <f>M66 - V66</f>
        <v>0</v>
      </c>
      <c r="X66" s="2">
        <f>IFERROR(W66 / M66 * 100, 0)</f>
        <v>0</v>
      </c>
    </row>
    <row r="67" spans="1:24">
      <c r="A67" t="s">
        <v>4211</v>
      </c>
      <c r="B67" t="s">
        <v>512</v>
      </c>
      <c r="C67" t="s">
        <v>4879</v>
      </c>
      <c r="D67" t="s">
        <v>1007</v>
      </c>
      <c r="E67" t="s">
        <v>5482</v>
      </c>
      <c r="F67" t="s">
        <v>5548</v>
      </c>
      <c r="G67">
        <v>5</v>
      </c>
      <c r="H67">
        <v>0</v>
      </c>
      <c r="I67">
        <v>0</v>
      </c>
      <c r="J67">
        <v>-5.19</v>
      </c>
      <c r="K67">
        <v>-25.93</v>
      </c>
      <c r="L67">
        <v>0</v>
      </c>
      <c r="M67">
        <v>0</v>
      </c>
      <c r="N67">
        <v>0</v>
      </c>
      <c r="O67">
        <v>0</v>
      </c>
      <c r="P67" s="2">
        <f>(H67 + J67) - (L67 + N67)</f>
        <v>0</v>
      </c>
      <c r="Q67" s="2">
        <f>P67 * G67</f>
        <v>0</v>
      </c>
      <c r="R67">
        <v>0</v>
      </c>
      <c r="S67" s="2">
        <f>R67 * G67</f>
        <v>0</v>
      </c>
      <c r="T67" s="2">
        <f>(H67 + J67) - (L67 + N67) - R67</f>
        <v>0</v>
      </c>
      <c r="U67" s="2">
        <f>T67 * G67</f>
        <v>0</v>
      </c>
      <c r="V67" s="2">
        <f>I67 + K67 - S67</f>
        <v>0</v>
      </c>
      <c r="W67" s="2">
        <f>M67 - V67</f>
        <v>0</v>
      </c>
      <c r="X67" s="2">
        <f>IFERROR(W67 / M67 * 100, 0)</f>
        <v>0</v>
      </c>
    </row>
    <row r="68" spans="1:24">
      <c r="A68" t="s">
        <v>4212</v>
      </c>
      <c r="B68" t="s">
        <v>512</v>
      </c>
      <c r="C68" t="s">
        <v>4880</v>
      </c>
      <c r="D68" t="s">
        <v>1007</v>
      </c>
      <c r="E68" t="s">
        <v>5482</v>
      </c>
      <c r="F68" t="s">
        <v>5549</v>
      </c>
      <c r="G68">
        <v>23.92</v>
      </c>
      <c r="H68">
        <v>14</v>
      </c>
      <c r="I68">
        <v>334.85</v>
      </c>
      <c r="J68">
        <v>-2</v>
      </c>
      <c r="K68">
        <v>-47.84</v>
      </c>
      <c r="L68">
        <v>0</v>
      </c>
      <c r="M68">
        <v>0</v>
      </c>
      <c r="N68">
        <v>0</v>
      </c>
      <c r="O68">
        <v>0</v>
      </c>
      <c r="P68" s="2">
        <f>(H68 + J68) - (L68 + N68)</f>
        <v>0</v>
      </c>
      <c r="Q68" s="2">
        <f>P68 * G68</f>
        <v>0</v>
      </c>
      <c r="R68">
        <v>3</v>
      </c>
      <c r="S68" s="2">
        <f>R68 * G68</f>
        <v>0</v>
      </c>
      <c r="T68" s="2">
        <f>(H68 + J68) - (L68 + N68) - R68</f>
        <v>0</v>
      </c>
      <c r="U68" s="2">
        <f>T68 * G68</f>
        <v>0</v>
      </c>
      <c r="V68" s="2">
        <f>I68 + K68 - S68</f>
        <v>0</v>
      </c>
      <c r="W68" s="2">
        <f>M68 - V68</f>
        <v>0</v>
      </c>
      <c r="X68" s="2">
        <f>IFERROR(W68 / M68 * 100, 0)</f>
        <v>0</v>
      </c>
    </row>
    <row r="69" spans="1:24">
      <c r="A69" t="s">
        <v>4213</v>
      </c>
      <c r="B69" t="s">
        <v>512</v>
      </c>
      <c r="C69" t="s">
        <v>4881</v>
      </c>
      <c r="D69" t="s">
        <v>1008</v>
      </c>
      <c r="E69" t="s">
        <v>5482</v>
      </c>
      <c r="F69" t="s">
        <v>5550</v>
      </c>
      <c r="G69">
        <v>165</v>
      </c>
      <c r="H69">
        <v>2</v>
      </c>
      <c r="I69">
        <v>330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s="2">
        <f>(H69 + J69) - (L69 + N69)</f>
        <v>0</v>
      </c>
      <c r="Q69" s="2">
        <f>P69 * G69</f>
        <v>0</v>
      </c>
      <c r="R69">
        <v>2</v>
      </c>
      <c r="S69" s="2">
        <f>R69 * G69</f>
        <v>0</v>
      </c>
      <c r="T69" s="2">
        <f>(H69 + J69) - (L69 + N69) - R69</f>
        <v>0</v>
      </c>
      <c r="U69" s="2">
        <f>T69 * G69</f>
        <v>0</v>
      </c>
      <c r="V69" s="2">
        <f>I69 + K69 - S69</f>
        <v>0</v>
      </c>
      <c r="W69" s="2">
        <f>M69 - V69</f>
        <v>0</v>
      </c>
      <c r="X69" s="2">
        <f>IFERROR(W69 / M69 * 100, 0)</f>
        <v>0</v>
      </c>
    </row>
    <row r="70" spans="1:24">
      <c r="A70" t="s">
        <v>4214</v>
      </c>
      <c r="B70" t="s">
        <v>512</v>
      </c>
      <c r="C70" t="s">
        <v>4882</v>
      </c>
      <c r="D70" t="s">
        <v>1008</v>
      </c>
      <c r="E70" t="s">
        <v>5482</v>
      </c>
      <c r="F70" t="s">
        <v>5551</v>
      </c>
      <c r="G70">
        <v>103.93</v>
      </c>
      <c r="H70">
        <v>1</v>
      </c>
      <c r="I70">
        <v>103.93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s="2">
        <f>(H70 + J70) - (L70 + N70)</f>
        <v>0</v>
      </c>
      <c r="Q70" s="2">
        <f>P70 * G70</f>
        <v>0</v>
      </c>
      <c r="R70">
        <v>1</v>
      </c>
      <c r="S70" s="2">
        <f>R70 * G70</f>
        <v>0</v>
      </c>
      <c r="T70" s="2">
        <f>(H70 + J70) - (L70 + N70) - R70</f>
        <v>0</v>
      </c>
      <c r="U70" s="2">
        <f>T70 * G70</f>
        <v>0</v>
      </c>
      <c r="V70" s="2">
        <f>I70 + K70 - S70</f>
        <v>0</v>
      </c>
      <c r="W70" s="2">
        <f>M70 - V70</f>
        <v>0</v>
      </c>
      <c r="X70" s="2">
        <f>IFERROR(W70 / M70 * 100, 0)</f>
        <v>0</v>
      </c>
    </row>
    <row r="71" spans="1:24">
      <c r="A71" t="s">
        <v>4215</v>
      </c>
      <c r="B71" t="s">
        <v>512</v>
      </c>
      <c r="C71" t="s">
        <v>4883</v>
      </c>
      <c r="D71" t="s">
        <v>1008</v>
      </c>
      <c r="E71" t="s">
        <v>5482</v>
      </c>
      <c r="F71" t="s">
        <v>5552</v>
      </c>
      <c r="G71">
        <v>140</v>
      </c>
      <c r="H71">
        <v>0</v>
      </c>
      <c r="I71">
        <v>0</v>
      </c>
      <c r="J71">
        <v>2</v>
      </c>
      <c r="K71">
        <v>280</v>
      </c>
      <c r="L71">
        <v>0</v>
      </c>
      <c r="M71">
        <v>0</v>
      </c>
      <c r="N71">
        <v>0</v>
      </c>
      <c r="O71">
        <v>0</v>
      </c>
      <c r="P71" s="2">
        <f>(H71 + J71) - (L71 + N71)</f>
        <v>0</v>
      </c>
      <c r="Q71" s="2">
        <f>P71 * G71</f>
        <v>0</v>
      </c>
      <c r="R71">
        <v>0</v>
      </c>
      <c r="S71" s="2">
        <f>R71 * G71</f>
        <v>0</v>
      </c>
      <c r="T71" s="2">
        <f>(H71 + J71) - (L71 + N71) - R71</f>
        <v>0</v>
      </c>
      <c r="U71" s="2">
        <f>T71 * G71</f>
        <v>0</v>
      </c>
      <c r="V71" s="2">
        <f>I71 + K71 - S71</f>
        <v>0</v>
      </c>
      <c r="W71" s="2">
        <f>M71 - V71</f>
        <v>0</v>
      </c>
      <c r="X71" s="2">
        <f>IFERROR(W71 / M71 * 100, 0)</f>
        <v>0</v>
      </c>
    </row>
    <row r="72" spans="1:24">
      <c r="A72" t="s">
        <v>4216</v>
      </c>
      <c r="B72" t="s">
        <v>512</v>
      </c>
      <c r="C72" t="s">
        <v>4884</v>
      </c>
      <c r="D72" t="s">
        <v>1008</v>
      </c>
      <c r="E72" t="s">
        <v>5482</v>
      </c>
      <c r="F72" t="s">
        <v>5553</v>
      </c>
      <c r="G72">
        <v>150</v>
      </c>
      <c r="H72">
        <v>0</v>
      </c>
      <c r="I72">
        <v>0</v>
      </c>
      <c r="J72">
        <v>7</v>
      </c>
      <c r="K72">
        <v>1050</v>
      </c>
      <c r="L72">
        <v>0</v>
      </c>
      <c r="M72">
        <v>0</v>
      </c>
      <c r="N72">
        <v>0</v>
      </c>
      <c r="O72">
        <v>0</v>
      </c>
      <c r="P72" s="2">
        <f>(H72 + J72) - (L72 + N72)</f>
        <v>0</v>
      </c>
      <c r="Q72" s="2">
        <f>P72 * G72</f>
        <v>0</v>
      </c>
      <c r="R72">
        <v>0</v>
      </c>
      <c r="S72" s="2">
        <f>R72 * G72</f>
        <v>0</v>
      </c>
      <c r="T72" s="2">
        <f>(H72 + J72) - (L72 + N72) - R72</f>
        <v>0</v>
      </c>
      <c r="U72" s="2">
        <f>T72 * G72</f>
        <v>0</v>
      </c>
      <c r="V72" s="2">
        <f>I72 + K72 - S72</f>
        <v>0</v>
      </c>
      <c r="W72" s="2">
        <f>M72 - V72</f>
        <v>0</v>
      </c>
      <c r="X72" s="2">
        <f>IFERROR(W72 / M72 * 100, 0)</f>
        <v>0</v>
      </c>
    </row>
    <row r="73" spans="1:24">
      <c r="A73" t="s">
        <v>4217</v>
      </c>
      <c r="B73" t="s">
        <v>512</v>
      </c>
      <c r="C73" t="s">
        <v>4885</v>
      </c>
      <c r="D73" t="s">
        <v>1008</v>
      </c>
      <c r="E73" t="s">
        <v>5482</v>
      </c>
      <c r="F73" t="s">
        <v>5554</v>
      </c>
      <c r="G73">
        <v>160</v>
      </c>
      <c r="H73">
        <v>0</v>
      </c>
      <c r="I73">
        <v>0</v>
      </c>
      <c r="J73">
        <v>5</v>
      </c>
      <c r="K73">
        <v>800</v>
      </c>
      <c r="L73">
        <v>0</v>
      </c>
      <c r="M73">
        <v>0</v>
      </c>
      <c r="N73">
        <v>0</v>
      </c>
      <c r="O73">
        <v>0</v>
      </c>
      <c r="P73" s="2">
        <f>(H73 + J73) - (L73 + N73)</f>
        <v>0</v>
      </c>
      <c r="Q73" s="2">
        <f>P73 * G73</f>
        <v>0</v>
      </c>
      <c r="R73">
        <v>0</v>
      </c>
      <c r="S73" s="2">
        <f>R73 * G73</f>
        <v>0</v>
      </c>
      <c r="T73" s="2">
        <f>(H73 + J73) - (L73 + N73) - R73</f>
        <v>0</v>
      </c>
      <c r="U73" s="2">
        <f>T73 * G73</f>
        <v>0</v>
      </c>
      <c r="V73" s="2">
        <f>I73 + K73 - S73</f>
        <v>0</v>
      </c>
      <c r="W73" s="2">
        <f>M73 - V73</f>
        <v>0</v>
      </c>
      <c r="X73" s="2">
        <f>IFERROR(W73 / M73 * 100, 0)</f>
        <v>0</v>
      </c>
    </row>
    <row r="74" spans="1:24">
      <c r="A74" t="s">
        <v>4218</v>
      </c>
      <c r="B74" t="s">
        <v>512</v>
      </c>
      <c r="C74" t="s">
        <v>4886</v>
      </c>
      <c r="D74" t="s">
        <v>1008</v>
      </c>
      <c r="E74" t="s">
        <v>5482</v>
      </c>
      <c r="F74" t="s">
        <v>5555</v>
      </c>
      <c r="G74">
        <v>68.89</v>
      </c>
      <c r="H74">
        <v>2</v>
      </c>
      <c r="I74">
        <v>137.78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s="2">
        <f>(H74 + J74) - (L74 + N74)</f>
        <v>0</v>
      </c>
      <c r="Q74" s="2">
        <f>P74 * G74</f>
        <v>0</v>
      </c>
      <c r="R74">
        <v>2</v>
      </c>
      <c r="S74" s="2">
        <f>R74 * G74</f>
        <v>0</v>
      </c>
      <c r="T74" s="2">
        <f>(H74 + J74) - (L74 + N74) - R74</f>
        <v>0</v>
      </c>
      <c r="U74" s="2">
        <f>T74 * G74</f>
        <v>0</v>
      </c>
      <c r="V74" s="2">
        <f>I74 + K74 - S74</f>
        <v>0</v>
      </c>
      <c r="W74" s="2">
        <f>M74 - V74</f>
        <v>0</v>
      </c>
      <c r="X74" s="2">
        <f>IFERROR(W74 / M74 * 100, 0)</f>
        <v>0</v>
      </c>
    </row>
    <row r="75" spans="1:24">
      <c r="A75" t="s">
        <v>4219</v>
      </c>
      <c r="B75" t="s">
        <v>512</v>
      </c>
      <c r="C75" t="s">
        <v>4887</v>
      </c>
      <c r="D75" t="s">
        <v>1008</v>
      </c>
      <c r="E75" t="s">
        <v>5482</v>
      </c>
      <c r="F75" t="s">
        <v>5556</v>
      </c>
      <c r="G75">
        <v>21.87</v>
      </c>
      <c r="H75">
        <v>0</v>
      </c>
      <c r="I75">
        <v>0</v>
      </c>
      <c r="J75">
        <v>64</v>
      </c>
      <c r="K75">
        <v>1400.56</v>
      </c>
      <c r="L75">
        <v>0</v>
      </c>
      <c r="M75">
        <v>0</v>
      </c>
      <c r="N75">
        <v>0</v>
      </c>
      <c r="O75">
        <v>0</v>
      </c>
      <c r="P75" s="2">
        <f>(H75 + J75) - (L75 + N75)</f>
        <v>0</v>
      </c>
      <c r="Q75" s="2">
        <f>P75 * G75</f>
        <v>0</v>
      </c>
      <c r="R75">
        <v>0</v>
      </c>
      <c r="S75" s="2">
        <f>R75 * G75</f>
        <v>0</v>
      </c>
      <c r="T75" s="2">
        <f>(H75 + J75) - (L75 + N75) - R75</f>
        <v>0</v>
      </c>
      <c r="U75" s="2">
        <f>T75 * G75</f>
        <v>0</v>
      </c>
      <c r="V75" s="2">
        <f>I75 + K75 - S75</f>
        <v>0</v>
      </c>
      <c r="W75" s="2">
        <f>M75 - V75</f>
        <v>0</v>
      </c>
      <c r="X75" s="2">
        <f>IFERROR(W75 / M75 * 100, 0)</f>
        <v>0</v>
      </c>
    </row>
    <row r="76" spans="1:24">
      <c r="A76" t="s">
        <v>4220</v>
      </c>
      <c r="B76" t="s">
        <v>512</v>
      </c>
      <c r="C76" t="s">
        <v>4888</v>
      </c>
      <c r="D76" t="s">
        <v>1008</v>
      </c>
      <c r="E76" t="s">
        <v>5482</v>
      </c>
      <c r="F76" t="s">
        <v>5557</v>
      </c>
      <c r="G76">
        <v>153.75</v>
      </c>
      <c r="H76">
        <v>0</v>
      </c>
      <c r="I76">
        <v>0</v>
      </c>
      <c r="J76">
        <v>12</v>
      </c>
      <c r="K76">
        <v>1845</v>
      </c>
      <c r="L76">
        <v>0</v>
      </c>
      <c r="M76">
        <v>0</v>
      </c>
      <c r="N76">
        <v>0</v>
      </c>
      <c r="O76">
        <v>0</v>
      </c>
      <c r="P76" s="2">
        <f>(H76 + J76) - (L76 + N76)</f>
        <v>0</v>
      </c>
      <c r="Q76" s="2">
        <f>P76 * G76</f>
        <v>0</v>
      </c>
      <c r="R76">
        <v>0</v>
      </c>
      <c r="S76" s="2">
        <f>R76 * G76</f>
        <v>0</v>
      </c>
      <c r="T76" s="2">
        <f>(H76 + J76) - (L76 + N76) - R76</f>
        <v>0</v>
      </c>
      <c r="U76" s="2">
        <f>T76 * G76</f>
        <v>0</v>
      </c>
      <c r="V76" s="2">
        <f>I76 + K76 - S76</f>
        <v>0</v>
      </c>
      <c r="W76" s="2">
        <f>M76 - V76</f>
        <v>0</v>
      </c>
      <c r="X76" s="2">
        <f>IFERROR(W76 / M76 * 100, 0)</f>
        <v>0</v>
      </c>
    </row>
    <row r="77" spans="1:24">
      <c r="A77" t="s">
        <v>4221</v>
      </c>
      <c r="B77" t="s">
        <v>512</v>
      </c>
      <c r="C77" t="s">
        <v>4889</v>
      </c>
      <c r="D77" t="s">
        <v>1008</v>
      </c>
      <c r="E77" t="s">
        <v>5482</v>
      </c>
      <c r="F77" t="s">
        <v>5558</v>
      </c>
      <c r="G77">
        <v>170</v>
      </c>
      <c r="H77">
        <v>0</v>
      </c>
      <c r="I77">
        <v>0</v>
      </c>
      <c r="J77">
        <v>1</v>
      </c>
      <c r="K77">
        <v>170</v>
      </c>
      <c r="L77">
        <v>0</v>
      </c>
      <c r="M77">
        <v>0</v>
      </c>
      <c r="N77">
        <v>0</v>
      </c>
      <c r="O77">
        <v>0</v>
      </c>
      <c r="P77" s="2">
        <f>(H77 + J77) - (L77 + N77)</f>
        <v>0</v>
      </c>
      <c r="Q77" s="2">
        <f>P77 * G77</f>
        <v>0</v>
      </c>
      <c r="R77">
        <v>1</v>
      </c>
      <c r="S77" s="2">
        <f>R77 * G77</f>
        <v>0</v>
      </c>
      <c r="T77" s="2">
        <f>(H77 + J77) - (L77 + N77) - R77</f>
        <v>0</v>
      </c>
      <c r="U77" s="2">
        <f>T77 * G77</f>
        <v>0</v>
      </c>
      <c r="V77" s="2">
        <f>I77 + K77 - S77</f>
        <v>0</v>
      </c>
      <c r="W77" s="2">
        <f>M77 - V77</f>
        <v>0</v>
      </c>
      <c r="X77" s="2">
        <f>IFERROR(W77 / M77 * 100, 0)</f>
        <v>0</v>
      </c>
    </row>
    <row r="78" spans="1:24">
      <c r="A78" t="s">
        <v>4222</v>
      </c>
      <c r="B78" t="s">
        <v>512</v>
      </c>
      <c r="C78" t="s">
        <v>4890</v>
      </c>
      <c r="D78" t="s">
        <v>1008</v>
      </c>
      <c r="E78" t="s">
        <v>5482</v>
      </c>
      <c r="F78" t="s">
        <v>5559</v>
      </c>
      <c r="G78">
        <v>7.83</v>
      </c>
      <c r="H78">
        <v>1</v>
      </c>
      <c r="I78">
        <v>7.83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s="2">
        <f>(H78 + J78) - (L78 + N78)</f>
        <v>0</v>
      </c>
      <c r="Q78" s="2">
        <f>P78 * G78</f>
        <v>0</v>
      </c>
      <c r="R78">
        <v>0</v>
      </c>
      <c r="S78" s="2">
        <f>R78 * G78</f>
        <v>0</v>
      </c>
      <c r="T78" s="2">
        <f>(H78 + J78) - (L78 + N78) - R78</f>
        <v>0</v>
      </c>
      <c r="U78" s="2">
        <f>T78 * G78</f>
        <v>0</v>
      </c>
      <c r="V78" s="2">
        <f>I78 + K78 - S78</f>
        <v>0</v>
      </c>
      <c r="W78" s="2">
        <f>M78 - V78</f>
        <v>0</v>
      </c>
      <c r="X78" s="2">
        <f>IFERROR(W78 / M78 * 100, 0)</f>
        <v>0</v>
      </c>
    </row>
    <row r="79" spans="1:24">
      <c r="A79" t="s">
        <v>4223</v>
      </c>
      <c r="B79" t="s">
        <v>512</v>
      </c>
      <c r="C79" t="s">
        <v>4891</v>
      </c>
      <c r="D79" t="s">
        <v>1008</v>
      </c>
      <c r="E79" t="s">
        <v>5482</v>
      </c>
      <c r="F79" t="s">
        <v>5560</v>
      </c>
      <c r="G79">
        <v>165</v>
      </c>
      <c r="H79">
        <v>0</v>
      </c>
      <c r="I79">
        <v>0</v>
      </c>
      <c r="J79">
        <v>3</v>
      </c>
      <c r="K79">
        <v>495</v>
      </c>
      <c r="L79">
        <v>0</v>
      </c>
      <c r="M79">
        <v>0</v>
      </c>
      <c r="N79">
        <v>0</v>
      </c>
      <c r="O79">
        <v>0</v>
      </c>
      <c r="P79" s="2">
        <f>(H79 + J79) - (L79 + N79)</f>
        <v>0</v>
      </c>
      <c r="Q79" s="2">
        <f>P79 * G79</f>
        <v>0</v>
      </c>
      <c r="R79">
        <v>0</v>
      </c>
      <c r="S79" s="2">
        <f>R79 * G79</f>
        <v>0</v>
      </c>
      <c r="T79" s="2">
        <f>(H79 + J79) - (L79 + N79) - R79</f>
        <v>0</v>
      </c>
      <c r="U79" s="2">
        <f>T79 * G79</f>
        <v>0</v>
      </c>
      <c r="V79" s="2">
        <f>I79 + K79 - S79</f>
        <v>0</v>
      </c>
      <c r="W79" s="2">
        <f>M79 - V79</f>
        <v>0</v>
      </c>
      <c r="X79" s="2">
        <f>IFERROR(W79 / M79 * 100, 0)</f>
        <v>0</v>
      </c>
    </row>
    <row r="80" spans="1:24">
      <c r="A80" t="s">
        <v>4224</v>
      </c>
      <c r="B80" t="s">
        <v>512</v>
      </c>
      <c r="C80" t="s">
        <v>4892</v>
      </c>
      <c r="D80" t="s">
        <v>1008</v>
      </c>
      <c r="E80" t="s">
        <v>5482</v>
      </c>
      <c r="F80" t="s">
        <v>5561</v>
      </c>
      <c r="G80">
        <v>190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s="2">
        <f>(H80 + J80) - (L80 + N80)</f>
        <v>0</v>
      </c>
      <c r="Q80" s="2">
        <f>P80 * G80</f>
        <v>0</v>
      </c>
      <c r="R80">
        <v>1</v>
      </c>
      <c r="S80" s="2">
        <f>R80 * G80</f>
        <v>0</v>
      </c>
      <c r="T80" s="2">
        <f>(H80 + J80) - (L80 + N80) - R80</f>
        <v>0</v>
      </c>
      <c r="U80" s="2">
        <f>T80 * G80</f>
        <v>0</v>
      </c>
      <c r="V80" s="2">
        <f>I80 + K80 - S80</f>
        <v>0</v>
      </c>
      <c r="W80" s="2">
        <f>M80 - V80</f>
        <v>0</v>
      </c>
      <c r="X80" s="2">
        <f>IFERROR(W80 / M80 * 100, 0)</f>
        <v>0</v>
      </c>
    </row>
    <row r="81" spans="1:24">
      <c r="A81" t="s">
        <v>4225</v>
      </c>
      <c r="B81" t="s">
        <v>512</v>
      </c>
      <c r="C81" t="s">
        <v>4893</v>
      </c>
      <c r="D81" t="s">
        <v>1007</v>
      </c>
      <c r="E81" t="s">
        <v>5482</v>
      </c>
      <c r="F81" t="s">
        <v>5562</v>
      </c>
      <c r="G81">
        <v>39.62</v>
      </c>
      <c r="H81">
        <v>3</v>
      </c>
      <c r="I81">
        <v>118.86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s="2">
        <f>(H81 + J81) - (L81 + N81)</f>
        <v>0</v>
      </c>
      <c r="Q81" s="2">
        <f>P81 * G81</f>
        <v>0</v>
      </c>
      <c r="R81">
        <v>2</v>
      </c>
      <c r="S81" s="2">
        <f>R81 * G81</f>
        <v>0</v>
      </c>
      <c r="T81" s="2">
        <f>(H81 + J81) - (L81 + N81) - R81</f>
        <v>0</v>
      </c>
      <c r="U81" s="2">
        <f>T81 * G81</f>
        <v>0</v>
      </c>
      <c r="V81" s="2">
        <f>I81 + K81 - S81</f>
        <v>0</v>
      </c>
      <c r="W81" s="2">
        <f>M81 - V81</f>
        <v>0</v>
      </c>
      <c r="X81" s="2">
        <f>IFERROR(W81 / M81 * 100, 0)</f>
        <v>0</v>
      </c>
    </row>
    <row r="82" spans="1:24">
      <c r="A82" t="s">
        <v>4226</v>
      </c>
      <c r="B82" t="s">
        <v>512</v>
      </c>
      <c r="C82" t="s">
        <v>4894</v>
      </c>
      <c r="D82" t="s">
        <v>1008</v>
      </c>
      <c r="E82" t="s">
        <v>5482</v>
      </c>
      <c r="F82" t="s">
        <v>5563</v>
      </c>
      <c r="G82">
        <v>175.04</v>
      </c>
      <c r="H82">
        <v>1</v>
      </c>
      <c r="I82">
        <v>175.31</v>
      </c>
      <c r="J82">
        <v>2</v>
      </c>
      <c r="K82">
        <v>350.07</v>
      </c>
      <c r="L82">
        <v>0</v>
      </c>
      <c r="M82">
        <v>0</v>
      </c>
      <c r="N82">
        <v>0</v>
      </c>
      <c r="O82">
        <v>0</v>
      </c>
      <c r="P82" s="2">
        <f>(H82 + J82) - (L82 + N82)</f>
        <v>0</v>
      </c>
      <c r="Q82" s="2">
        <f>P82 * G82</f>
        <v>0</v>
      </c>
      <c r="R82">
        <v>2</v>
      </c>
      <c r="S82" s="2">
        <f>R82 * G82</f>
        <v>0</v>
      </c>
      <c r="T82" s="2">
        <f>(H82 + J82) - (L82 + N82) - R82</f>
        <v>0</v>
      </c>
      <c r="U82" s="2">
        <f>T82 * G82</f>
        <v>0</v>
      </c>
      <c r="V82" s="2">
        <f>I82 + K82 - S82</f>
        <v>0</v>
      </c>
      <c r="W82" s="2">
        <f>M82 - V82</f>
        <v>0</v>
      </c>
      <c r="X82" s="2">
        <f>IFERROR(W82 / M82 * 100, 0)</f>
        <v>0</v>
      </c>
    </row>
    <row r="83" spans="1:24">
      <c r="A83" t="s">
        <v>4227</v>
      </c>
      <c r="B83" t="s">
        <v>512</v>
      </c>
      <c r="C83" t="s">
        <v>4895</v>
      </c>
      <c r="D83" t="s">
        <v>1007</v>
      </c>
      <c r="E83" t="s">
        <v>5482</v>
      </c>
      <c r="F83" t="s">
        <v>5564</v>
      </c>
      <c r="G83">
        <v>60.48</v>
      </c>
      <c r="H83">
        <v>1</v>
      </c>
      <c r="I83">
        <v>60.48</v>
      </c>
      <c r="J83">
        <v>-0.15</v>
      </c>
      <c r="K83">
        <v>-9.07</v>
      </c>
      <c r="L83">
        <v>0</v>
      </c>
      <c r="M83">
        <v>0</v>
      </c>
      <c r="N83">
        <v>0</v>
      </c>
      <c r="O83">
        <v>0</v>
      </c>
      <c r="P83" s="2">
        <f>(H83 + J83) - (L83 + N83)</f>
        <v>0</v>
      </c>
      <c r="Q83" s="2">
        <f>P83 * G83</f>
        <v>0</v>
      </c>
      <c r="R83">
        <v>1</v>
      </c>
      <c r="S83" s="2">
        <f>R83 * G83</f>
        <v>0</v>
      </c>
      <c r="T83" s="2">
        <f>(H83 + J83) - (L83 + N83) - R83</f>
        <v>0</v>
      </c>
      <c r="U83" s="2">
        <f>T83 * G83</f>
        <v>0</v>
      </c>
      <c r="V83" s="2">
        <f>I83 + K83 - S83</f>
        <v>0</v>
      </c>
      <c r="W83" s="2">
        <f>M83 - V83</f>
        <v>0</v>
      </c>
      <c r="X83" s="2">
        <f>IFERROR(W83 / M83 * 100, 0)</f>
        <v>0</v>
      </c>
    </row>
    <row r="84" spans="1:24">
      <c r="A84" t="s">
        <v>4228</v>
      </c>
      <c r="B84" t="s">
        <v>512</v>
      </c>
      <c r="C84" t="s">
        <v>4896</v>
      </c>
      <c r="D84" t="s">
        <v>1007</v>
      </c>
      <c r="E84" t="s">
        <v>5482</v>
      </c>
      <c r="F84" t="s">
        <v>5565</v>
      </c>
      <c r="G84">
        <v>15</v>
      </c>
      <c r="H84">
        <v>0</v>
      </c>
      <c r="I84">
        <v>0</v>
      </c>
      <c r="J84">
        <v>1.68</v>
      </c>
      <c r="K84">
        <v>25.26</v>
      </c>
      <c r="L84">
        <v>0</v>
      </c>
      <c r="M84">
        <v>0</v>
      </c>
      <c r="N84">
        <v>0</v>
      </c>
      <c r="O84">
        <v>0</v>
      </c>
      <c r="P84" s="2">
        <f>(H84 + J84) - (L84 + N84)</f>
        <v>0</v>
      </c>
      <c r="Q84" s="2">
        <f>P84 * G84</f>
        <v>0</v>
      </c>
      <c r="R84">
        <v>0</v>
      </c>
      <c r="S84" s="2">
        <f>R84 * G84</f>
        <v>0</v>
      </c>
      <c r="T84" s="2">
        <f>(H84 + J84) - (L84 + N84) - R84</f>
        <v>0</v>
      </c>
      <c r="U84" s="2">
        <f>T84 * G84</f>
        <v>0</v>
      </c>
      <c r="V84" s="2">
        <f>I84 + K84 - S84</f>
        <v>0</v>
      </c>
      <c r="W84" s="2">
        <f>M84 - V84</f>
        <v>0</v>
      </c>
      <c r="X84" s="2">
        <f>IFERROR(W84 / M84 * 100, 0)</f>
        <v>0</v>
      </c>
    </row>
    <row r="85" spans="1:24">
      <c r="A85" t="s">
        <v>4229</v>
      </c>
      <c r="B85" t="s">
        <v>512</v>
      </c>
      <c r="C85" t="s">
        <v>4897</v>
      </c>
      <c r="D85" t="s">
        <v>1007</v>
      </c>
      <c r="E85" t="s">
        <v>5482</v>
      </c>
      <c r="F85" t="s">
        <v>5566</v>
      </c>
      <c r="G85">
        <v>26.38</v>
      </c>
      <c r="H85">
        <v>12</v>
      </c>
      <c r="I85">
        <v>316.54</v>
      </c>
      <c r="J85">
        <v>-0.66</v>
      </c>
      <c r="K85">
        <v>-17.3</v>
      </c>
      <c r="L85">
        <v>0</v>
      </c>
      <c r="M85">
        <v>0</v>
      </c>
      <c r="N85">
        <v>0</v>
      </c>
      <c r="O85">
        <v>0</v>
      </c>
      <c r="P85" s="2">
        <f>(H85 + J85) - (L85 + N85)</f>
        <v>0</v>
      </c>
      <c r="Q85" s="2">
        <f>P85 * G85</f>
        <v>0</v>
      </c>
      <c r="R85">
        <v>12</v>
      </c>
      <c r="S85" s="2">
        <f>R85 * G85</f>
        <v>0</v>
      </c>
      <c r="T85" s="2">
        <f>(H85 + J85) - (L85 + N85) - R85</f>
        <v>0</v>
      </c>
      <c r="U85" s="2">
        <f>T85 * G85</f>
        <v>0</v>
      </c>
      <c r="V85" s="2">
        <f>I85 + K85 - S85</f>
        <v>0</v>
      </c>
      <c r="W85" s="2">
        <f>M85 - V85</f>
        <v>0</v>
      </c>
      <c r="X85" s="2">
        <f>IFERROR(W85 / M85 * 100, 0)</f>
        <v>0</v>
      </c>
    </row>
    <row r="86" spans="1:24">
      <c r="A86" t="s">
        <v>4230</v>
      </c>
      <c r="B86" t="s">
        <v>513</v>
      </c>
      <c r="C86" t="s">
        <v>4898</v>
      </c>
      <c r="D86" t="s">
        <v>1008</v>
      </c>
      <c r="E86" t="s">
        <v>5482</v>
      </c>
      <c r="F86" t="s">
        <v>5567</v>
      </c>
      <c r="G86">
        <v>1.64</v>
      </c>
      <c r="H86">
        <v>0</v>
      </c>
      <c r="I86">
        <v>0</v>
      </c>
      <c r="J86">
        <v>2</v>
      </c>
      <c r="K86">
        <v>3.31</v>
      </c>
      <c r="L86">
        <v>5</v>
      </c>
      <c r="M86">
        <v>15</v>
      </c>
      <c r="N86">
        <v>0</v>
      </c>
      <c r="O86">
        <v>0</v>
      </c>
      <c r="P86" s="2">
        <f>(H86 + J86) - (L86 + N86)</f>
        <v>0</v>
      </c>
      <c r="Q86" s="2">
        <f>P86 * G86</f>
        <v>0</v>
      </c>
      <c r="R86">
        <v>0</v>
      </c>
      <c r="S86" s="2">
        <f>R86 * G86</f>
        <v>0</v>
      </c>
      <c r="T86" s="2">
        <f>(H86 + J86) - (L86 + N86) - R86</f>
        <v>0</v>
      </c>
      <c r="U86" s="2">
        <f>T86 * G86</f>
        <v>0</v>
      </c>
      <c r="V86" s="2">
        <f>I86 + K86 - S86</f>
        <v>0</v>
      </c>
      <c r="W86" s="2">
        <f>M86 - V86</f>
        <v>0</v>
      </c>
      <c r="X86" s="2">
        <f>IFERROR(W86 / M86 * 100, 0)</f>
        <v>0</v>
      </c>
    </row>
    <row r="87" spans="1:24">
      <c r="A87" t="s">
        <v>4231</v>
      </c>
      <c r="B87" t="s">
        <v>513</v>
      </c>
      <c r="C87" t="s">
        <v>4899</v>
      </c>
      <c r="D87" t="s">
        <v>1008</v>
      </c>
      <c r="E87" t="s">
        <v>5482</v>
      </c>
      <c r="F87" t="s">
        <v>5568</v>
      </c>
      <c r="G87">
        <v>2.15</v>
      </c>
      <c r="H87">
        <v>23</v>
      </c>
      <c r="I87">
        <v>46.86</v>
      </c>
      <c r="J87">
        <v>192</v>
      </c>
      <c r="K87">
        <v>264.81</v>
      </c>
      <c r="L87">
        <v>152</v>
      </c>
      <c r="M87">
        <v>456</v>
      </c>
      <c r="N87">
        <v>8</v>
      </c>
      <c r="O87">
        <v>17.24</v>
      </c>
      <c r="P87" s="2">
        <f>(H87 + J87) - (L87 + N87)</f>
        <v>0</v>
      </c>
      <c r="Q87" s="2">
        <f>P87 * G87</f>
        <v>0</v>
      </c>
      <c r="R87">
        <v>26</v>
      </c>
      <c r="S87" s="2">
        <f>R87 * G87</f>
        <v>0</v>
      </c>
      <c r="T87" s="2">
        <f>(H87 + J87) - (L87 + N87) - R87</f>
        <v>0</v>
      </c>
      <c r="U87" s="2">
        <f>T87 * G87</f>
        <v>0</v>
      </c>
      <c r="V87" s="2">
        <f>I87 + K87 - S87</f>
        <v>0</v>
      </c>
      <c r="W87" s="2">
        <f>M87 - V87</f>
        <v>0</v>
      </c>
      <c r="X87" s="2">
        <f>IFERROR(W87 / M87 * 100, 0)</f>
        <v>0</v>
      </c>
    </row>
    <row r="88" spans="1:24">
      <c r="A88" t="s">
        <v>4232</v>
      </c>
      <c r="B88" t="s">
        <v>513</v>
      </c>
      <c r="C88" t="s">
        <v>4900</v>
      </c>
      <c r="D88" t="s">
        <v>1008</v>
      </c>
      <c r="E88" t="s">
        <v>5482</v>
      </c>
      <c r="F88" t="s">
        <v>5569</v>
      </c>
      <c r="G88">
        <v>1.48</v>
      </c>
      <c r="H88">
        <v>13</v>
      </c>
      <c r="I88">
        <v>19.23</v>
      </c>
      <c r="J88">
        <v>20</v>
      </c>
      <c r="K88">
        <v>29.59</v>
      </c>
      <c r="L88">
        <v>32</v>
      </c>
      <c r="M88">
        <v>144</v>
      </c>
      <c r="N88">
        <v>0</v>
      </c>
      <c r="O88">
        <v>0</v>
      </c>
      <c r="P88" s="2">
        <f>(H88 + J88) - (L88 + N88)</f>
        <v>0</v>
      </c>
      <c r="Q88" s="2">
        <f>P88 * G88</f>
        <v>0</v>
      </c>
      <c r="R88">
        <v>9</v>
      </c>
      <c r="S88" s="2">
        <f>R88 * G88</f>
        <v>0</v>
      </c>
      <c r="T88" s="2">
        <f>(H88 + J88) - (L88 + N88) - R88</f>
        <v>0</v>
      </c>
      <c r="U88" s="2">
        <f>T88 * G88</f>
        <v>0</v>
      </c>
      <c r="V88" s="2">
        <f>I88 + K88 - S88</f>
        <v>0</v>
      </c>
      <c r="W88" s="2">
        <f>M88 - V88</f>
        <v>0</v>
      </c>
      <c r="X88" s="2">
        <f>IFERROR(W88 / M88 * 100, 0)</f>
        <v>0</v>
      </c>
    </row>
    <row r="89" spans="1:24">
      <c r="A89" t="s">
        <v>4233</v>
      </c>
      <c r="B89" t="s">
        <v>513</v>
      </c>
      <c r="C89" t="s">
        <v>4901</v>
      </c>
      <c r="D89" t="s">
        <v>1008</v>
      </c>
      <c r="E89" t="s">
        <v>5482</v>
      </c>
      <c r="F89" t="s">
        <v>5570</v>
      </c>
      <c r="G89">
        <v>31.46</v>
      </c>
      <c r="H89">
        <v>1</v>
      </c>
      <c r="I89">
        <v>32.22</v>
      </c>
      <c r="J89">
        <v>20</v>
      </c>
      <c r="K89">
        <v>633.95</v>
      </c>
      <c r="L89">
        <v>15</v>
      </c>
      <c r="M89">
        <v>885</v>
      </c>
      <c r="N89">
        <v>0</v>
      </c>
      <c r="O89">
        <v>0</v>
      </c>
      <c r="P89" s="2">
        <f>(H89 + J89) - (L89 + N89)</f>
        <v>0</v>
      </c>
      <c r="Q89" s="2">
        <f>P89 * G89</f>
        <v>0</v>
      </c>
      <c r="R89">
        <v>2</v>
      </c>
      <c r="S89" s="2">
        <f>R89 * G89</f>
        <v>0</v>
      </c>
      <c r="T89" s="2">
        <f>(H89 + J89) - (L89 + N89) - R89</f>
        <v>0</v>
      </c>
      <c r="U89" s="2">
        <f>T89 * G89</f>
        <v>0</v>
      </c>
      <c r="V89" s="2">
        <f>I89 + K89 - S89</f>
        <v>0</v>
      </c>
      <c r="W89" s="2">
        <f>M89 - V89</f>
        <v>0</v>
      </c>
      <c r="X89" s="2">
        <f>IFERROR(W89 / M89 * 100, 0)</f>
        <v>0</v>
      </c>
    </row>
    <row r="90" spans="1:24">
      <c r="A90" t="s">
        <v>4234</v>
      </c>
      <c r="B90" t="s">
        <v>513</v>
      </c>
      <c r="C90" t="s">
        <v>4902</v>
      </c>
      <c r="D90" t="s">
        <v>1008</v>
      </c>
      <c r="E90" t="s">
        <v>5482</v>
      </c>
      <c r="F90" t="s">
        <v>5571</v>
      </c>
      <c r="G90">
        <v>0</v>
      </c>
      <c r="H90">
        <v>0</v>
      </c>
      <c r="I90">
        <v>0</v>
      </c>
      <c r="J90">
        <v>0</v>
      </c>
      <c r="K90">
        <v>0</v>
      </c>
      <c r="L90">
        <v>2</v>
      </c>
      <c r="M90">
        <v>12</v>
      </c>
      <c r="N90">
        <v>0</v>
      </c>
      <c r="O90">
        <v>0</v>
      </c>
      <c r="P90" s="2">
        <f>(H90 + J90) - (L90 + N90)</f>
        <v>0</v>
      </c>
      <c r="Q90" s="2">
        <f>P90 * G90</f>
        <v>0</v>
      </c>
      <c r="R90">
        <v>0</v>
      </c>
      <c r="S90" s="2">
        <f>R90 * G90</f>
        <v>0</v>
      </c>
      <c r="T90" s="2">
        <f>(H90 + J90) - (L90 + N90) - R90</f>
        <v>0</v>
      </c>
      <c r="U90" s="2">
        <f>T90 * G90</f>
        <v>0</v>
      </c>
      <c r="V90" s="2">
        <f>I90 + K90 - S90</f>
        <v>0</v>
      </c>
      <c r="W90" s="2">
        <f>M90 - V90</f>
        <v>0</v>
      </c>
      <c r="X90" s="2">
        <f>IFERROR(W90 / M90 * 100, 0)</f>
        <v>0</v>
      </c>
    </row>
    <row r="91" spans="1:24">
      <c r="A91" t="s">
        <v>4235</v>
      </c>
      <c r="B91" t="s">
        <v>513</v>
      </c>
      <c r="C91" t="s">
        <v>4903</v>
      </c>
      <c r="D91" t="s">
        <v>1008</v>
      </c>
      <c r="E91" t="s">
        <v>5482</v>
      </c>
      <c r="F91" t="s">
        <v>5572</v>
      </c>
      <c r="G91">
        <v>12.17</v>
      </c>
      <c r="H91">
        <v>0</v>
      </c>
      <c r="I91">
        <v>0</v>
      </c>
      <c r="J91">
        <v>32</v>
      </c>
      <c r="K91">
        <v>189.75</v>
      </c>
      <c r="L91">
        <v>30</v>
      </c>
      <c r="M91">
        <v>1050</v>
      </c>
      <c r="N91">
        <v>0</v>
      </c>
      <c r="O91">
        <v>0</v>
      </c>
      <c r="P91" s="2">
        <f>(H91 + J91) - (L91 + N91)</f>
        <v>0</v>
      </c>
      <c r="Q91" s="2">
        <f>P91 * G91</f>
        <v>0</v>
      </c>
      <c r="R91">
        <v>0</v>
      </c>
      <c r="S91" s="2">
        <f>R91 * G91</f>
        <v>0</v>
      </c>
      <c r="T91" s="2">
        <f>(H91 + J91) - (L91 + N91) - R91</f>
        <v>0</v>
      </c>
      <c r="U91" s="2">
        <f>T91 * G91</f>
        <v>0</v>
      </c>
      <c r="V91" s="2">
        <f>I91 + K91 - S91</f>
        <v>0</v>
      </c>
      <c r="W91" s="2">
        <f>M91 - V91</f>
        <v>0</v>
      </c>
      <c r="X91" s="2">
        <f>IFERROR(W91 / M91 * 100, 0)</f>
        <v>0</v>
      </c>
    </row>
    <row r="92" spans="1:24">
      <c r="A92" t="s">
        <v>4236</v>
      </c>
      <c r="B92" t="s">
        <v>512</v>
      </c>
      <c r="C92" t="s">
        <v>4904</v>
      </c>
      <c r="D92" t="s">
        <v>1007</v>
      </c>
      <c r="E92" t="s">
        <v>5482</v>
      </c>
      <c r="F92" t="s">
        <v>5573</v>
      </c>
      <c r="G92">
        <v>8.67</v>
      </c>
      <c r="H92">
        <v>0</v>
      </c>
      <c r="I92">
        <v>0</v>
      </c>
      <c r="J92">
        <v>0.75</v>
      </c>
      <c r="K92">
        <v>6.5</v>
      </c>
      <c r="L92">
        <v>0</v>
      </c>
      <c r="M92">
        <v>0</v>
      </c>
      <c r="N92">
        <v>0</v>
      </c>
      <c r="O92">
        <v>0</v>
      </c>
      <c r="P92" s="2">
        <f>(H92 + J92) - (L92 + N92)</f>
        <v>0</v>
      </c>
      <c r="Q92" s="2">
        <f>P92 * G92</f>
        <v>0</v>
      </c>
      <c r="R92">
        <v>0</v>
      </c>
      <c r="S92" s="2">
        <f>R92 * G92</f>
        <v>0</v>
      </c>
      <c r="T92" s="2">
        <f>(H92 + J92) - (L92 + N92) - R92</f>
        <v>0</v>
      </c>
      <c r="U92" s="2">
        <f>T92 * G92</f>
        <v>0</v>
      </c>
      <c r="V92" s="2">
        <f>I92 + K92 - S92</f>
        <v>0</v>
      </c>
      <c r="W92" s="2">
        <f>M92 - V92</f>
        <v>0</v>
      </c>
      <c r="X92" s="2">
        <f>IFERROR(W92 / M92 * 100, 0)</f>
        <v>0</v>
      </c>
    </row>
    <row r="93" spans="1:24">
      <c r="A93" t="s">
        <v>4237</v>
      </c>
      <c r="B93" t="s">
        <v>512</v>
      </c>
      <c r="C93" t="s">
        <v>4905</v>
      </c>
      <c r="D93" t="s">
        <v>1008</v>
      </c>
      <c r="E93" t="s">
        <v>5482</v>
      </c>
      <c r="F93" t="s">
        <v>5574</v>
      </c>
      <c r="G93">
        <v>44</v>
      </c>
      <c r="H93">
        <v>2</v>
      </c>
      <c r="I93">
        <v>88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s="2">
        <f>(H93 + J93) - (L93 + N93)</f>
        <v>0</v>
      </c>
      <c r="Q93" s="2">
        <f>P93 * G93</f>
        <v>0</v>
      </c>
      <c r="R93">
        <v>2</v>
      </c>
      <c r="S93" s="2">
        <f>R93 * G93</f>
        <v>0</v>
      </c>
      <c r="T93" s="2">
        <f>(H93 + J93) - (L93 + N93) - R93</f>
        <v>0</v>
      </c>
      <c r="U93" s="2">
        <f>T93 * G93</f>
        <v>0</v>
      </c>
      <c r="V93" s="2">
        <f>I93 + K93 - S93</f>
        <v>0</v>
      </c>
      <c r="W93" s="2">
        <f>M93 - V93</f>
        <v>0</v>
      </c>
      <c r="X93" s="2">
        <f>IFERROR(W93 / M93 * 100, 0)</f>
        <v>0</v>
      </c>
    </row>
    <row r="94" spans="1:24">
      <c r="A94" t="s">
        <v>4238</v>
      </c>
      <c r="B94" t="s">
        <v>512</v>
      </c>
      <c r="C94" t="s">
        <v>4906</v>
      </c>
      <c r="D94" t="s">
        <v>1008</v>
      </c>
      <c r="E94" t="s">
        <v>5482</v>
      </c>
      <c r="F94" t="s">
        <v>5575</v>
      </c>
      <c r="G94">
        <v>56.24</v>
      </c>
      <c r="H94">
        <v>0</v>
      </c>
      <c r="I94">
        <v>0</v>
      </c>
      <c r="J94">
        <v>20</v>
      </c>
      <c r="K94">
        <v>1137.25</v>
      </c>
      <c r="L94">
        <v>0</v>
      </c>
      <c r="M94">
        <v>0</v>
      </c>
      <c r="N94">
        <v>0</v>
      </c>
      <c r="O94">
        <v>0</v>
      </c>
      <c r="P94" s="2">
        <f>(H94 + J94) - (L94 + N94)</f>
        <v>0</v>
      </c>
      <c r="Q94" s="2">
        <f>P94 * G94</f>
        <v>0</v>
      </c>
      <c r="R94">
        <v>0</v>
      </c>
      <c r="S94" s="2">
        <f>R94 * G94</f>
        <v>0</v>
      </c>
      <c r="T94" s="2">
        <f>(H94 + J94) - (L94 + N94) - R94</f>
        <v>0</v>
      </c>
      <c r="U94" s="2">
        <f>T94 * G94</f>
        <v>0</v>
      </c>
      <c r="V94" s="2">
        <f>I94 + K94 - S94</f>
        <v>0</v>
      </c>
      <c r="W94" s="2">
        <f>M94 - V94</f>
        <v>0</v>
      </c>
      <c r="X94" s="2">
        <f>IFERROR(W94 / M94 * 100, 0)</f>
        <v>0</v>
      </c>
    </row>
    <row r="95" spans="1:24">
      <c r="A95" t="s">
        <v>4239</v>
      </c>
      <c r="B95" t="s">
        <v>512</v>
      </c>
      <c r="C95" t="s">
        <v>4907</v>
      </c>
      <c r="D95" t="s">
        <v>1007</v>
      </c>
      <c r="E95" t="s">
        <v>5482</v>
      </c>
      <c r="F95" t="s">
        <v>5576</v>
      </c>
      <c r="G95">
        <v>6.4</v>
      </c>
      <c r="H95">
        <v>2</v>
      </c>
      <c r="I95">
        <v>9.390000000000001</v>
      </c>
      <c r="J95">
        <v>38.99</v>
      </c>
      <c r="K95">
        <v>258.33</v>
      </c>
      <c r="L95">
        <v>0</v>
      </c>
      <c r="M95">
        <v>0</v>
      </c>
      <c r="N95">
        <v>0</v>
      </c>
      <c r="O95">
        <v>0</v>
      </c>
      <c r="P95" s="2">
        <f>(H95 + J95) - (L95 + N95)</f>
        <v>0</v>
      </c>
      <c r="Q95" s="2">
        <f>P95 * G95</f>
        <v>0</v>
      </c>
      <c r="R95">
        <v>2</v>
      </c>
      <c r="S95" s="2">
        <f>R95 * G95</f>
        <v>0</v>
      </c>
      <c r="T95" s="2">
        <f>(H95 + J95) - (L95 + N95) - R95</f>
        <v>0</v>
      </c>
      <c r="U95" s="2">
        <f>T95 * G95</f>
        <v>0</v>
      </c>
      <c r="V95" s="2">
        <f>I95 + K95 - S95</f>
        <v>0</v>
      </c>
      <c r="W95" s="2">
        <f>M95 - V95</f>
        <v>0</v>
      </c>
      <c r="X95" s="2">
        <f>IFERROR(W95 / M95 * 100, 0)</f>
        <v>0</v>
      </c>
    </row>
    <row r="96" spans="1:24">
      <c r="A96" t="s">
        <v>4240</v>
      </c>
      <c r="B96" t="s">
        <v>512</v>
      </c>
      <c r="C96" t="s">
        <v>4908</v>
      </c>
      <c r="D96" t="s">
        <v>1007</v>
      </c>
      <c r="E96" t="s">
        <v>5482</v>
      </c>
      <c r="F96" t="s">
        <v>5577</v>
      </c>
      <c r="G96">
        <v>200.53</v>
      </c>
      <c r="H96">
        <v>0.25</v>
      </c>
      <c r="I96">
        <v>50.13</v>
      </c>
      <c r="J96">
        <v>-0.28</v>
      </c>
      <c r="K96">
        <v>-56.95</v>
      </c>
      <c r="L96">
        <v>0</v>
      </c>
      <c r="M96">
        <v>0</v>
      </c>
      <c r="N96">
        <v>0</v>
      </c>
      <c r="O96">
        <v>0</v>
      </c>
      <c r="P96" s="2">
        <f>(H96 + J96) - (L96 + N96)</f>
        <v>0</v>
      </c>
      <c r="Q96" s="2">
        <f>P96 * G96</f>
        <v>0</v>
      </c>
      <c r="R96">
        <v>0.25</v>
      </c>
      <c r="S96" s="2">
        <f>R96 * G96</f>
        <v>0</v>
      </c>
      <c r="T96" s="2">
        <f>(H96 + J96) - (L96 + N96) - R96</f>
        <v>0</v>
      </c>
      <c r="U96" s="2">
        <f>T96 * G96</f>
        <v>0</v>
      </c>
      <c r="V96" s="2">
        <f>I96 + K96 - S96</f>
        <v>0</v>
      </c>
      <c r="W96" s="2">
        <f>M96 - V96</f>
        <v>0</v>
      </c>
      <c r="X96" s="2">
        <f>IFERROR(W96 / M96 * 100, 0)</f>
        <v>0</v>
      </c>
    </row>
    <row r="97" spans="1:24">
      <c r="A97" t="s">
        <v>4241</v>
      </c>
      <c r="B97" t="s">
        <v>512</v>
      </c>
      <c r="C97" t="s">
        <v>4909</v>
      </c>
      <c r="D97" t="s">
        <v>1007</v>
      </c>
      <c r="E97" t="s">
        <v>5482</v>
      </c>
      <c r="F97" t="s">
        <v>5578</v>
      </c>
      <c r="G97">
        <v>25.55</v>
      </c>
      <c r="H97">
        <v>1</v>
      </c>
      <c r="I97">
        <v>25.55</v>
      </c>
      <c r="J97">
        <v>-1.91</v>
      </c>
      <c r="K97">
        <v>-48.68</v>
      </c>
      <c r="L97">
        <v>0</v>
      </c>
      <c r="M97">
        <v>0</v>
      </c>
      <c r="N97">
        <v>0</v>
      </c>
      <c r="O97">
        <v>0</v>
      </c>
      <c r="P97" s="2">
        <f>(H97 + J97) - (L97 + N97)</f>
        <v>0</v>
      </c>
      <c r="Q97" s="2">
        <f>P97 * G97</f>
        <v>0</v>
      </c>
      <c r="R97">
        <v>1</v>
      </c>
      <c r="S97" s="2">
        <f>R97 * G97</f>
        <v>0</v>
      </c>
      <c r="T97" s="2">
        <f>(H97 + J97) - (L97 + N97) - R97</f>
        <v>0</v>
      </c>
      <c r="U97" s="2">
        <f>T97 * G97</f>
        <v>0</v>
      </c>
      <c r="V97" s="2">
        <f>I97 + K97 - S97</f>
        <v>0</v>
      </c>
      <c r="W97" s="2">
        <f>M97 - V97</f>
        <v>0</v>
      </c>
      <c r="X97" s="2">
        <f>IFERROR(W97 / M97 * 100, 0)</f>
        <v>0</v>
      </c>
    </row>
    <row r="98" spans="1:24">
      <c r="A98" t="s">
        <v>4242</v>
      </c>
      <c r="B98" t="s">
        <v>513</v>
      </c>
      <c r="C98" t="s">
        <v>4910</v>
      </c>
      <c r="D98" t="s">
        <v>1008</v>
      </c>
      <c r="E98" t="s">
        <v>5482</v>
      </c>
      <c r="F98" t="s">
        <v>5579</v>
      </c>
      <c r="G98">
        <v>4.14</v>
      </c>
      <c r="H98">
        <v>4</v>
      </c>
      <c r="I98">
        <v>12.26</v>
      </c>
      <c r="J98">
        <v>61</v>
      </c>
      <c r="K98">
        <v>184.43</v>
      </c>
      <c r="L98">
        <v>51</v>
      </c>
      <c r="M98">
        <v>306</v>
      </c>
      <c r="N98">
        <v>0</v>
      </c>
      <c r="O98">
        <v>0</v>
      </c>
      <c r="P98" s="2">
        <f>(H98 + J98) - (L98 + N98)</f>
        <v>0</v>
      </c>
      <c r="Q98" s="2">
        <f>P98 * G98</f>
        <v>0</v>
      </c>
      <c r="R98">
        <v>9</v>
      </c>
      <c r="S98" s="2">
        <f>R98 * G98</f>
        <v>0</v>
      </c>
      <c r="T98" s="2">
        <f>(H98 + J98) - (L98 + N98) - R98</f>
        <v>0</v>
      </c>
      <c r="U98" s="2">
        <f>T98 * G98</f>
        <v>0</v>
      </c>
      <c r="V98" s="2">
        <f>I98 + K98 - S98</f>
        <v>0</v>
      </c>
      <c r="W98" s="2">
        <f>M98 - V98</f>
        <v>0</v>
      </c>
      <c r="X98" s="2">
        <f>IFERROR(W98 / M98 * 100, 0)</f>
        <v>0</v>
      </c>
    </row>
    <row r="99" spans="1:24">
      <c r="A99" t="s">
        <v>4243</v>
      </c>
      <c r="B99" t="s">
        <v>513</v>
      </c>
      <c r="C99" t="s">
        <v>4911</v>
      </c>
      <c r="D99" t="s">
        <v>1008</v>
      </c>
      <c r="E99" t="s">
        <v>5482</v>
      </c>
      <c r="F99" t="s">
        <v>5580</v>
      </c>
      <c r="G99">
        <v>0.84</v>
      </c>
      <c r="H99">
        <v>0</v>
      </c>
      <c r="I99">
        <v>0</v>
      </c>
      <c r="J99">
        <v>182</v>
      </c>
      <c r="K99">
        <v>137.25</v>
      </c>
      <c r="L99">
        <v>108</v>
      </c>
      <c r="M99">
        <v>270</v>
      </c>
      <c r="N99">
        <v>6</v>
      </c>
      <c r="O99">
        <v>4.63</v>
      </c>
      <c r="P99" s="2">
        <f>(H99 + J99) - (L99 + N99)</f>
        <v>0</v>
      </c>
      <c r="Q99" s="2">
        <f>P99 * G99</f>
        <v>0</v>
      </c>
      <c r="R99">
        <v>0</v>
      </c>
      <c r="S99" s="2">
        <f>R99 * G99</f>
        <v>0</v>
      </c>
      <c r="T99" s="2">
        <f>(H99 + J99) - (L99 + N99) - R99</f>
        <v>0</v>
      </c>
      <c r="U99" s="2">
        <f>T99 * G99</f>
        <v>0</v>
      </c>
      <c r="V99" s="2">
        <f>I99 + K99 - S99</f>
        <v>0</v>
      </c>
      <c r="W99" s="2">
        <f>M99 - V99</f>
        <v>0</v>
      </c>
      <c r="X99" s="2">
        <f>IFERROR(W99 / M99 * 100, 0)</f>
        <v>0</v>
      </c>
    </row>
    <row r="100" spans="1:24">
      <c r="A100" t="s">
        <v>4244</v>
      </c>
      <c r="B100" t="s">
        <v>513</v>
      </c>
      <c r="C100" t="s">
        <v>4912</v>
      </c>
      <c r="D100" t="s">
        <v>1008</v>
      </c>
      <c r="E100" t="s">
        <v>5482</v>
      </c>
      <c r="F100" t="s">
        <v>5581</v>
      </c>
      <c r="G100">
        <v>0.63</v>
      </c>
      <c r="H100">
        <v>0</v>
      </c>
      <c r="I100">
        <v>0</v>
      </c>
      <c r="J100">
        <v>126</v>
      </c>
      <c r="K100">
        <v>86.53</v>
      </c>
      <c r="L100">
        <v>89</v>
      </c>
      <c r="M100">
        <v>267</v>
      </c>
      <c r="N100">
        <v>19</v>
      </c>
      <c r="O100">
        <v>12.98</v>
      </c>
      <c r="P100" s="2">
        <f>(H100 + J100) - (L100 + N100)</f>
        <v>0</v>
      </c>
      <c r="Q100" s="2">
        <f>P100 * G100</f>
        <v>0</v>
      </c>
      <c r="R100">
        <v>0</v>
      </c>
      <c r="S100" s="2">
        <f>R100 * G100</f>
        <v>0</v>
      </c>
      <c r="T100" s="2">
        <f>(H100 + J100) - (L100 + N100) - R100</f>
        <v>0</v>
      </c>
      <c r="U100" s="2">
        <f>T100 * G100</f>
        <v>0</v>
      </c>
      <c r="V100" s="2">
        <f>I100 + K100 - S100</f>
        <v>0</v>
      </c>
      <c r="W100" s="2">
        <f>M100 - V100</f>
        <v>0</v>
      </c>
      <c r="X100" s="2">
        <f>IFERROR(W100 / M100 * 100, 0)</f>
        <v>0</v>
      </c>
    </row>
    <row r="101" spans="1:24">
      <c r="A101" t="s">
        <v>4245</v>
      </c>
      <c r="B101" t="s">
        <v>513</v>
      </c>
      <c r="C101" t="s">
        <v>4913</v>
      </c>
      <c r="D101" t="s">
        <v>1008</v>
      </c>
      <c r="E101" t="s">
        <v>5482</v>
      </c>
      <c r="F101" t="s">
        <v>5582</v>
      </c>
      <c r="G101">
        <v>0.93</v>
      </c>
      <c r="H101">
        <v>0</v>
      </c>
      <c r="I101">
        <v>0</v>
      </c>
      <c r="J101">
        <v>0</v>
      </c>
      <c r="K101">
        <v>0</v>
      </c>
      <c r="L101">
        <v>7</v>
      </c>
      <c r="M101">
        <v>14</v>
      </c>
      <c r="N101">
        <v>0</v>
      </c>
      <c r="O101">
        <v>0</v>
      </c>
      <c r="P101" s="2">
        <f>(H101 + J101) - (L101 + N101)</f>
        <v>0</v>
      </c>
      <c r="Q101" s="2">
        <f>P101 * G101</f>
        <v>0</v>
      </c>
      <c r="R101">
        <v>0</v>
      </c>
      <c r="S101" s="2">
        <f>R101 * G101</f>
        <v>0</v>
      </c>
      <c r="T101" s="2">
        <f>(H101 + J101) - (L101 + N101) - R101</f>
        <v>0</v>
      </c>
      <c r="U101" s="2">
        <f>T101 * G101</f>
        <v>0</v>
      </c>
      <c r="V101" s="2">
        <f>I101 + K101 - S101</f>
        <v>0</v>
      </c>
      <c r="W101" s="2">
        <f>M101 - V101</f>
        <v>0</v>
      </c>
      <c r="X101" s="2">
        <f>IFERROR(W101 / M101 * 100, 0)</f>
        <v>0</v>
      </c>
    </row>
    <row r="102" spans="1:24">
      <c r="A102" t="s">
        <v>4246</v>
      </c>
      <c r="B102" t="s">
        <v>513</v>
      </c>
      <c r="C102" t="s">
        <v>4914</v>
      </c>
      <c r="D102" t="s">
        <v>1008</v>
      </c>
      <c r="E102" t="s">
        <v>5482</v>
      </c>
      <c r="F102" t="s">
        <v>5583</v>
      </c>
      <c r="G102">
        <v>3</v>
      </c>
      <c r="H102">
        <v>30</v>
      </c>
      <c r="I102">
        <v>91.3</v>
      </c>
      <c r="J102">
        <v>280</v>
      </c>
      <c r="K102">
        <v>673</v>
      </c>
      <c r="L102">
        <v>239</v>
      </c>
      <c r="M102">
        <v>1195</v>
      </c>
      <c r="N102">
        <v>0</v>
      </c>
      <c r="O102">
        <v>0</v>
      </c>
      <c r="P102" s="2">
        <f>(H102 + J102) - (L102 + N102)</f>
        <v>0</v>
      </c>
      <c r="Q102" s="2">
        <f>P102 * G102</f>
        <v>0</v>
      </c>
      <c r="R102">
        <v>52</v>
      </c>
      <c r="S102" s="2">
        <f>R102 * G102</f>
        <v>0</v>
      </c>
      <c r="T102" s="2">
        <f>(H102 + J102) - (L102 + N102) - R102</f>
        <v>0</v>
      </c>
      <c r="U102" s="2">
        <f>T102 * G102</f>
        <v>0</v>
      </c>
      <c r="V102" s="2">
        <f>I102 + K102 - S102</f>
        <v>0</v>
      </c>
      <c r="W102" s="2">
        <f>M102 - V102</f>
        <v>0</v>
      </c>
      <c r="X102" s="2">
        <f>IFERROR(W102 / M102 * 100, 0)</f>
        <v>0</v>
      </c>
    </row>
    <row r="103" spans="1:24">
      <c r="A103" t="s">
        <v>4247</v>
      </c>
      <c r="B103" t="s">
        <v>513</v>
      </c>
      <c r="C103" t="s">
        <v>4915</v>
      </c>
      <c r="D103" t="s">
        <v>1008</v>
      </c>
      <c r="E103" t="s">
        <v>5482</v>
      </c>
      <c r="F103" t="s">
        <v>5584</v>
      </c>
      <c r="G103">
        <v>3.66</v>
      </c>
      <c r="H103">
        <v>104</v>
      </c>
      <c r="I103">
        <v>334.76</v>
      </c>
      <c r="J103">
        <v>722</v>
      </c>
      <c r="K103">
        <v>2247.56</v>
      </c>
      <c r="L103">
        <v>724</v>
      </c>
      <c r="M103">
        <v>3982</v>
      </c>
      <c r="N103">
        <v>18</v>
      </c>
      <c r="O103">
        <v>63.2</v>
      </c>
      <c r="P103" s="2">
        <f>(H103 + J103) - (L103 + N103)</f>
        <v>0</v>
      </c>
      <c r="Q103" s="2">
        <f>P103 * G103</f>
        <v>0</v>
      </c>
      <c r="R103">
        <v>44</v>
      </c>
      <c r="S103" s="2">
        <f>R103 * G103</f>
        <v>0</v>
      </c>
      <c r="T103" s="2">
        <f>(H103 + J103) - (L103 + N103) - R103</f>
        <v>0</v>
      </c>
      <c r="U103" s="2">
        <f>T103 * G103</f>
        <v>0</v>
      </c>
      <c r="V103" s="2">
        <f>I103 + K103 - S103</f>
        <v>0</v>
      </c>
      <c r="W103" s="2">
        <f>M103 - V103</f>
        <v>0</v>
      </c>
      <c r="X103" s="2">
        <f>IFERROR(W103 / M103 * 100, 0)</f>
        <v>0</v>
      </c>
    </row>
    <row r="104" spans="1:24">
      <c r="A104" t="s">
        <v>4248</v>
      </c>
      <c r="B104" t="s">
        <v>513</v>
      </c>
      <c r="C104" t="s">
        <v>4916</v>
      </c>
      <c r="D104" t="s">
        <v>1008</v>
      </c>
      <c r="E104" t="s">
        <v>5482</v>
      </c>
      <c r="F104" t="s">
        <v>5585</v>
      </c>
      <c r="G104">
        <v>2.71</v>
      </c>
      <c r="H104">
        <v>17</v>
      </c>
      <c r="I104">
        <v>23.02</v>
      </c>
      <c r="J104">
        <v>151</v>
      </c>
      <c r="K104">
        <v>242.12</v>
      </c>
      <c r="L104">
        <v>134</v>
      </c>
      <c r="M104">
        <v>435.5</v>
      </c>
      <c r="N104">
        <v>6</v>
      </c>
      <c r="O104">
        <v>7.47</v>
      </c>
      <c r="P104" s="2">
        <f>(H104 + J104) - (L104 + N104)</f>
        <v>0</v>
      </c>
      <c r="Q104" s="2">
        <f>P104 * G104</f>
        <v>0</v>
      </c>
      <c r="R104">
        <v>27</v>
      </c>
      <c r="S104" s="2">
        <f>R104 * G104</f>
        <v>0</v>
      </c>
      <c r="T104" s="2">
        <f>(H104 + J104) - (L104 + N104) - R104</f>
        <v>0</v>
      </c>
      <c r="U104" s="2">
        <f>T104 * G104</f>
        <v>0</v>
      </c>
      <c r="V104" s="2">
        <f>I104 + K104 - S104</f>
        <v>0</v>
      </c>
      <c r="W104" s="2">
        <f>M104 - V104</f>
        <v>0</v>
      </c>
      <c r="X104" s="2">
        <f>IFERROR(W104 / M104 * 100, 0)</f>
        <v>0</v>
      </c>
    </row>
    <row r="105" spans="1:24">
      <c r="A105" t="s">
        <v>4249</v>
      </c>
      <c r="B105" t="s">
        <v>513</v>
      </c>
      <c r="C105" t="s">
        <v>4917</v>
      </c>
      <c r="D105" t="s">
        <v>1008</v>
      </c>
      <c r="E105" t="s">
        <v>5482</v>
      </c>
      <c r="F105" t="s">
        <v>5586</v>
      </c>
      <c r="G105">
        <v>2</v>
      </c>
      <c r="H105">
        <v>49</v>
      </c>
      <c r="I105">
        <v>102.48</v>
      </c>
      <c r="J105">
        <v>202</v>
      </c>
      <c r="K105">
        <v>302.3</v>
      </c>
      <c r="L105">
        <v>186</v>
      </c>
      <c r="M105">
        <v>744</v>
      </c>
      <c r="N105">
        <v>7</v>
      </c>
      <c r="O105">
        <v>14.14</v>
      </c>
      <c r="P105" s="2">
        <f>(H105 + J105) - (L105 + N105)</f>
        <v>0</v>
      </c>
      <c r="Q105" s="2">
        <f>P105 * G105</f>
        <v>0</v>
      </c>
      <c r="R105">
        <v>37</v>
      </c>
      <c r="S105" s="2">
        <f>R105 * G105</f>
        <v>0</v>
      </c>
      <c r="T105" s="2">
        <f>(H105 + J105) - (L105 + N105) - R105</f>
        <v>0</v>
      </c>
      <c r="U105" s="2">
        <f>T105 * G105</f>
        <v>0</v>
      </c>
      <c r="V105" s="2">
        <f>I105 + K105 - S105</f>
        <v>0</v>
      </c>
      <c r="W105" s="2">
        <f>M105 - V105</f>
        <v>0</v>
      </c>
      <c r="X105" s="2">
        <f>IFERROR(W105 / M105 * 100, 0)</f>
        <v>0</v>
      </c>
    </row>
    <row r="106" spans="1:24">
      <c r="A106" t="s">
        <v>4250</v>
      </c>
      <c r="B106" t="s">
        <v>513</v>
      </c>
      <c r="C106" t="s">
        <v>4918</v>
      </c>
      <c r="D106" t="s">
        <v>1008</v>
      </c>
      <c r="E106" t="s">
        <v>5482</v>
      </c>
      <c r="F106" t="s">
        <v>5587</v>
      </c>
      <c r="G106">
        <v>0.51</v>
      </c>
      <c r="H106">
        <v>0</v>
      </c>
      <c r="I106">
        <v>0</v>
      </c>
      <c r="J106">
        <v>136</v>
      </c>
      <c r="K106">
        <v>73.86</v>
      </c>
      <c r="L106">
        <v>90</v>
      </c>
      <c r="M106">
        <v>180</v>
      </c>
      <c r="N106">
        <v>13</v>
      </c>
      <c r="O106">
        <v>7.17</v>
      </c>
      <c r="P106" s="2">
        <f>(H106 + J106) - (L106 + N106)</f>
        <v>0</v>
      </c>
      <c r="Q106" s="2">
        <f>P106 * G106</f>
        <v>0</v>
      </c>
      <c r="R106">
        <v>0</v>
      </c>
      <c r="S106" s="2">
        <f>R106 * G106</f>
        <v>0</v>
      </c>
      <c r="T106" s="2">
        <f>(H106 + J106) - (L106 + N106) - R106</f>
        <v>0</v>
      </c>
      <c r="U106" s="2">
        <f>T106 * G106</f>
        <v>0</v>
      </c>
      <c r="V106" s="2">
        <f>I106 + K106 - S106</f>
        <v>0</v>
      </c>
      <c r="W106" s="2">
        <f>M106 - V106</f>
        <v>0</v>
      </c>
      <c r="X106" s="2">
        <f>IFERROR(W106 / M106 * 100, 0)</f>
        <v>0</v>
      </c>
    </row>
    <row r="107" spans="1:24">
      <c r="A107" t="s">
        <v>4251</v>
      </c>
      <c r="B107" t="s">
        <v>512</v>
      </c>
      <c r="C107" t="s">
        <v>4919</v>
      </c>
      <c r="D107" t="s">
        <v>1007</v>
      </c>
      <c r="E107" t="s">
        <v>5482</v>
      </c>
      <c r="F107" t="s">
        <v>5588</v>
      </c>
      <c r="G107">
        <v>13.48</v>
      </c>
      <c r="H107">
        <v>2</v>
      </c>
      <c r="I107">
        <v>26.97</v>
      </c>
      <c r="J107">
        <v>30</v>
      </c>
      <c r="K107">
        <v>404.45</v>
      </c>
      <c r="L107">
        <v>0</v>
      </c>
      <c r="M107">
        <v>0</v>
      </c>
      <c r="N107">
        <v>0</v>
      </c>
      <c r="O107">
        <v>0</v>
      </c>
      <c r="P107" s="2">
        <f>(H107 + J107) - (L107 + N107)</f>
        <v>0</v>
      </c>
      <c r="Q107" s="2">
        <f>P107 * G107</f>
        <v>0</v>
      </c>
      <c r="R107">
        <v>0</v>
      </c>
      <c r="S107" s="2">
        <f>R107 * G107</f>
        <v>0</v>
      </c>
      <c r="T107" s="2">
        <f>(H107 + J107) - (L107 + N107) - R107</f>
        <v>0</v>
      </c>
      <c r="U107" s="2">
        <f>T107 * G107</f>
        <v>0</v>
      </c>
      <c r="V107" s="2">
        <f>I107 + K107 - S107</f>
        <v>0</v>
      </c>
      <c r="W107" s="2">
        <f>M107 - V107</f>
        <v>0</v>
      </c>
      <c r="X107" s="2">
        <f>IFERROR(W107 / M107 * 100, 0)</f>
        <v>0</v>
      </c>
    </row>
    <row r="108" spans="1:24">
      <c r="A108" t="s">
        <v>4252</v>
      </c>
      <c r="B108" t="s">
        <v>512</v>
      </c>
      <c r="C108" t="s">
        <v>4920</v>
      </c>
      <c r="D108" t="s">
        <v>1007</v>
      </c>
      <c r="E108" t="s">
        <v>5482</v>
      </c>
      <c r="F108" t="s">
        <v>5589</v>
      </c>
      <c r="G108">
        <v>34.72</v>
      </c>
      <c r="H108">
        <v>8</v>
      </c>
      <c r="I108">
        <v>277.78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s="2">
        <f>(H108 + J108) - (L108 + N108)</f>
        <v>0</v>
      </c>
      <c r="Q108" s="2">
        <f>P108 * G108</f>
        <v>0</v>
      </c>
      <c r="R108">
        <v>4</v>
      </c>
      <c r="S108" s="2">
        <f>R108 * G108</f>
        <v>0</v>
      </c>
      <c r="T108" s="2">
        <f>(H108 + J108) - (L108 + N108) - R108</f>
        <v>0</v>
      </c>
      <c r="U108" s="2">
        <f>T108 * G108</f>
        <v>0</v>
      </c>
      <c r="V108" s="2">
        <f>I108 + K108 - S108</f>
        <v>0</v>
      </c>
      <c r="W108" s="2">
        <f>M108 - V108</f>
        <v>0</v>
      </c>
      <c r="X108" s="2">
        <f>IFERROR(W108 / M108 * 100, 0)</f>
        <v>0</v>
      </c>
    </row>
    <row r="109" spans="1:24">
      <c r="A109" t="s">
        <v>4253</v>
      </c>
      <c r="B109" t="s">
        <v>512</v>
      </c>
      <c r="C109" t="s">
        <v>4921</v>
      </c>
      <c r="D109" t="s">
        <v>1008</v>
      </c>
      <c r="E109" t="s">
        <v>5482</v>
      </c>
      <c r="F109" t="s">
        <v>5590</v>
      </c>
      <c r="G109">
        <v>140</v>
      </c>
      <c r="H109">
        <v>0</v>
      </c>
      <c r="I109">
        <v>0</v>
      </c>
      <c r="J109">
        <v>2</v>
      </c>
      <c r="K109">
        <v>280</v>
      </c>
      <c r="L109">
        <v>0</v>
      </c>
      <c r="M109">
        <v>0</v>
      </c>
      <c r="N109">
        <v>0</v>
      </c>
      <c r="O109">
        <v>0</v>
      </c>
      <c r="P109" s="2">
        <f>(H109 + J109) - (L109 + N109)</f>
        <v>0</v>
      </c>
      <c r="Q109" s="2">
        <f>P109 * G109</f>
        <v>0</v>
      </c>
      <c r="R109">
        <v>1</v>
      </c>
      <c r="S109" s="2">
        <f>R109 * G109</f>
        <v>0</v>
      </c>
      <c r="T109" s="2">
        <f>(H109 + J109) - (L109 + N109) - R109</f>
        <v>0</v>
      </c>
      <c r="U109" s="2">
        <f>T109 * G109</f>
        <v>0</v>
      </c>
      <c r="V109" s="2">
        <f>I109 + K109 - S109</f>
        <v>0</v>
      </c>
      <c r="W109" s="2">
        <f>M109 - V109</f>
        <v>0</v>
      </c>
      <c r="X109" s="2">
        <f>IFERROR(W109 / M109 * 100, 0)</f>
        <v>0</v>
      </c>
    </row>
    <row r="110" spans="1:24">
      <c r="A110" t="s">
        <v>4254</v>
      </c>
      <c r="B110" t="s">
        <v>512</v>
      </c>
      <c r="C110" t="s">
        <v>4922</v>
      </c>
      <c r="D110" t="s">
        <v>1008</v>
      </c>
      <c r="E110" t="s">
        <v>5482</v>
      </c>
      <c r="F110" t="s">
        <v>5591</v>
      </c>
      <c r="G110">
        <v>216.11</v>
      </c>
      <c r="H110">
        <v>0</v>
      </c>
      <c r="I110">
        <v>0</v>
      </c>
      <c r="J110">
        <v>6</v>
      </c>
      <c r="K110">
        <v>1296.67</v>
      </c>
      <c r="L110">
        <v>0</v>
      </c>
      <c r="M110">
        <v>0</v>
      </c>
      <c r="N110">
        <v>0</v>
      </c>
      <c r="O110">
        <v>0</v>
      </c>
      <c r="P110" s="2">
        <f>(H110 + J110) - (L110 + N110)</f>
        <v>0</v>
      </c>
      <c r="Q110" s="2">
        <f>P110 * G110</f>
        <v>0</v>
      </c>
      <c r="R110">
        <v>3</v>
      </c>
      <c r="S110" s="2">
        <f>R110 * G110</f>
        <v>0</v>
      </c>
      <c r="T110" s="2">
        <f>(H110 + J110) - (L110 + N110) - R110</f>
        <v>0</v>
      </c>
      <c r="U110" s="2">
        <f>T110 * G110</f>
        <v>0</v>
      </c>
      <c r="V110" s="2">
        <f>I110 + K110 - S110</f>
        <v>0</v>
      </c>
      <c r="W110" s="2">
        <f>M110 - V110</f>
        <v>0</v>
      </c>
      <c r="X110" s="2">
        <f>IFERROR(W110 / M110 * 100, 0)</f>
        <v>0</v>
      </c>
    </row>
    <row r="111" spans="1:24">
      <c r="A111" t="s">
        <v>4255</v>
      </c>
      <c r="B111" t="s">
        <v>512</v>
      </c>
      <c r="C111" t="s">
        <v>4923</v>
      </c>
      <c r="D111" t="s">
        <v>1008</v>
      </c>
      <c r="E111" t="s">
        <v>5482</v>
      </c>
      <c r="F111" t="s">
        <v>5592</v>
      </c>
      <c r="G111">
        <v>25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s="2">
        <f>(H111 + J111) - (L111 + N111)</f>
        <v>0</v>
      </c>
      <c r="Q111" s="2">
        <f>P111 * G111</f>
        <v>0</v>
      </c>
      <c r="R111">
        <v>2</v>
      </c>
      <c r="S111" s="2">
        <f>R111 * G111</f>
        <v>0</v>
      </c>
      <c r="T111" s="2">
        <f>(H111 + J111) - (L111 + N111) - R111</f>
        <v>0</v>
      </c>
      <c r="U111" s="2">
        <f>T111 * G111</f>
        <v>0</v>
      </c>
      <c r="V111" s="2">
        <f>I111 + K111 - S111</f>
        <v>0</v>
      </c>
      <c r="W111" s="2">
        <f>M111 - V111</f>
        <v>0</v>
      </c>
      <c r="X111" s="2">
        <f>IFERROR(W111 / M111 * 100, 0)</f>
        <v>0</v>
      </c>
    </row>
    <row r="112" spans="1:24">
      <c r="A112" t="s">
        <v>4256</v>
      </c>
      <c r="B112" t="s">
        <v>512</v>
      </c>
      <c r="C112" t="s">
        <v>4924</v>
      </c>
      <c r="D112" t="s">
        <v>1007</v>
      </c>
      <c r="E112" t="s">
        <v>5482</v>
      </c>
      <c r="F112" t="s">
        <v>5593</v>
      </c>
      <c r="G112">
        <v>23.64</v>
      </c>
      <c r="H112">
        <v>8</v>
      </c>
      <c r="I112">
        <v>189.09</v>
      </c>
      <c r="J112">
        <v>-7.7</v>
      </c>
      <c r="K112">
        <v>-182</v>
      </c>
      <c r="L112">
        <v>0</v>
      </c>
      <c r="M112">
        <v>0</v>
      </c>
      <c r="N112">
        <v>0</v>
      </c>
      <c r="O112">
        <v>0</v>
      </c>
      <c r="P112" s="2">
        <f>(H112 + J112) - (L112 + N112)</f>
        <v>0</v>
      </c>
      <c r="Q112" s="2">
        <f>P112 * G112</f>
        <v>0</v>
      </c>
      <c r="R112">
        <v>8</v>
      </c>
      <c r="S112" s="2">
        <f>R112 * G112</f>
        <v>0</v>
      </c>
      <c r="T112" s="2">
        <f>(H112 + J112) - (L112 + N112) - R112</f>
        <v>0</v>
      </c>
      <c r="U112" s="2">
        <f>T112 * G112</f>
        <v>0</v>
      </c>
      <c r="V112" s="2">
        <f>I112 + K112 - S112</f>
        <v>0</v>
      </c>
      <c r="W112" s="2">
        <f>M112 - V112</f>
        <v>0</v>
      </c>
      <c r="X112" s="2">
        <f>IFERROR(W112 / M112 * 100, 0)</f>
        <v>0</v>
      </c>
    </row>
    <row r="113" spans="1:24">
      <c r="A113" t="s">
        <v>4257</v>
      </c>
      <c r="B113" t="s">
        <v>512</v>
      </c>
      <c r="C113" t="s">
        <v>4925</v>
      </c>
      <c r="D113" t="s">
        <v>1008</v>
      </c>
      <c r="E113" t="s">
        <v>5482</v>
      </c>
      <c r="F113" t="s">
        <v>5594</v>
      </c>
      <c r="G113">
        <v>180</v>
      </c>
      <c r="H113">
        <v>4</v>
      </c>
      <c r="I113">
        <v>720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s="2">
        <f>(H113 + J113) - (L113 + N113)</f>
        <v>0</v>
      </c>
      <c r="Q113" s="2">
        <f>P113 * G113</f>
        <v>0</v>
      </c>
      <c r="R113">
        <v>4</v>
      </c>
      <c r="S113" s="2">
        <f>R113 * G113</f>
        <v>0</v>
      </c>
      <c r="T113" s="2">
        <f>(H113 + J113) - (L113 + N113) - R113</f>
        <v>0</v>
      </c>
      <c r="U113" s="2">
        <f>T113 * G113</f>
        <v>0</v>
      </c>
      <c r="V113" s="2">
        <f>I113 + K113 - S113</f>
        <v>0</v>
      </c>
      <c r="W113" s="2">
        <f>M113 - V113</f>
        <v>0</v>
      </c>
      <c r="X113" s="2">
        <f>IFERROR(W113 / M113 * 100, 0)</f>
        <v>0</v>
      </c>
    </row>
    <row r="114" spans="1:24">
      <c r="A114" t="s">
        <v>4258</v>
      </c>
      <c r="B114" t="s">
        <v>512</v>
      </c>
      <c r="C114" t="s">
        <v>4926</v>
      </c>
      <c r="D114" t="s">
        <v>1008</v>
      </c>
      <c r="E114" t="s">
        <v>5482</v>
      </c>
      <c r="F114" t="s">
        <v>5595</v>
      </c>
      <c r="G114">
        <v>25.84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s="2">
        <f>(H114 + J114) - (L114 + N114)</f>
        <v>0</v>
      </c>
      <c r="Q114" s="2">
        <f>P114 * G114</f>
        <v>0</v>
      </c>
      <c r="R114">
        <v>8</v>
      </c>
      <c r="S114" s="2">
        <f>R114 * G114</f>
        <v>0</v>
      </c>
      <c r="T114" s="2">
        <f>(H114 + J114) - (L114 + N114) - R114</f>
        <v>0</v>
      </c>
      <c r="U114" s="2">
        <f>T114 * G114</f>
        <v>0</v>
      </c>
      <c r="V114" s="2">
        <f>I114 + K114 - S114</f>
        <v>0</v>
      </c>
      <c r="W114" s="2">
        <f>M114 - V114</f>
        <v>0</v>
      </c>
      <c r="X114" s="2">
        <f>IFERROR(W114 / M114 * 100, 0)</f>
        <v>0</v>
      </c>
    </row>
    <row r="115" spans="1:24">
      <c r="A115" t="s">
        <v>4259</v>
      </c>
      <c r="B115" t="s">
        <v>512</v>
      </c>
      <c r="C115" t="s">
        <v>4927</v>
      </c>
      <c r="D115" t="s">
        <v>1008</v>
      </c>
      <c r="E115" t="s">
        <v>5482</v>
      </c>
      <c r="F115" t="s">
        <v>5596</v>
      </c>
      <c r="G115">
        <v>51.18</v>
      </c>
      <c r="H115">
        <v>0</v>
      </c>
      <c r="I115">
        <v>0</v>
      </c>
      <c r="J115">
        <v>17</v>
      </c>
      <c r="K115">
        <v>870</v>
      </c>
      <c r="L115">
        <v>0</v>
      </c>
      <c r="M115">
        <v>0</v>
      </c>
      <c r="N115">
        <v>0</v>
      </c>
      <c r="O115">
        <v>0</v>
      </c>
      <c r="P115" s="2">
        <f>(H115 + J115) - (L115 + N115)</f>
        <v>0</v>
      </c>
      <c r="Q115" s="2">
        <f>P115 * G115</f>
        <v>0</v>
      </c>
      <c r="R115">
        <v>0</v>
      </c>
      <c r="S115" s="2">
        <f>R115 * G115</f>
        <v>0</v>
      </c>
      <c r="T115" s="2">
        <f>(H115 + J115) - (L115 + N115) - R115</f>
        <v>0</v>
      </c>
      <c r="U115" s="2">
        <f>T115 * G115</f>
        <v>0</v>
      </c>
      <c r="V115" s="2">
        <f>I115 + K115 - S115</f>
        <v>0</v>
      </c>
      <c r="W115" s="2">
        <f>M115 - V115</f>
        <v>0</v>
      </c>
      <c r="X115" s="2">
        <f>IFERROR(W115 / M115 * 100, 0)</f>
        <v>0</v>
      </c>
    </row>
    <row r="116" spans="1:24">
      <c r="A116" t="s">
        <v>4260</v>
      </c>
      <c r="B116" t="s">
        <v>512</v>
      </c>
      <c r="C116" t="s">
        <v>4928</v>
      </c>
      <c r="D116" t="s">
        <v>1008</v>
      </c>
      <c r="E116" t="s">
        <v>5482</v>
      </c>
      <c r="F116" t="s">
        <v>5597</v>
      </c>
      <c r="G116">
        <v>275</v>
      </c>
      <c r="H116">
        <v>1</v>
      </c>
      <c r="I116">
        <v>275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s="2">
        <f>(H116 + J116) - (L116 + N116)</f>
        <v>0</v>
      </c>
      <c r="Q116" s="2">
        <f>P116 * G116</f>
        <v>0</v>
      </c>
      <c r="R116">
        <v>1</v>
      </c>
      <c r="S116" s="2">
        <f>R116 * G116</f>
        <v>0</v>
      </c>
      <c r="T116" s="2">
        <f>(H116 + J116) - (L116 + N116) - R116</f>
        <v>0</v>
      </c>
      <c r="U116" s="2">
        <f>T116 * G116</f>
        <v>0</v>
      </c>
      <c r="V116" s="2">
        <f>I116 + K116 - S116</f>
        <v>0</v>
      </c>
      <c r="W116" s="2">
        <f>M116 - V116</f>
        <v>0</v>
      </c>
      <c r="X116" s="2">
        <f>IFERROR(W116 / M116 * 100, 0)</f>
        <v>0</v>
      </c>
    </row>
    <row r="117" spans="1:24">
      <c r="A117" t="s">
        <v>4261</v>
      </c>
      <c r="B117" t="s">
        <v>512</v>
      </c>
      <c r="C117" t="s">
        <v>4929</v>
      </c>
      <c r="D117" t="s">
        <v>1008</v>
      </c>
      <c r="E117" t="s">
        <v>5482</v>
      </c>
      <c r="F117" t="s">
        <v>5598</v>
      </c>
      <c r="G117">
        <v>115</v>
      </c>
      <c r="H117">
        <v>0</v>
      </c>
      <c r="I117">
        <v>0</v>
      </c>
      <c r="J117">
        <v>5</v>
      </c>
      <c r="K117">
        <v>575</v>
      </c>
      <c r="L117">
        <v>0</v>
      </c>
      <c r="M117">
        <v>0</v>
      </c>
      <c r="N117">
        <v>0</v>
      </c>
      <c r="O117">
        <v>0</v>
      </c>
      <c r="P117" s="2">
        <f>(H117 + J117) - (L117 + N117)</f>
        <v>0</v>
      </c>
      <c r="Q117" s="2">
        <f>P117 * G117</f>
        <v>0</v>
      </c>
      <c r="R117">
        <v>0</v>
      </c>
      <c r="S117" s="2">
        <f>R117 * G117</f>
        <v>0</v>
      </c>
      <c r="T117" s="2">
        <f>(H117 + J117) - (L117 + N117) - R117</f>
        <v>0</v>
      </c>
      <c r="U117" s="2">
        <f>T117 * G117</f>
        <v>0</v>
      </c>
      <c r="V117" s="2">
        <f>I117 + K117 - S117</f>
        <v>0</v>
      </c>
      <c r="W117" s="2">
        <f>M117 - V117</f>
        <v>0</v>
      </c>
      <c r="X117" s="2">
        <f>IFERROR(W117 / M117 * 100, 0)</f>
        <v>0</v>
      </c>
    </row>
    <row r="118" spans="1:24">
      <c r="A118" t="s">
        <v>4262</v>
      </c>
      <c r="B118" t="s">
        <v>512</v>
      </c>
      <c r="C118" t="s">
        <v>4930</v>
      </c>
      <c r="D118" t="s">
        <v>1008</v>
      </c>
      <c r="E118" t="s">
        <v>5482</v>
      </c>
      <c r="F118" t="s">
        <v>5599</v>
      </c>
      <c r="G118">
        <v>44</v>
      </c>
      <c r="H118">
        <v>0</v>
      </c>
      <c r="I118">
        <v>0</v>
      </c>
      <c r="J118">
        <v>5</v>
      </c>
      <c r="K118">
        <v>220</v>
      </c>
      <c r="L118">
        <v>0</v>
      </c>
      <c r="M118">
        <v>0</v>
      </c>
      <c r="N118">
        <v>0</v>
      </c>
      <c r="O118">
        <v>0</v>
      </c>
      <c r="P118" s="2">
        <f>(H118 + J118) - (L118 + N118)</f>
        <v>0</v>
      </c>
      <c r="Q118" s="2">
        <f>P118 * G118</f>
        <v>0</v>
      </c>
      <c r="R118">
        <v>0</v>
      </c>
      <c r="S118" s="2">
        <f>R118 * G118</f>
        <v>0</v>
      </c>
      <c r="T118" s="2">
        <f>(H118 + J118) - (L118 + N118) - R118</f>
        <v>0</v>
      </c>
      <c r="U118" s="2">
        <f>T118 * G118</f>
        <v>0</v>
      </c>
      <c r="V118" s="2">
        <f>I118 + K118 - S118</f>
        <v>0</v>
      </c>
      <c r="W118" s="2">
        <f>M118 - V118</f>
        <v>0</v>
      </c>
      <c r="X118" s="2">
        <f>IFERROR(W118 / M118 * 100, 0)</f>
        <v>0</v>
      </c>
    </row>
    <row r="119" spans="1:24">
      <c r="A119" t="s">
        <v>4263</v>
      </c>
      <c r="B119" t="s">
        <v>512</v>
      </c>
      <c r="C119" t="s">
        <v>4931</v>
      </c>
      <c r="D119" t="s">
        <v>1008</v>
      </c>
      <c r="E119" t="s">
        <v>5482</v>
      </c>
      <c r="F119" t="s">
        <v>5600</v>
      </c>
      <c r="G119">
        <v>44</v>
      </c>
      <c r="H119">
        <v>0</v>
      </c>
      <c r="I119">
        <v>0</v>
      </c>
      <c r="J119">
        <v>5</v>
      </c>
      <c r="K119">
        <v>220</v>
      </c>
      <c r="L119">
        <v>0</v>
      </c>
      <c r="M119">
        <v>0</v>
      </c>
      <c r="N119">
        <v>0</v>
      </c>
      <c r="O119">
        <v>0</v>
      </c>
      <c r="P119" s="2">
        <f>(H119 + J119) - (L119 + N119)</f>
        <v>0</v>
      </c>
      <c r="Q119" s="2">
        <f>P119 * G119</f>
        <v>0</v>
      </c>
      <c r="R119">
        <v>0</v>
      </c>
      <c r="S119" s="2">
        <f>R119 * G119</f>
        <v>0</v>
      </c>
      <c r="T119" s="2">
        <f>(H119 + J119) - (L119 + N119) - R119</f>
        <v>0</v>
      </c>
      <c r="U119" s="2">
        <f>T119 * G119</f>
        <v>0</v>
      </c>
      <c r="V119" s="2">
        <f>I119 + K119 - S119</f>
        <v>0</v>
      </c>
      <c r="W119" s="2">
        <f>M119 - V119</f>
        <v>0</v>
      </c>
      <c r="X119" s="2">
        <f>IFERROR(W119 / M119 * 100, 0)</f>
        <v>0</v>
      </c>
    </row>
    <row r="120" spans="1:24">
      <c r="A120" t="s">
        <v>4264</v>
      </c>
      <c r="B120" t="s">
        <v>513</v>
      </c>
      <c r="C120" t="s">
        <v>4932</v>
      </c>
      <c r="D120" t="s">
        <v>1008</v>
      </c>
      <c r="E120" t="s">
        <v>5482</v>
      </c>
      <c r="F120" t="s">
        <v>5601</v>
      </c>
      <c r="G120">
        <v>1.83</v>
      </c>
      <c r="H120">
        <v>0</v>
      </c>
      <c r="I120">
        <v>0</v>
      </c>
      <c r="J120">
        <v>16</v>
      </c>
      <c r="K120">
        <v>27.14</v>
      </c>
      <c r="L120">
        <v>7</v>
      </c>
      <c r="M120">
        <v>38.5</v>
      </c>
      <c r="N120">
        <v>0</v>
      </c>
      <c r="O120">
        <v>0</v>
      </c>
      <c r="P120" s="2">
        <f>(H120 + J120) - (L120 + N120)</f>
        <v>0</v>
      </c>
      <c r="Q120" s="2">
        <f>P120 * G120</f>
        <v>0</v>
      </c>
      <c r="R120">
        <v>0</v>
      </c>
      <c r="S120" s="2">
        <f>R120 * G120</f>
        <v>0</v>
      </c>
      <c r="T120" s="2">
        <f>(H120 + J120) - (L120 + N120) - R120</f>
        <v>0</v>
      </c>
      <c r="U120" s="2">
        <f>T120 * G120</f>
        <v>0</v>
      </c>
      <c r="V120" s="2">
        <f>I120 + K120 - S120</f>
        <v>0</v>
      </c>
      <c r="W120" s="2">
        <f>M120 - V120</f>
        <v>0</v>
      </c>
      <c r="X120" s="2">
        <f>IFERROR(W120 / M120 * 100, 0)</f>
        <v>0</v>
      </c>
    </row>
    <row r="121" spans="1:24">
      <c r="A121" t="s">
        <v>4265</v>
      </c>
      <c r="B121" t="s">
        <v>512</v>
      </c>
      <c r="C121" t="s">
        <v>4933</v>
      </c>
      <c r="D121" t="s">
        <v>1007</v>
      </c>
      <c r="E121" t="s">
        <v>5482</v>
      </c>
      <c r="F121" t="s">
        <v>5602</v>
      </c>
      <c r="G121">
        <v>270.83</v>
      </c>
      <c r="H121">
        <v>1</v>
      </c>
      <c r="I121">
        <v>270.83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s="2">
        <f>(H121 + J121) - (L121 + N121)</f>
        <v>0</v>
      </c>
      <c r="Q121" s="2">
        <f>P121 * G121</f>
        <v>0</v>
      </c>
      <c r="R121">
        <v>0</v>
      </c>
      <c r="S121" s="2">
        <f>R121 * G121</f>
        <v>0</v>
      </c>
      <c r="T121" s="2">
        <f>(H121 + J121) - (L121 + N121) - R121</f>
        <v>0</v>
      </c>
      <c r="U121" s="2">
        <f>T121 * G121</f>
        <v>0</v>
      </c>
      <c r="V121" s="2">
        <f>I121 + K121 - S121</f>
        <v>0</v>
      </c>
      <c r="W121" s="2">
        <f>M121 - V121</f>
        <v>0</v>
      </c>
      <c r="X121" s="2">
        <f>IFERROR(W121 / M121 * 100, 0)</f>
        <v>0</v>
      </c>
    </row>
    <row r="122" spans="1:24">
      <c r="A122" t="s">
        <v>4266</v>
      </c>
      <c r="B122" t="s">
        <v>512</v>
      </c>
      <c r="C122" t="s">
        <v>4934</v>
      </c>
      <c r="D122" t="s">
        <v>1007</v>
      </c>
      <c r="E122" t="s">
        <v>5482</v>
      </c>
      <c r="F122" t="s">
        <v>5603</v>
      </c>
      <c r="G122">
        <v>46.68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s="2">
        <f>(H122 + J122) - (L122 + N122)</f>
        <v>0</v>
      </c>
      <c r="Q122" s="2">
        <f>P122 * G122</f>
        <v>0</v>
      </c>
      <c r="R122">
        <v>0.25</v>
      </c>
      <c r="S122" s="2">
        <f>R122 * G122</f>
        <v>0</v>
      </c>
      <c r="T122" s="2">
        <f>(H122 + J122) - (L122 + N122) - R122</f>
        <v>0</v>
      </c>
      <c r="U122" s="2">
        <f>T122 * G122</f>
        <v>0</v>
      </c>
      <c r="V122" s="2">
        <f>I122 + K122 - S122</f>
        <v>0</v>
      </c>
      <c r="W122" s="2">
        <f>M122 - V122</f>
        <v>0</v>
      </c>
      <c r="X122" s="2">
        <f>IFERROR(W122 / M122 * 100, 0)</f>
        <v>0</v>
      </c>
    </row>
    <row r="123" spans="1:24">
      <c r="A123" t="s">
        <v>4267</v>
      </c>
      <c r="B123" t="s">
        <v>512</v>
      </c>
      <c r="C123" t="s">
        <v>4935</v>
      </c>
      <c r="D123" t="s">
        <v>1008</v>
      </c>
      <c r="E123" t="s">
        <v>5482</v>
      </c>
      <c r="F123" t="s">
        <v>5604</v>
      </c>
      <c r="G123">
        <v>55.26</v>
      </c>
      <c r="H123">
        <v>20</v>
      </c>
      <c r="I123">
        <v>1105.21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s="2">
        <f>(H123 + J123) - (L123 + N123)</f>
        <v>0</v>
      </c>
      <c r="Q123" s="2">
        <f>P123 * G123</f>
        <v>0</v>
      </c>
      <c r="R123">
        <v>3</v>
      </c>
      <c r="S123" s="2">
        <f>R123 * G123</f>
        <v>0</v>
      </c>
      <c r="T123" s="2">
        <f>(H123 + J123) - (L123 + N123) - R123</f>
        <v>0</v>
      </c>
      <c r="U123" s="2">
        <f>T123 * G123</f>
        <v>0</v>
      </c>
      <c r="V123" s="2">
        <f>I123 + K123 - S123</f>
        <v>0</v>
      </c>
      <c r="W123" s="2">
        <f>M123 - V123</f>
        <v>0</v>
      </c>
      <c r="X123" s="2">
        <f>IFERROR(W123 / M123 * 100, 0)</f>
        <v>0</v>
      </c>
    </row>
    <row r="124" spans="1:24">
      <c r="A124" t="s">
        <v>4268</v>
      </c>
      <c r="B124" t="s">
        <v>512</v>
      </c>
      <c r="C124" t="s">
        <v>4936</v>
      </c>
      <c r="D124" t="s">
        <v>1008</v>
      </c>
      <c r="E124" t="s">
        <v>5482</v>
      </c>
      <c r="F124" t="s">
        <v>5605</v>
      </c>
      <c r="G124">
        <v>32</v>
      </c>
      <c r="H124">
        <v>0</v>
      </c>
      <c r="I124">
        <v>0</v>
      </c>
      <c r="J124">
        <v>3</v>
      </c>
      <c r="K124">
        <v>96</v>
      </c>
      <c r="L124">
        <v>0</v>
      </c>
      <c r="M124">
        <v>0</v>
      </c>
      <c r="N124">
        <v>0</v>
      </c>
      <c r="O124">
        <v>0</v>
      </c>
      <c r="P124" s="2">
        <f>(H124 + J124) - (L124 + N124)</f>
        <v>0</v>
      </c>
      <c r="Q124" s="2">
        <f>P124 * G124</f>
        <v>0</v>
      </c>
      <c r="R124">
        <v>0</v>
      </c>
      <c r="S124" s="2">
        <f>R124 * G124</f>
        <v>0</v>
      </c>
      <c r="T124" s="2">
        <f>(H124 + J124) - (L124 + N124) - R124</f>
        <v>0</v>
      </c>
      <c r="U124" s="2">
        <f>T124 * G124</f>
        <v>0</v>
      </c>
      <c r="V124" s="2">
        <f>I124 + K124 - S124</f>
        <v>0</v>
      </c>
      <c r="W124" s="2">
        <f>M124 - V124</f>
        <v>0</v>
      </c>
      <c r="X124" s="2">
        <f>IFERROR(W124 / M124 * 100, 0)</f>
        <v>0</v>
      </c>
    </row>
    <row r="125" spans="1:24">
      <c r="A125" t="s">
        <v>4269</v>
      </c>
      <c r="B125" t="s">
        <v>512</v>
      </c>
      <c r="C125" t="s">
        <v>4937</v>
      </c>
      <c r="D125" t="s">
        <v>1008</v>
      </c>
      <c r="E125" t="s">
        <v>5482</v>
      </c>
      <c r="F125" t="s">
        <v>5606</v>
      </c>
      <c r="G125">
        <v>0.8</v>
      </c>
      <c r="H125">
        <v>0</v>
      </c>
      <c r="I125">
        <v>0</v>
      </c>
      <c r="J125">
        <v>0</v>
      </c>
      <c r="K125">
        <v>0</v>
      </c>
      <c r="L125">
        <v>7</v>
      </c>
      <c r="M125">
        <v>7</v>
      </c>
      <c r="N125">
        <v>0</v>
      </c>
      <c r="O125">
        <v>0</v>
      </c>
      <c r="P125" s="2">
        <f>(H125 + J125) - (L125 + N125)</f>
        <v>0</v>
      </c>
      <c r="Q125" s="2">
        <f>P125 * G125</f>
        <v>0</v>
      </c>
      <c r="R125">
        <v>0</v>
      </c>
      <c r="S125" s="2">
        <f>R125 * G125</f>
        <v>0</v>
      </c>
      <c r="T125" s="2">
        <f>(H125 + J125) - (L125 + N125) - R125</f>
        <v>0</v>
      </c>
      <c r="U125" s="2">
        <f>T125 * G125</f>
        <v>0</v>
      </c>
      <c r="V125" s="2">
        <f>I125 + K125 - S125</f>
        <v>0</v>
      </c>
      <c r="W125" s="2">
        <f>M125 - V125</f>
        <v>0</v>
      </c>
      <c r="X125" s="2">
        <f>IFERROR(W125 / M125 * 100, 0)</f>
        <v>0</v>
      </c>
    </row>
    <row r="126" spans="1:24">
      <c r="A126" t="s">
        <v>4270</v>
      </c>
      <c r="B126" t="s">
        <v>512</v>
      </c>
      <c r="C126" t="s">
        <v>4938</v>
      </c>
      <c r="D126" t="s">
        <v>1008</v>
      </c>
      <c r="E126" t="s">
        <v>5482</v>
      </c>
      <c r="F126" t="s">
        <v>5607</v>
      </c>
      <c r="G126">
        <v>55.25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s="2">
        <f>(H126 + J126) - (L126 + N126)</f>
        <v>0</v>
      </c>
      <c r="Q126" s="2">
        <f>P126 * G126</f>
        <v>0</v>
      </c>
      <c r="R126">
        <v>6</v>
      </c>
      <c r="S126" s="2">
        <f>R126 * G126</f>
        <v>0</v>
      </c>
      <c r="T126" s="2">
        <f>(H126 + J126) - (L126 + N126) - R126</f>
        <v>0</v>
      </c>
      <c r="U126" s="2">
        <f>T126 * G126</f>
        <v>0</v>
      </c>
      <c r="V126" s="2">
        <f>I126 + K126 - S126</f>
        <v>0</v>
      </c>
      <c r="W126" s="2">
        <f>M126 - V126</f>
        <v>0</v>
      </c>
      <c r="X126" s="2">
        <f>IFERROR(W126 / M126 * 100, 0)</f>
        <v>0</v>
      </c>
    </row>
    <row r="127" spans="1:24">
      <c r="A127" t="s">
        <v>4271</v>
      </c>
      <c r="B127" t="s">
        <v>512</v>
      </c>
      <c r="C127" t="s">
        <v>4939</v>
      </c>
      <c r="D127" t="s">
        <v>1007</v>
      </c>
      <c r="E127" t="s">
        <v>5482</v>
      </c>
      <c r="F127" t="s">
        <v>5608</v>
      </c>
      <c r="G127">
        <v>10.4</v>
      </c>
      <c r="H127">
        <v>0</v>
      </c>
      <c r="I127">
        <v>0</v>
      </c>
      <c r="J127">
        <v>-124.01</v>
      </c>
      <c r="K127">
        <v>-1289.68</v>
      </c>
      <c r="L127">
        <v>0</v>
      </c>
      <c r="M127">
        <v>0</v>
      </c>
      <c r="N127">
        <v>0</v>
      </c>
      <c r="O127">
        <v>0</v>
      </c>
      <c r="P127" s="2">
        <f>(H127 + J127) - (L127 + N127)</f>
        <v>0</v>
      </c>
      <c r="Q127" s="2">
        <f>P127 * G127</f>
        <v>0</v>
      </c>
      <c r="R127">
        <v>0</v>
      </c>
      <c r="S127" s="2">
        <f>R127 * G127</f>
        <v>0</v>
      </c>
      <c r="T127" s="2">
        <f>(H127 + J127) - (L127 + N127) - R127</f>
        <v>0</v>
      </c>
      <c r="U127" s="2">
        <f>T127 * G127</f>
        <v>0</v>
      </c>
      <c r="V127" s="2">
        <f>I127 + K127 - S127</f>
        <v>0</v>
      </c>
      <c r="W127" s="2">
        <f>M127 - V127</f>
        <v>0</v>
      </c>
      <c r="X127" s="2">
        <f>IFERROR(W127 / M127 * 100, 0)</f>
        <v>0</v>
      </c>
    </row>
    <row r="128" spans="1:24">
      <c r="A128" t="s">
        <v>4272</v>
      </c>
      <c r="B128" t="s">
        <v>512</v>
      </c>
      <c r="C128" t="s">
        <v>4940</v>
      </c>
      <c r="D128" t="s">
        <v>1008</v>
      </c>
      <c r="E128" t="s">
        <v>5482</v>
      </c>
      <c r="F128" t="s">
        <v>5609</v>
      </c>
      <c r="G128">
        <v>175</v>
      </c>
      <c r="H128">
        <v>0</v>
      </c>
      <c r="I128">
        <v>0</v>
      </c>
      <c r="J128">
        <v>1</v>
      </c>
      <c r="K128">
        <v>175</v>
      </c>
      <c r="L128">
        <v>0</v>
      </c>
      <c r="M128">
        <v>0</v>
      </c>
      <c r="N128">
        <v>0</v>
      </c>
      <c r="O128">
        <v>0</v>
      </c>
      <c r="P128" s="2">
        <f>(H128 + J128) - (L128 + N128)</f>
        <v>0</v>
      </c>
      <c r="Q128" s="2">
        <f>P128 * G128</f>
        <v>0</v>
      </c>
      <c r="R128">
        <v>1</v>
      </c>
      <c r="S128" s="2">
        <f>R128 * G128</f>
        <v>0</v>
      </c>
      <c r="T128" s="2">
        <f>(H128 + J128) - (L128 + N128) - R128</f>
        <v>0</v>
      </c>
      <c r="U128" s="2">
        <f>T128 * G128</f>
        <v>0</v>
      </c>
      <c r="V128" s="2">
        <f>I128 + K128 - S128</f>
        <v>0</v>
      </c>
      <c r="W128" s="2">
        <f>M128 - V128</f>
        <v>0</v>
      </c>
      <c r="X128" s="2">
        <f>IFERROR(W128 / M128 * 100, 0)</f>
        <v>0</v>
      </c>
    </row>
    <row r="129" spans="1:24">
      <c r="A129" t="s">
        <v>4273</v>
      </c>
      <c r="B129" t="s">
        <v>512</v>
      </c>
      <c r="C129" t="s">
        <v>4941</v>
      </c>
      <c r="D129" t="s">
        <v>1007</v>
      </c>
      <c r="E129" t="s">
        <v>5482</v>
      </c>
      <c r="F129" t="s">
        <v>5610</v>
      </c>
      <c r="G129">
        <v>65</v>
      </c>
      <c r="H129">
        <v>1</v>
      </c>
      <c r="I129">
        <v>65</v>
      </c>
      <c r="J129">
        <v>-10.79</v>
      </c>
      <c r="K129">
        <v>-701.35</v>
      </c>
      <c r="L129">
        <v>0</v>
      </c>
      <c r="M129">
        <v>0</v>
      </c>
      <c r="N129">
        <v>0</v>
      </c>
      <c r="O129">
        <v>0</v>
      </c>
      <c r="P129" s="2">
        <f>(H129 + J129) - (L129 + N129)</f>
        <v>0</v>
      </c>
      <c r="Q129" s="2">
        <f>P129 * G129</f>
        <v>0</v>
      </c>
      <c r="R129">
        <v>1</v>
      </c>
      <c r="S129" s="2">
        <f>R129 * G129</f>
        <v>0</v>
      </c>
      <c r="T129" s="2">
        <f>(H129 + J129) - (L129 + N129) - R129</f>
        <v>0</v>
      </c>
      <c r="U129" s="2">
        <f>T129 * G129</f>
        <v>0</v>
      </c>
      <c r="V129" s="2">
        <f>I129 + K129 - S129</f>
        <v>0</v>
      </c>
      <c r="W129" s="2">
        <f>M129 - V129</f>
        <v>0</v>
      </c>
      <c r="X129" s="2">
        <f>IFERROR(W129 / M129 * 100, 0)</f>
        <v>0</v>
      </c>
    </row>
    <row r="130" spans="1:24">
      <c r="A130" t="s">
        <v>4274</v>
      </c>
      <c r="B130" t="s">
        <v>512</v>
      </c>
      <c r="C130" t="s">
        <v>4942</v>
      </c>
      <c r="D130" t="s">
        <v>1007</v>
      </c>
      <c r="E130" t="s">
        <v>5482</v>
      </c>
      <c r="F130" t="s">
        <v>5611</v>
      </c>
      <c r="G130">
        <v>9.800000000000001</v>
      </c>
      <c r="H130">
        <v>60</v>
      </c>
      <c r="I130">
        <v>588.01</v>
      </c>
      <c r="J130">
        <v>-4.67</v>
      </c>
      <c r="K130">
        <v>-45.76</v>
      </c>
      <c r="L130">
        <v>0</v>
      </c>
      <c r="M130">
        <v>0</v>
      </c>
      <c r="N130">
        <v>0</v>
      </c>
      <c r="O130">
        <v>0</v>
      </c>
      <c r="P130" s="2">
        <f>(H130 + J130) - (L130 + N130)</f>
        <v>0</v>
      </c>
      <c r="Q130" s="2">
        <f>P130 * G130</f>
        <v>0</v>
      </c>
      <c r="R130">
        <v>70</v>
      </c>
      <c r="S130" s="2">
        <f>R130 * G130</f>
        <v>0</v>
      </c>
      <c r="T130" s="2">
        <f>(H130 + J130) - (L130 + N130) - R130</f>
        <v>0</v>
      </c>
      <c r="U130" s="2">
        <f>T130 * G130</f>
        <v>0</v>
      </c>
      <c r="V130" s="2">
        <f>I130 + K130 - S130</f>
        <v>0</v>
      </c>
      <c r="W130" s="2">
        <f>M130 - V130</f>
        <v>0</v>
      </c>
      <c r="X130" s="2">
        <f>IFERROR(W130 / M130 * 100, 0)</f>
        <v>0</v>
      </c>
    </row>
    <row r="131" spans="1:24">
      <c r="A131" t="s">
        <v>4275</v>
      </c>
      <c r="B131" t="s">
        <v>512</v>
      </c>
      <c r="C131" t="s">
        <v>4943</v>
      </c>
      <c r="D131" t="s">
        <v>1007</v>
      </c>
      <c r="E131" t="s">
        <v>5482</v>
      </c>
      <c r="F131" t="s">
        <v>5612</v>
      </c>
      <c r="G131">
        <v>3.44</v>
      </c>
      <c r="H131">
        <v>0</v>
      </c>
      <c r="I131">
        <v>0</v>
      </c>
      <c r="J131">
        <v>1.07</v>
      </c>
      <c r="K131">
        <v>3.64</v>
      </c>
      <c r="L131">
        <v>0</v>
      </c>
      <c r="M131">
        <v>0</v>
      </c>
      <c r="N131">
        <v>0</v>
      </c>
      <c r="O131">
        <v>0</v>
      </c>
      <c r="P131" s="2">
        <f>(H131 + J131) - (L131 + N131)</f>
        <v>0</v>
      </c>
      <c r="Q131" s="2">
        <f>P131 * G131</f>
        <v>0</v>
      </c>
      <c r="R131">
        <v>0</v>
      </c>
      <c r="S131" s="2">
        <f>R131 * G131</f>
        <v>0</v>
      </c>
      <c r="T131" s="2">
        <f>(H131 + J131) - (L131 + N131) - R131</f>
        <v>0</v>
      </c>
      <c r="U131" s="2">
        <f>T131 * G131</f>
        <v>0</v>
      </c>
      <c r="V131" s="2">
        <f>I131 + K131 - S131</f>
        <v>0</v>
      </c>
      <c r="W131" s="2">
        <f>M131 - V131</f>
        <v>0</v>
      </c>
      <c r="X131" s="2">
        <f>IFERROR(W131 / M131 * 100, 0)</f>
        <v>0</v>
      </c>
    </row>
    <row r="132" spans="1:24">
      <c r="A132" t="s">
        <v>4276</v>
      </c>
      <c r="B132" t="s">
        <v>512</v>
      </c>
      <c r="C132" t="s">
        <v>4944</v>
      </c>
      <c r="D132" t="s">
        <v>1007</v>
      </c>
      <c r="E132" t="s">
        <v>5482</v>
      </c>
      <c r="F132" t="s">
        <v>5613</v>
      </c>
      <c r="G132">
        <v>10.06</v>
      </c>
      <c r="H132">
        <v>14</v>
      </c>
      <c r="I132">
        <v>140.84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s="2">
        <f>(H132 + J132) - (L132 + N132)</f>
        <v>0</v>
      </c>
      <c r="Q132" s="2">
        <f>P132 * G132</f>
        <v>0</v>
      </c>
      <c r="R132">
        <v>14</v>
      </c>
      <c r="S132" s="2">
        <f>R132 * G132</f>
        <v>0</v>
      </c>
      <c r="T132" s="2">
        <f>(H132 + J132) - (L132 + N132) - R132</f>
        <v>0</v>
      </c>
      <c r="U132" s="2">
        <f>T132 * G132</f>
        <v>0</v>
      </c>
      <c r="V132" s="2">
        <f>I132 + K132 - S132</f>
        <v>0</v>
      </c>
      <c r="W132" s="2">
        <f>M132 - V132</f>
        <v>0</v>
      </c>
      <c r="X132" s="2">
        <f>IFERROR(W132 / M132 * 100, 0)</f>
        <v>0</v>
      </c>
    </row>
    <row r="133" spans="1:24">
      <c r="A133" t="s">
        <v>4277</v>
      </c>
      <c r="B133" t="s">
        <v>512</v>
      </c>
      <c r="C133" t="s">
        <v>4945</v>
      </c>
      <c r="D133" t="s">
        <v>1007</v>
      </c>
      <c r="E133" t="s">
        <v>5482</v>
      </c>
      <c r="F133" t="s">
        <v>5614</v>
      </c>
      <c r="G133">
        <v>28</v>
      </c>
      <c r="H133">
        <v>0</v>
      </c>
      <c r="I133">
        <v>0</v>
      </c>
      <c r="J133">
        <v>1</v>
      </c>
      <c r="K133">
        <v>28</v>
      </c>
      <c r="L133">
        <v>0</v>
      </c>
      <c r="M133">
        <v>0</v>
      </c>
      <c r="N133">
        <v>0</v>
      </c>
      <c r="O133">
        <v>0</v>
      </c>
      <c r="P133" s="2">
        <f>(H133 + J133) - (L133 + N133)</f>
        <v>0</v>
      </c>
      <c r="Q133" s="2">
        <f>P133 * G133</f>
        <v>0</v>
      </c>
      <c r="R133">
        <v>0</v>
      </c>
      <c r="S133" s="2">
        <f>R133 * G133</f>
        <v>0</v>
      </c>
      <c r="T133" s="2">
        <f>(H133 + J133) - (L133 + N133) - R133</f>
        <v>0</v>
      </c>
      <c r="U133" s="2">
        <f>T133 * G133</f>
        <v>0</v>
      </c>
      <c r="V133" s="2">
        <f>I133 + K133 - S133</f>
        <v>0</v>
      </c>
      <c r="W133" s="2">
        <f>M133 - V133</f>
        <v>0</v>
      </c>
      <c r="X133" s="2">
        <f>IFERROR(W133 / M133 * 100, 0)</f>
        <v>0</v>
      </c>
    </row>
    <row r="134" spans="1:24">
      <c r="A134" t="s">
        <v>4278</v>
      </c>
      <c r="B134" t="s">
        <v>512</v>
      </c>
      <c r="C134" t="s">
        <v>4946</v>
      </c>
      <c r="D134" t="s">
        <v>1007</v>
      </c>
      <c r="E134" t="s">
        <v>5482</v>
      </c>
      <c r="F134" t="s">
        <v>5615</v>
      </c>
      <c r="G134">
        <v>1.65</v>
      </c>
      <c r="H134">
        <v>0</v>
      </c>
      <c r="I134">
        <v>0</v>
      </c>
      <c r="J134">
        <v>2.61</v>
      </c>
      <c r="K134">
        <v>4.31</v>
      </c>
      <c r="L134">
        <v>0</v>
      </c>
      <c r="M134">
        <v>0</v>
      </c>
      <c r="N134">
        <v>0</v>
      </c>
      <c r="O134">
        <v>0</v>
      </c>
      <c r="P134" s="2">
        <f>(H134 + J134) - (L134 + N134)</f>
        <v>0</v>
      </c>
      <c r="Q134" s="2">
        <f>P134 * G134</f>
        <v>0</v>
      </c>
      <c r="R134">
        <v>0</v>
      </c>
      <c r="S134" s="2">
        <f>R134 * G134</f>
        <v>0</v>
      </c>
      <c r="T134" s="2">
        <f>(H134 + J134) - (L134 + N134) - R134</f>
        <v>0</v>
      </c>
      <c r="U134" s="2">
        <f>T134 * G134</f>
        <v>0</v>
      </c>
      <c r="V134" s="2">
        <f>I134 + K134 - S134</f>
        <v>0</v>
      </c>
      <c r="W134" s="2">
        <f>M134 - V134</f>
        <v>0</v>
      </c>
      <c r="X134" s="2">
        <f>IFERROR(W134 / M134 * 100, 0)</f>
        <v>0</v>
      </c>
    </row>
    <row r="135" spans="1:24">
      <c r="A135" t="s">
        <v>4279</v>
      </c>
      <c r="B135" t="s">
        <v>512</v>
      </c>
      <c r="C135" t="s">
        <v>4947</v>
      </c>
      <c r="D135" t="s">
        <v>1007</v>
      </c>
      <c r="E135" t="s">
        <v>5482</v>
      </c>
      <c r="F135" t="s">
        <v>5616</v>
      </c>
      <c r="G135">
        <v>25.56</v>
      </c>
      <c r="H135">
        <v>0</v>
      </c>
      <c r="I135">
        <v>0</v>
      </c>
      <c r="J135">
        <v>2.38</v>
      </c>
      <c r="K135">
        <v>61.98</v>
      </c>
      <c r="L135">
        <v>0</v>
      </c>
      <c r="M135">
        <v>0</v>
      </c>
      <c r="N135">
        <v>0</v>
      </c>
      <c r="O135">
        <v>0</v>
      </c>
      <c r="P135" s="2">
        <f>(H135 + J135) - (L135 + N135)</f>
        <v>0</v>
      </c>
      <c r="Q135" s="2">
        <f>P135 * G135</f>
        <v>0</v>
      </c>
      <c r="R135">
        <v>0</v>
      </c>
      <c r="S135" s="2">
        <f>R135 * G135</f>
        <v>0</v>
      </c>
      <c r="T135" s="2">
        <f>(H135 + J135) - (L135 + N135) - R135</f>
        <v>0</v>
      </c>
      <c r="U135" s="2">
        <f>T135 * G135</f>
        <v>0</v>
      </c>
      <c r="V135" s="2">
        <f>I135 + K135 - S135</f>
        <v>0</v>
      </c>
      <c r="W135" s="2">
        <f>M135 - V135</f>
        <v>0</v>
      </c>
      <c r="X135" s="2">
        <f>IFERROR(W135 / M135 * 100, 0)</f>
        <v>0</v>
      </c>
    </row>
    <row r="136" spans="1:24">
      <c r="A136" t="s">
        <v>4280</v>
      </c>
      <c r="B136" t="s">
        <v>512</v>
      </c>
      <c r="C136" t="s">
        <v>4948</v>
      </c>
      <c r="D136" t="s">
        <v>1007</v>
      </c>
      <c r="E136" t="s">
        <v>5482</v>
      </c>
      <c r="F136" t="s">
        <v>5617</v>
      </c>
      <c r="G136">
        <v>7.24</v>
      </c>
      <c r="H136">
        <v>0</v>
      </c>
      <c r="I136">
        <v>0</v>
      </c>
      <c r="J136">
        <v>3.31</v>
      </c>
      <c r="K136">
        <v>22.52</v>
      </c>
      <c r="L136">
        <v>0</v>
      </c>
      <c r="M136">
        <v>0</v>
      </c>
      <c r="N136">
        <v>0</v>
      </c>
      <c r="O136">
        <v>0</v>
      </c>
      <c r="P136" s="2">
        <f>(H136 + J136) - (L136 + N136)</f>
        <v>0</v>
      </c>
      <c r="Q136" s="2">
        <f>P136 * G136</f>
        <v>0</v>
      </c>
      <c r="R136">
        <v>0</v>
      </c>
      <c r="S136" s="2">
        <f>R136 * G136</f>
        <v>0</v>
      </c>
      <c r="T136" s="2">
        <f>(H136 + J136) - (L136 + N136) - R136</f>
        <v>0</v>
      </c>
      <c r="U136" s="2">
        <f>T136 * G136</f>
        <v>0</v>
      </c>
      <c r="V136" s="2">
        <f>I136 + K136 - S136</f>
        <v>0</v>
      </c>
      <c r="W136" s="2">
        <f>M136 - V136</f>
        <v>0</v>
      </c>
      <c r="X136" s="2">
        <f>IFERROR(W136 / M136 * 100, 0)</f>
        <v>0</v>
      </c>
    </row>
    <row r="137" spans="1:24">
      <c r="A137" t="s">
        <v>4281</v>
      </c>
      <c r="B137" t="s">
        <v>512</v>
      </c>
      <c r="C137" t="s">
        <v>4949</v>
      </c>
      <c r="D137" t="s">
        <v>1007</v>
      </c>
      <c r="E137" t="s">
        <v>5482</v>
      </c>
      <c r="F137" t="s">
        <v>5618</v>
      </c>
      <c r="G137">
        <v>30.79</v>
      </c>
      <c r="H137">
        <v>17</v>
      </c>
      <c r="I137">
        <v>523.47</v>
      </c>
      <c r="J137">
        <v>-1.38</v>
      </c>
      <c r="K137">
        <v>-42.34</v>
      </c>
      <c r="L137">
        <v>0</v>
      </c>
      <c r="M137">
        <v>0</v>
      </c>
      <c r="N137">
        <v>0</v>
      </c>
      <c r="O137">
        <v>0</v>
      </c>
      <c r="P137" s="2">
        <f>(H137 + J137) - (L137 + N137)</f>
        <v>0</v>
      </c>
      <c r="Q137" s="2">
        <f>P137 * G137</f>
        <v>0</v>
      </c>
      <c r="R137">
        <v>0</v>
      </c>
      <c r="S137" s="2">
        <f>R137 * G137</f>
        <v>0</v>
      </c>
      <c r="T137" s="2">
        <f>(H137 + J137) - (L137 + N137) - R137</f>
        <v>0</v>
      </c>
      <c r="U137" s="2">
        <f>T137 * G137</f>
        <v>0</v>
      </c>
      <c r="V137" s="2">
        <f>I137 + K137 - S137</f>
        <v>0</v>
      </c>
      <c r="W137" s="2">
        <f>M137 - V137</f>
        <v>0</v>
      </c>
      <c r="X137" s="2">
        <f>IFERROR(W137 / M137 * 100, 0)</f>
        <v>0</v>
      </c>
    </row>
    <row r="138" spans="1:24">
      <c r="A138" t="s">
        <v>4282</v>
      </c>
      <c r="B138" t="s">
        <v>512</v>
      </c>
      <c r="C138" t="s">
        <v>4950</v>
      </c>
      <c r="D138" t="s">
        <v>1007</v>
      </c>
      <c r="E138" t="s">
        <v>5482</v>
      </c>
      <c r="F138" t="s">
        <v>5619</v>
      </c>
      <c r="G138">
        <v>83.15000000000001</v>
      </c>
      <c r="H138">
        <v>0</v>
      </c>
      <c r="I138">
        <v>0</v>
      </c>
      <c r="J138">
        <v>-0.7</v>
      </c>
      <c r="K138">
        <v>-58.21</v>
      </c>
      <c r="L138">
        <v>0</v>
      </c>
      <c r="M138">
        <v>0</v>
      </c>
      <c r="N138">
        <v>0</v>
      </c>
      <c r="O138">
        <v>0</v>
      </c>
      <c r="P138" s="2">
        <f>(H138 + J138) - (L138 + N138)</f>
        <v>0</v>
      </c>
      <c r="Q138" s="2">
        <f>P138 * G138</f>
        <v>0</v>
      </c>
      <c r="R138">
        <v>0</v>
      </c>
      <c r="S138" s="2">
        <f>R138 * G138</f>
        <v>0</v>
      </c>
      <c r="T138" s="2">
        <f>(H138 + J138) - (L138 + N138) - R138</f>
        <v>0</v>
      </c>
      <c r="U138" s="2">
        <f>T138 * G138</f>
        <v>0</v>
      </c>
      <c r="V138" s="2">
        <f>I138 + K138 - S138</f>
        <v>0</v>
      </c>
      <c r="W138" s="2">
        <f>M138 - V138</f>
        <v>0</v>
      </c>
      <c r="X138" s="2">
        <f>IFERROR(W138 / M138 * 100, 0)</f>
        <v>0</v>
      </c>
    </row>
    <row r="139" spans="1:24">
      <c r="A139" t="s">
        <v>4283</v>
      </c>
      <c r="B139" t="s">
        <v>512</v>
      </c>
      <c r="C139" t="s">
        <v>4951</v>
      </c>
      <c r="D139" t="s">
        <v>1007</v>
      </c>
      <c r="E139" t="s">
        <v>5482</v>
      </c>
      <c r="F139" t="s">
        <v>5620</v>
      </c>
      <c r="G139">
        <v>16.36</v>
      </c>
      <c r="H139">
        <v>8</v>
      </c>
      <c r="I139">
        <v>130.91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s="2">
        <f>(H139 + J139) - (L139 + N139)</f>
        <v>0</v>
      </c>
      <c r="Q139" s="2">
        <f>P139 * G139</f>
        <v>0</v>
      </c>
      <c r="R139">
        <v>8</v>
      </c>
      <c r="S139" s="2">
        <f>R139 * G139</f>
        <v>0</v>
      </c>
      <c r="T139" s="2">
        <f>(H139 + J139) - (L139 + N139) - R139</f>
        <v>0</v>
      </c>
      <c r="U139" s="2">
        <f>T139 * G139</f>
        <v>0</v>
      </c>
      <c r="V139" s="2">
        <f>I139 + K139 - S139</f>
        <v>0</v>
      </c>
      <c r="W139" s="2">
        <f>M139 - V139</f>
        <v>0</v>
      </c>
      <c r="X139" s="2">
        <f>IFERROR(W139 / M139 * 100, 0)</f>
        <v>0</v>
      </c>
    </row>
    <row r="140" spans="1:24">
      <c r="A140" t="s">
        <v>4284</v>
      </c>
      <c r="B140" t="s">
        <v>512</v>
      </c>
      <c r="C140" t="s">
        <v>4952</v>
      </c>
      <c r="D140" t="s">
        <v>1007</v>
      </c>
      <c r="E140" t="s">
        <v>5482</v>
      </c>
      <c r="F140" t="s">
        <v>5621</v>
      </c>
      <c r="G140">
        <v>55.89</v>
      </c>
      <c r="H140">
        <v>0</v>
      </c>
      <c r="I140">
        <v>0</v>
      </c>
      <c r="J140">
        <v>-0.1</v>
      </c>
      <c r="K140">
        <v>-5.59</v>
      </c>
      <c r="L140">
        <v>0</v>
      </c>
      <c r="M140">
        <v>0</v>
      </c>
      <c r="N140">
        <v>0</v>
      </c>
      <c r="O140">
        <v>0</v>
      </c>
      <c r="P140" s="2">
        <f>(H140 + J140) - (L140 + N140)</f>
        <v>0</v>
      </c>
      <c r="Q140" s="2">
        <f>P140 * G140</f>
        <v>0</v>
      </c>
      <c r="R140">
        <v>0</v>
      </c>
      <c r="S140" s="2">
        <f>R140 * G140</f>
        <v>0</v>
      </c>
      <c r="T140" s="2">
        <f>(H140 + J140) - (L140 + N140) - R140</f>
        <v>0</v>
      </c>
      <c r="U140" s="2">
        <f>T140 * G140</f>
        <v>0</v>
      </c>
      <c r="V140" s="2">
        <f>I140 + K140 - S140</f>
        <v>0</v>
      </c>
      <c r="W140" s="2">
        <f>M140 - V140</f>
        <v>0</v>
      </c>
      <c r="X140" s="2">
        <f>IFERROR(W140 / M140 * 100, 0)</f>
        <v>0</v>
      </c>
    </row>
    <row r="141" spans="1:24">
      <c r="A141" t="s">
        <v>4285</v>
      </c>
      <c r="B141" t="s">
        <v>513</v>
      </c>
      <c r="C141" t="s">
        <v>4953</v>
      </c>
      <c r="D141" t="s">
        <v>1008</v>
      </c>
      <c r="E141" t="s">
        <v>5482</v>
      </c>
      <c r="F141" t="s">
        <v>5622</v>
      </c>
      <c r="G141">
        <v>1.95</v>
      </c>
      <c r="H141">
        <v>16</v>
      </c>
      <c r="I141">
        <v>29.75</v>
      </c>
      <c r="J141">
        <v>168</v>
      </c>
      <c r="K141">
        <v>245.3</v>
      </c>
      <c r="L141">
        <v>81</v>
      </c>
      <c r="M141">
        <v>344.25</v>
      </c>
      <c r="N141">
        <v>0</v>
      </c>
      <c r="O141">
        <v>0</v>
      </c>
      <c r="P141" s="2">
        <f>(H141 + J141) - (L141 + N141)</f>
        <v>0</v>
      </c>
      <c r="Q141" s="2">
        <f>P141 * G141</f>
        <v>0</v>
      </c>
      <c r="R141">
        <v>28</v>
      </c>
      <c r="S141" s="2">
        <f>R141 * G141</f>
        <v>0</v>
      </c>
      <c r="T141" s="2">
        <f>(H141 + J141) - (L141 + N141) - R141</f>
        <v>0</v>
      </c>
      <c r="U141" s="2">
        <f>T141 * G141</f>
        <v>0</v>
      </c>
      <c r="V141" s="2">
        <f>I141 + K141 - S141</f>
        <v>0</v>
      </c>
      <c r="W141" s="2">
        <f>M141 - V141</f>
        <v>0</v>
      </c>
      <c r="X141" s="2">
        <f>IFERROR(W141 / M141 * 100, 0)</f>
        <v>0</v>
      </c>
    </row>
    <row r="142" spans="1:24">
      <c r="A142" t="s">
        <v>4286</v>
      </c>
      <c r="B142" t="s">
        <v>513</v>
      </c>
      <c r="C142" t="s">
        <v>4954</v>
      </c>
      <c r="D142" t="s">
        <v>1008</v>
      </c>
      <c r="E142" t="s">
        <v>5482</v>
      </c>
      <c r="F142" t="s">
        <v>5623</v>
      </c>
      <c r="G142">
        <v>1.01</v>
      </c>
      <c r="H142">
        <v>16</v>
      </c>
      <c r="I142">
        <v>14.07</v>
      </c>
      <c r="J142">
        <v>60</v>
      </c>
      <c r="K142">
        <v>49.52</v>
      </c>
      <c r="L142">
        <v>69</v>
      </c>
      <c r="M142">
        <v>293.25</v>
      </c>
      <c r="N142">
        <v>0</v>
      </c>
      <c r="O142">
        <v>0</v>
      </c>
      <c r="P142" s="2">
        <f>(H142 + J142) - (L142 + N142)</f>
        <v>0</v>
      </c>
      <c r="Q142" s="2">
        <f>P142 * G142</f>
        <v>0</v>
      </c>
      <c r="R142">
        <v>18</v>
      </c>
      <c r="S142" s="2">
        <f>R142 * G142</f>
        <v>0</v>
      </c>
      <c r="T142" s="2">
        <f>(H142 + J142) - (L142 + N142) - R142</f>
        <v>0</v>
      </c>
      <c r="U142" s="2">
        <f>T142 * G142</f>
        <v>0</v>
      </c>
      <c r="V142" s="2">
        <f>I142 + K142 - S142</f>
        <v>0</v>
      </c>
      <c r="W142" s="2">
        <f>M142 - V142</f>
        <v>0</v>
      </c>
      <c r="X142" s="2">
        <f>IFERROR(W142 / M142 * 100, 0)</f>
        <v>0</v>
      </c>
    </row>
    <row r="143" spans="1:24">
      <c r="A143" t="s">
        <v>4287</v>
      </c>
      <c r="B143" t="s">
        <v>513</v>
      </c>
      <c r="C143" t="s">
        <v>4955</v>
      </c>
      <c r="D143" t="s">
        <v>1008</v>
      </c>
      <c r="E143" t="s">
        <v>5482</v>
      </c>
      <c r="F143" t="s">
        <v>5624</v>
      </c>
      <c r="G143">
        <v>5.6</v>
      </c>
      <c r="H143">
        <v>56</v>
      </c>
      <c r="I143">
        <v>180.78</v>
      </c>
      <c r="J143">
        <v>141</v>
      </c>
      <c r="K143">
        <v>507.59</v>
      </c>
      <c r="L143">
        <v>175</v>
      </c>
      <c r="M143">
        <v>1051.5</v>
      </c>
      <c r="N143">
        <v>21</v>
      </c>
      <c r="O143">
        <v>94.56</v>
      </c>
      <c r="P143" s="2">
        <f>(H143 + J143) - (L143 + N143)</f>
        <v>0</v>
      </c>
      <c r="Q143" s="2">
        <f>P143 * G143</f>
        <v>0</v>
      </c>
      <c r="R143">
        <v>36</v>
      </c>
      <c r="S143" s="2">
        <f>R143 * G143</f>
        <v>0</v>
      </c>
      <c r="T143" s="2">
        <f>(H143 + J143) - (L143 + N143) - R143</f>
        <v>0</v>
      </c>
      <c r="U143" s="2">
        <f>T143 * G143</f>
        <v>0</v>
      </c>
      <c r="V143" s="2">
        <f>I143 + K143 - S143</f>
        <v>0</v>
      </c>
      <c r="W143" s="2">
        <f>M143 - V143</f>
        <v>0</v>
      </c>
      <c r="X143" s="2">
        <f>IFERROR(W143 / M143 * 100, 0)</f>
        <v>0</v>
      </c>
    </row>
    <row r="144" spans="1:24">
      <c r="A144" t="s">
        <v>4288</v>
      </c>
      <c r="B144" t="s">
        <v>513</v>
      </c>
      <c r="C144" t="s">
        <v>4956</v>
      </c>
      <c r="D144" t="s">
        <v>1008</v>
      </c>
      <c r="E144" t="s">
        <v>5482</v>
      </c>
      <c r="F144" t="s">
        <v>5625</v>
      </c>
      <c r="G144">
        <v>37.25</v>
      </c>
      <c r="H144">
        <v>1</v>
      </c>
      <c r="I144">
        <v>34.29</v>
      </c>
      <c r="J144">
        <v>10</v>
      </c>
      <c r="K144">
        <v>372.5</v>
      </c>
      <c r="L144">
        <v>23</v>
      </c>
      <c r="M144">
        <v>1610</v>
      </c>
      <c r="N144">
        <v>0</v>
      </c>
      <c r="O144">
        <v>0</v>
      </c>
      <c r="P144" s="2">
        <f>(H144 + J144) - (L144 + N144)</f>
        <v>0</v>
      </c>
      <c r="Q144" s="2">
        <f>P144 * G144</f>
        <v>0</v>
      </c>
      <c r="R144">
        <v>2</v>
      </c>
      <c r="S144" s="2">
        <f>R144 * G144</f>
        <v>0</v>
      </c>
      <c r="T144" s="2">
        <f>(H144 + J144) - (L144 + N144) - R144</f>
        <v>0</v>
      </c>
      <c r="U144" s="2">
        <f>T144 * G144</f>
        <v>0</v>
      </c>
      <c r="V144" s="2">
        <f>I144 + K144 - S144</f>
        <v>0</v>
      </c>
      <c r="W144" s="2">
        <f>M144 - V144</f>
        <v>0</v>
      </c>
      <c r="X144" s="2">
        <f>IFERROR(W144 / M144 * 100, 0)</f>
        <v>0</v>
      </c>
    </row>
    <row r="145" spans="1:24">
      <c r="A145" t="s">
        <v>4289</v>
      </c>
      <c r="B145" t="s">
        <v>513</v>
      </c>
      <c r="C145" t="s">
        <v>4957</v>
      </c>
      <c r="D145" t="s">
        <v>1008</v>
      </c>
      <c r="E145" t="s">
        <v>5482</v>
      </c>
      <c r="F145" t="s">
        <v>5626</v>
      </c>
      <c r="G145">
        <v>2.45</v>
      </c>
      <c r="H145">
        <v>0</v>
      </c>
      <c r="I145">
        <v>0</v>
      </c>
      <c r="J145">
        <v>511</v>
      </c>
      <c r="K145">
        <v>1116.43</v>
      </c>
      <c r="L145">
        <v>480</v>
      </c>
      <c r="M145">
        <v>1520</v>
      </c>
      <c r="N145">
        <v>0</v>
      </c>
      <c r="O145">
        <v>0</v>
      </c>
      <c r="P145" s="2">
        <f>(H145 + J145) - (L145 + N145)</f>
        <v>0</v>
      </c>
      <c r="Q145" s="2">
        <f>P145 * G145</f>
        <v>0</v>
      </c>
      <c r="R145">
        <v>0</v>
      </c>
      <c r="S145" s="2">
        <f>R145 * G145</f>
        <v>0</v>
      </c>
      <c r="T145" s="2">
        <f>(H145 + J145) - (L145 + N145) - R145</f>
        <v>0</v>
      </c>
      <c r="U145" s="2">
        <f>T145 * G145</f>
        <v>0</v>
      </c>
      <c r="V145" s="2">
        <f>I145 + K145 - S145</f>
        <v>0</v>
      </c>
      <c r="W145" s="2">
        <f>M145 - V145</f>
        <v>0</v>
      </c>
      <c r="X145" s="2">
        <f>IFERROR(W145 / M145 * 100, 0)</f>
        <v>0</v>
      </c>
    </row>
    <row r="146" spans="1:24">
      <c r="A146" t="s">
        <v>4290</v>
      </c>
      <c r="B146" t="s">
        <v>513</v>
      </c>
      <c r="C146" t="s">
        <v>4958</v>
      </c>
      <c r="D146" t="s">
        <v>1008</v>
      </c>
      <c r="E146" t="s">
        <v>5482</v>
      </c>
      <c r="F146" t="s">
        <v>5627</v>
      </c>
      <c r="G146">
        <v>3.8</v>
      </c>
      <c r="H146">
        <v>132</v>
      </c>
      <c r="I146">
        <v>478.91</v>
      </c>
      <c r="J146">
        <v>410</v>
      </c>
      <c r="K146">
        <v>1275.07</v>
      </c>
      <c r="L146">
        <v>424</v>
      </c>
      <c r="M146">
        <v>2332</v>
      </c>
      <c r="N146">
        <v>3</v>
      </c>
      <c r="O146">
        <v>9.94</v>
      </c>
      <c r="P146" s="2">
        <f>(H146 + J146) - (L146 + N146)</f>
        <v>0</v>
      </c>
      <c r="Q146" s="2">
        <f>P146 * G146</f>
        <v>0</v>
      </c>
      <c r="R146">
        <v>163</v>
      </c>
      <c r="S146" s="2">
        <f>R146 * G146</f>
        <v>0</v>
      </c>
      <c r="T146" s="2">
        <f>(H146 + J146) - (L146 + N146) - R146</f>
        <v>0</v>
      </c>
      <c r="U146" s="2">
        <f>T146 * G146</f>
        <v>0</v>
      </c>
      <c r="V146" s="2">
        <f>I146 + K146 - S146</f>
        <v>0</v>
      </c>
      <c r="W146" s="2">
        <f>M146 - V146</f>
        <v>0</v>
      </c>
      <c r="X146" s="2">
        <f>IFERROR(W146 / M146 * 100, 0)</f>
        <v>0</v>
      </c>
    </row>
    <row r="147" spans="1:24">
      <c r="A147" t="s">
        <v>4291</v>
      </c>
      <c r="B147" t="s">
        <v>513</v>
      </c>
      <c r="C147" t="s">
        <v>4959</v>
      </c>
      <c r="D147" t="s">
        <v>1008</v>
      </c>
      <c r="E147" t="s">
        <v>5482</v>
      </c>
      <c r="F147" t="s">
        <v>5628</v>
      </c>
      <c r="G147">
        <v>1.98</v>
      </c>
      <c r="H147">
        <v>31</v>
      </c>
      <c r="I147">
        <v>48.79</v>
      </c>
      <c r="J147">
        <v>241</v>
      </c>
      <c r="K147">
        <v>213.67</v>
      </c>
      <c r="L147">
        <v>225</v>
      </c>
      <c r="M147">
        <v>787.5</v>
      </c>
      <c r="N147">
        <v>6</v>
      </c>
      <c r="O147">
        <v>10.89</v>
      </c>
      <c r="P147" s="2">
        <f>(H147 + J147) - (L147 + N147)</f>
        <v>0</v>
      </c>
      <c r="Q147" s="2">
        <f>P147 * G147</f>
        <v>0</v>
      </c>
      <c r="R147">
        <v>24</v>
      </c>
      <c r="S147" s="2">
        <f>R147 * G147</f>
        <v>0</v>
      </c>
      <c r="T147" s="2">
        <f>(H147 + J147) - (L147 + N147) - R147</f>
        <v>0</v>
      </c>
      <c r="U147" s="2">
        <f>T147 * G147</f>
        <v>0</v>
      </c>
      <c r="V147" s="2">
        <f>I147 + K147 - S147</f>
        <v>0</v>
      </c>
      <c r="W147" s="2">
        <f>M147 - V147</f>
        <v>0</v>
      </c>
      <c r="X147" s="2">
        <f>IFERROR(W147 / M147 * 100, 0)</f>
        <v>0</v>
      </c>
    </row>
    <row r="148" spans="1:24">
      <c r="A148" t="s">
        <v>4292</v>
      </c>
      <c r="B148" t="s">
        <v>513</v>
      </c>
      <c r="C148" t="s">
        <v>4960</v>
      </c>
      <c r="D148" t="s">
        <v>1008</v>
      </c>
      <c r="E148" t="s">
        <v>5482</v>
      </c>
      <c r="F148" t="s">
        <v>5629</v>
      </c>
      <c r="G148">
        <v>2.8</v>
      </c>
      <c r="H148">
        <v>11</v>
      </c>
      <c r="I148">
        <v>28.43</v>
      </c>
      <c r="J148">
        <v>210</v>
      </c>
      <c r="K148">
        <v>493.24</v>
      </c>
      <c r="L148">
        <v>190</v>
      </c>
      <c r="M148">
        <v>712.5</v>
      </c>
      <c r="N148">
        <v>5</v>
      </c>
      <c r="O148">
        <v>15.29</v>
      </c>
      <c r="P148" s="2">
        <f>(H148 + J148) - (L148 + N148)</f>
        <v>0</v>
      </c>
      <c r="Q148" s="2">
        <f>P148 * G148</f>
        <v>0</v>
      </c>
      <c r="R148">
        <v>21</v>
      </c>
      <c r="S148" s="2">
        <f>R148 * G148</f>
        <v>0</v>
      </c>
      <c r="T148" s="2">
        <f>(H148 + J148) - (L148 + N148) - R148</f>
        <v>0</v>
      </c>
      <c r="U148" s="2">
        <f>T148 * G148</f>
        <v>0</v>
      </c>
      <c r="V148" s="2">
        <f>I148 + K148 - S148</f>
        <v>0</v>
      </c>
      <c r="W148" s="2">
        <f>M148 - V148</f>
        <v>0</v>
      </c>
      <c r="X148" s="2">
        <f>IFERROR(W148 / M148 * 100, 0)</f>
        <v>0</v>
      </c>
    </row>
    <row r="149" spans="1:24">
      <c r="A149" t="s">
        <v>4293</v>
      </c>
      <c r="B149" t="s">
        <v>513</v>
      </c>
      <c r="C149" t="s">
        <v>4961</v>
      </c>
      <c r="D149" t="s">
        <v>1008</v>
      </c>
      <c r="E149" t="s">
        <v>5482</v>
      </c>
      <c r="F149" t="s">
        <v>5630</v>
      </c>
      <c r="G149">
        <v>1.45</v>
      </c>
      <c r="H149">
        <v>10</v>
      </c>
      <c r="I149">
        <v>15.08</v>
      </c>
      <c r="J149">
        <v>85</v>
      </c>
      <c r="K149">
        <v>123.31</v>
      </c>
      <c r="L149">
        <v>110</v>
      </c>
      <c r="M149">
        <v>550</v>
      </c>
      <c r="N149">
        <v>0</v>
      </c>
      <c r="O149">
        <v>0</v>
      </c>
      <c r="P149" s="2">
        <f>(H149 + J149) - (L149 + N149)</f>
        <v>0</v>
      </c>
      <c r="Q149" s="2">
        <f>P149 * G149</f>
        <v>0</v>
      </c>
      <c r="R149">
        <v>13</v>
      </c>
      <c r="S149" s="2">
        <f>R149 * G149</f>
        <v>0</v>
      </c>
      <c r="T149" s="2">
        <f>(H149 + J149) - (L149 + N149) - R149</f>
        <v>0</v>
      </c>
      <c r="U149" s="2">
        <f>T149 * G149</f>
        <v>0</v>
      </c>
      <c r="V149" s="2">
        <f>I149 + K149 - S149</f>
        <v>0</v>
      </c>
      <c r="W149" s="2">
        <f>M149 - V149</f>
        <v>0</v>
      </c>
      <c r="X149" s="2">
        <f>IFERROR(W149 / M149 * 100, 0)</f>
        <v>0</v>
      </c>
    </row>
    <row r="150" spans="1:24">
      <c r="A150" t="s">
        <v>4294</v>
      </c>
      <c r="B150" t="s">
        <v>513</v>
      </c>
      <c r="C150" t="s">
        <v>4962</v>
      </c>
      <c r="D150" t="s">
        <v>1008</v>
      </c>
      <c r="E150" t="s">
        <v>5482</v>
      </c>
      <c r="F150" t="s">
        <v>5631</v>
      </c>
      <c r="G150">
        <v>2.62</v>
      </c>
      <c r="H150">
        <v>13</v>
      </c>
      <c r="I150">
        <v>33.77</v>
      </c>
      <c r="J150">
        <v>70</v>
      </c>
      <c r="K150">
        <v>183.11</v>
      </c>
      <c r="L150">
        <v>49</v>
      </c>
      <c r="M150">
        <v>245</v>
      </c>
      <c r="N150">
        <v>0</v>
      </c>
      <c r="O150">
        <v>0</v>
      </c>
      <c r="P150" s="2">
        <f>(H150 + J150) - (L150 + N150)</f>
        <v>0</v>
      </c>
      <c r="Q150" s="2">
        <f>P150 * G150</f>
        <v>0</v>
      </c>
      <c r="R150">
        <v>19</v>
      </c>
      <c r="S150" s="2">
        <f>R150 * G150</f>
        <v>0</v>
      </c>
      <c r="T150" s="2">
        <f>(H150 + J150) - (L150 + N150) - R150</f>
        <v>0</v>
      </c>
      <c r="U150" s="2">
        <f>T150 * G150</f>
        <v>0</v>
      </c>
      <c r="V150" s="2">
        <f>I150 + K150 - S150</f>
        <v>0</v>
      </c>
      <c r="W150" s="2">
        <f>M150 - V150</f>
        <v>0</v>
      </c>
      <c r="X150" s="2">
        <f>IFERROR(W150 / M150 * 100, 0)</f>
        <v>0</v>
      </c>
    </row>
    <row r="151" spans="1:24">
      <c r="A151" t="s">
        <v>4295</v>
      </c>
      <c r="B151" t="s">
        <v>513</v>
      </c>
      <c r="C151" t="s">
        <v>4963</v>
      </c>
      <c r="D151" t="s">
        <v>1008</v>
      </c>
      <c r="E151" t="s">
        <v>5482</v>
      </c>
      <c r="F151" t="s">
        <v>5632</v>
      </c>
      <c r="G151">
        <v>1.45</v>
      </c>
      <c r="H151">
        <v>27</v>
      </c>
      <c r="I151">
        <v>62.41</v>
      </c>
      <c r="J151">
        <v>63</v>
      </c>
      <c r="K151">
        <v>91.59999999999999</v>
      </c>
      <c r="L151">
        <v>42</v>
      </c>
      <c r="M151">
        <v>168</v>
      </c>
      <c r="N151">
        <v>0</v>
      </c>
      <c r="O151">
        <v>0</v>
      </c>
      <c r="P151" s="2">
        <f>(H151 + J151) - (L151 + N151)</f>
        <v>0</v>
      </c>
      <c r="Q151" s="2">
        <f>P151 * G151</f>
        <v>0</v>
      </c>
      <c r="R151">
        <v>18</v>
      </c>
      <c r="S151" s="2">
        <f>R151 * G151</f>
        <v>0</v>
      </c>
      <c r="T151" s="2">
        <f>(H151 + J151) - (L151 + N151) - R151</f>
        <v>0</v>
      </c>
      <c r="U151" s="2">
        <f>T151 * G151</f>
        <v>0</v>
      </c>
      <c r="V151" s="2">
        <f>I151 + K151 - S151</f>
        <v>0</v>
      </c>
      <c r="W151" s="2">
        <f>M151 - V151</f>
        <v>0</v>
      </c>
      <c r="X151" s="2">
        <f>IFERROR(W151 / M151 * 100, 0)</f>
        <v>0</v>
      </c>
    </row>
    <row r="152" spans="1:24">
      <c r="A152" t="s">
        <v>4296</v>
      </c>
      <c r="B152" t="s">
        <v>513</v>
      </c>
      <c r="C152" t="s">
        <v>4964</v>
      </c>
      <c r="D152" t="s">
        <v>1008</v>
      </c>
      <c r="E152" t="s">
        <v>5482</v>
      </c>
      <c r="F152" t="s">
        <v>5633</v>
      </c>
      <c r="G152">
        <v>1.98</v>
      </c>
      <c r="H152">
        <v>25</v>
      </c>
      <c r="I152">
        <v>49.13</v>
      </c>
      <c r="J152">
        <v>92</v>
      </c>
      <c r="K152">
        <v>121.42</v>
      </c>
      <c r="L152">
        <v>135</v>
      </c>
      <c r="M152">
        <v>607.5</v>
      </c>
      <c r="N152">
        <v>0</v>
      </c>
      <c r="O152">
        <v>0</v>
      </c>
      <c r="P152" s="2">
        <f>(H152 + J152) - (L152 + N152)</f>
        <v>0</v>
      </c>
      <c r="Q152" s="2">
        <f>P152 * G152</f>
        <v>0</v>
      </c>
      <c r="R152">
        <v>19</v>
      </c>
      <c r="S152" s="2">
        <f>R152 * G152</f>
        <v>0</v>
      </c>
      <c r="T152" s="2">
        <f>(H152 + J152) - (L152 + N152) - R152</f>
        <v>0</v>
      </c>
      <c r="U152" s="2">
        <f>T152 * G152</f>
        <v>0</v>
      </c>
      <c r="V152" s="2">
        <f>I152 + K152 - S152</f>
        <v>0</v>
      </c>
      <c r="W152" s="2">
        <f>M152 - V152</f>
        <v>0</v>
      </c>
      <c r="X152" s="2">
        <f>IFERROR(W152 / M152 * 100, 0)</f>
        <v>0</v>
      </c>
    </row>
    <row r="153" spans="1:24">
      <c r="A153" t="s">
        <v>4297</v>
      </c>
      <c r="B153" t="s">
        <v>513</v>
      </c>
      <c r="C153" t="s">
        <v>4965</v>
      </c>
      <c r="D153" t="s">
        <v>1008</v>
      </c>
      <c r="E153" t="s">
        <v>5482</v>
      </c>
      <c r="F153" t="s">
        <v>5634</v>
      </c>
      <c r="G153">
        <v>3.14</v>
      </c>
      <c r="H153">
        <v>57</v>
      </c>
      <c r="I153">
        <v>178.92</v>
      </c>
      <c r="J153">
        <v>279</v>
      </c>
      <c r="K153">
        <v>867.02</v>
      </c>
      <c r="L153">
        <v>301</v>
      </c>
      <c r="M153">
        <v>1655.5</v>
      </c>
      <c r="N153">
        <v>0</v>
      </c>
      <c r="O153">
        <v>0</v>
      </c>
      <c r="P153" s="2">
        <f>(H153 + J153) - (L153 + N153)</f>
        <v>0</v>
      </c>
      <c r="Q153" s="2">
        <f>P153 * G153</f>
        <v>0</v>
      </c>
      <c r="R153">
        <v>11</v>
      </c>
      <c r="S153" s="2">
        <f>R153 * G153</f>
        <v>0</v>
      </c>
      <c r="T153" s="2">
        <f>(H153 + J153) - (L153 + N153) - R153</f>
        <v>0</v>
      </c>
      <c r="U153" s="2">
        <f>T153 * G153</f>
        <v>0</v>
      </c>
      <c r="V153" s="2">
        <f>I153 + K153 - S153</f>
        <v>0</v>
      </c>
      <c r="W153" s="2">
        <f>M153 - V153</f>
        <v>0</v>
      </c>
      <c r="X153" s="2">
        <f>IFERROR(W153 / M153 * 100, 0)</f>
        <v>0</v>
      </c>
    </row>
    <row r="154" spans="1:24">
      <c r="A154" t="s">
        <v>4298</v>
      </c>
      <c r="B154" t="s">
        <v>513</v>
      </c>
      <c r="C154" t="s">
        <v>4966</v>
      </c>
      <c r="D154" t="s">
        <v>1008</v>
      </c>
      <c r="E154" t="s">
        <v>5482</v>
      </c>
      <c r="F154" t="s">
        <v>5635</v>
      </c>
      <c r="G154">
        <v>1.97</v>
      </c>
      <c r="H154">
        <v>0</v>
      </c>
      <c r="I154">
        <v>0</v>
      </c>
      <c r="J154">
        <v>15</v>
      </c>
      <c r="K154">
        <v>29.62</v>
      </c>
      <c r="L154">
        <v>8</v>
      </c>
      <c r="M154">
        <v>36</v>
      </c>
      <c r="N154">
        <v>0</v>
      </c>
      <c r="O154">
        <v>0</v>
      </c>
      <c r="P154" s="2">
        <f>(H154 + J154) - (L154 + N154)</f>
        <v>0</v>
      </c>
      <c r="Q154" s="2">
        <f>P154 * G154</f>
        <v>0</v>
      </c>
      <c r="R154">
        <v>7</v>
      </c>
      <c r="S154" s="2">
        <f>R154 * G154</f>
        <v>0</v>
      </c>
      <c r="T154" s="2">
        <f>(H154 + J154) - (L154 + N154) - R154</f>
        <v>0</v>
      </c>
      <c r="U154" s="2">
        <f>T154 * G154</f>
        <v>0</v>
      </c>
      <c r="V154" s="2">
        <f>I154 + K154 - S154</f>
        <v>0</v>
      </c>
      <c r="W154" s="2">
        <f>M154 - V154</f>
        <v>0</v>
      </c>
      <c r="X154" s="2">
        <f>IFERROR(W154 / M154 * 100, 0)</f>
        <v>0</v>
      </c>
    </row>
    <row r="155" spans="1:24">
      <c r="A155" t="s">
        <v>4299</v>
      </c>
      <c r="B155" t="s">
        <v>512</v>
      </c>
      <c r="C155" t="s">
        <v>4967</v>
      </c>
      <c r="D155" t="s">
        <v>1008</v>
      </c>
      <c r="E155" t="s">
        <v>5482</v>
      </c>
      <c r="F155" t="s">
        <v>5636</v>
      </c>
      <c r="G155">
        <v>126.8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s="2">
        <f>(H155 + J155) - (L155 + N155)</f>
        <v>0</v>
      </c>
      <c r="Q155" s="2">
        <f>P155 * G155</f>
        <v>0</v>
      </c>
      <c r="R155">
        <v>3</v>
      </c>
      <c r="S155" s="2">
        <f>R155 * G155</f>
        <v>0</v>
      </c>
      <c r="T155" s="2">
        <f>(H155 + J155) - (L155 + N155) - R155</f>
        <v>0</v>
      </c>
      <c r="U155" s="2">
        <f>T155 * G155</f>
        <v>0</v>
      </c>
      <c r="V155" s="2">
        <f>I155 + K155 - S155</f>
        <v>0</v>
      </c>
      <c r="W155" s="2">
        <f>M155 - V155</f>
        <v>0</v>
      </c>
      <c r="X155" s="2">
        <f>IFERROR(W155 / M155 * 100, 0)</f>
        <v>0</v>
      </c>
    </row>
    <row r="156" spans="1:24">
      <c r="A156" t="s">
        <v>4300</v>
      </c>
      <c r="B156" t="s">
        <v>512</v>
      </c>
      <c r="C156" t="s">
        <v>4968</v>
      </c>
      <c r="D156" t="s">
        <v>1008</v>
      </c>
      <c r="E156" t="s">
        <v>5482</v>
      </c>
      <c r="F156" t="s">
        <v>5637</v>
      </c>
      <c r="G156">
        <v>175</v>
      </c>
      <c r="H156">
        <v>1</v>
      </c>
      <c r="I156">
        <v>175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s="2">
        <f>(H156 + J156) - (L156 + N156)</f>
        <v>0</v>
      </c>
      <c r="Q156" s="2">
        <f>P156 * G156</f>
        <v>0</v>
      </c>
      <c r="R156">
        <v>2</v>
      </c>
      <c r="S156" s="2">
        <f>R156 * G156</f>
        <v>0</v>
      </c>
      <c r="T156" s="2">
        <f>(H156 + J156) - (L156 + N156) - R156</f>
        <v>0</v>
      </c>
      <c r="U156" s="2">
        <f>T156 * G156</f>
        <v>0</v>
      </c>
      <c r="V156" s="2">
        <f>I156 + K156 - S156</f>
        <v>0</v>
      </c>
      <c r="W156" s="2">
        <f>M156 - V156</f>
        <v>0</v>
      </c>
      <c r="X156" s="2">
        <f>IFERROR(W156 / M156 * 100, 0)</f>
        <v>0</v>
      </c>
    </row>
    <row r="157" spans="1:24">
      <c r="A157" t="s">
        <v>4301</v>
      </c>
      <c r="B157" t="s">
        <v>512</v>
      </c>
      <c r="C157" t="s">
        <v>4969</v>
      </c>
      <c r="D157" t="s">
        <v>1008</v>
      </c>
      <c r="E157" t="s">
        <v>5482</v>
      </c>
      <c r="F157" t="s">
        <v>5638</v>
      </c>
      <c r="G157">
        <v>79</v>
      </c>
      <c r="H157">
        <v>0</v>
      </c>
      <c r="I157">
        <v>0</v>
      </c>
      <c r="J157">
        <v>2</v>
      </c>
      <c r="K157">
        <v>158</v>
      </c>
      <c r="L157">
        <v>0</v>
      </c>
      <c r="M157">
        <v>0</v>
      </c>
      <c r="N157">
        <v>0</v>
      </c>
      <c r="O157">
        <v>0</v>
      </c>
      <c r="P157" s="2">
        <f>(H157 + J157) - (L157 + N157)</f>
        <v>0</v>
      </c>
      <c r="Q157" s="2">
        <f>P157 * G157</f>
        <v>0</v>
      </c>
      <c r="R157">
        <v>2</v>
      </c>
      <c r="S157" s="2">
        <f>R157 * G157</f>
        <v>0</v>
      </c>
      <c r="T157" s="2">
        <f>(H157 + J157) - (L157 + N157) - R157</f>
        <v>0</v>
      </c>
      <c r="U157" s="2">
        <f>T157 * G157</f>
        <v>0</v>
      </c>
      <c r="V157" s="2">
        <f>I157 + K157 - S157</f>
        <v>0</v>
      </c>
      <c r="W157" s="2">
        <f>M157 - V157</f>
        <v>0</v>
      </c>
      <c r="X157" s="2">
        <f>IFERROR(W157 / M157 * 100, 0)</f>
        <v>0</v>
      </c>
    </row>
    <row r="158" spans="1:24">
      <c r="A158" t="s">
        <v>4302</v>
      </c>
      <c r="B158" t="s">
        <v>512</v>
      </c>
      <c r="C158" t="s">
        <v>4970</v>
      </c>
      <c r="D158" t="s">
        <v>1007</v>
      </c>
      <c r="E158" t="s">
        <v>5482</v>
      </c>
      <c r="F158" t="s">
        <v>5639</v>
      </c>
      <c r="G158">
        <v>10.43</v>
      </c>
      <c r="H158">
        <v>0</v>
      </c>
      <c r="I158">
        <v>0</v>
      </c>
      <c r="J158">
        <v>5.34</v>
      </c>
      <c r="K158">
        <v>53.78</v>
      </c>
      <c r="L158">
        <v>0</v>
      </c>
      <c r="M158">
        <v>0</v>
      </c>
      <c r="N158">
        <v>0</v>
      </c>
      <c r="O158">
        <v>0</v>
      </c>
      <c r="P158" s="2">
        <f>(H158 + J158) - (L158 + N158)</f>
        <v>0</v>
      </c>
      <c r="Q158" s="2">
        <f>P158 * G158</f>
        <v>0</v>
      </c>
      <c r="R158">
        <v>0</v>
      </c>
      <c r="S158" s="2">
        <f>R158 * G158</f>
        <v>0</v>
      </c>
      <c r="T158" s="2">
        <f>(H158 + J158) - (L158 + N158) - R158</f>
        <v>0</v>
      </c>
      <c r="U158" s="2">
        <f>T158 * G158</f>
        <v>0</v>
      </c>
      <c r="V158" s="2">
        <f>I158 + K158 - S158</f>
        <v>0</v>
      </c>
      <c r="W158" s="2">
        <f>M158 - V158</f>
        <v>0</v>
      </c>
      <c r="X158" s="2">
        <f>IFERROR(W158 / M158 * 100, 0)</f>
        <v>0</v>
      </c>
    </row>
    <row r="159" spans="1:24">
      <c r="A159" t="s">
        <v>4303</v>
      </c>
      <c r="B159" t="s">
        <v>512</v>
      </c>
      <c r="C159" t="s">
        <v>4971</v>
      </c>
      <c r="D159" t="s">
        <v>1008</v>
      </c>
      <c r="E159" t="s">
        <v>5482</v>
      </c>
      <c r="F159" t="s">
        <v>5640</v>
      </c>
      <c r="G159">
        <v>72.33</v>
      </c>
      <c r="H159">
        <v>0</v>
      </c>
      <c r="I159">
        <v>0</v>
      </c>
      <c r="J159">
        <v>12</v>
      </c>
      <c r="K159">
        <v>867.95</v>
      </c>
      <c r="L159">
        <v>0</v>
      </c>
      <c r="M159">
        <v>0</v>
      </c>
      <c r="N159">
        <v>0</v>
      </c>
      <c r="O159">
        <v>0</v>
      </c>
      <c r="P159" s="2">
        <f>(H159 + J159) - (L159 + N159)</f>
        <v>0</v>
      </c>
      <c r="Q159" s="2">
        <f>P159 * G159</f>
        <v>0</v>
      </c>
      <c r="R159">
        <v>0</v>
      </c>
      <c r="S159" s="2">
        <f>R159 * G159</f>
        <v>0</v>
      </c>
      <c r="T159" s="2">
        <f>(H159 + J159) - (L159 + N159) - R159</f>
        <v>0</v>
      </c>
      <c r="U159" s="2">
        <f>T159 * G159</f>
        <v>0</v>
      </c>
      <c r="V159" s="2">
        <f>I159 + K159 - S159</f>
        <v>0</v>
      </c>
      <c r="W159" s="2">
        <f>M159 - V159</f>
        <v>0</v>
      </c>
      <c r="X159" s="2">
        <f>IFERROR(W159 / M159 * 100, 0)</f>
        <v>0</v>
      </c>
    </row>
    <row r="160" spans="1:24">
      <c r="A160" t="s">
        <v>4304</v>
      </c>
      <c r="B160" t="s">
        <v>512</v>
      </c>
      <c r="C160" t="s">
        <v>4972</v>
      </c>
      <c r="D160" t="s">
        <v>1008</v>
      </c>
      <c r="E160" t="s">
        <v>5482</v>
      </c>
      <c r="F160" t="s">
        <v>5641</v>
      </c>
      <c r="G160">
        <v>85</v>
      </c>
      <c r="H160">
        <v>0</v>
      </c>
      <c r="I160">
        <v>0</v>
      </c>
      <c r="J160">
        <v>5</v>
      </c>
      <c r="K160">
        <v>425</v>
      </c>
      <c r="L160">
        <v>0</v>
      </c>
      <c r="M160">
        <v>0</v>
      </c>
      <c r="N160">
        <v>0</v>
      </c>
      <c r="O160">
        <v>0</v>
      </c>
      <c r="P160" s="2">
        <f>(H160 + J160) - (L160 + N160)</f>
        <v>0</v>
      </c>
      <c r="Q160" s="2">
        <f>P160 * G160</f>
        <v>0</v>
      </c>
      <c r="R160">
        <v>0</v>
      </c>
      <c r="S160" s="2">
        <f>R160 * G160</f>
        <v>0</v>
      </c>
      <c r="T160" s="2">
        <f>(H160 + J160) - (L160 + N160) - R160</f>
        <v>0</v>
      </c>
      <c r="U160" s="2">
        <f>T160 * G160</f>
        <v>0</v>
      </c>
      <c r="V160" s="2">
        <f>I160 + K160 - S160</f>
        <v>0</v>
      </c>
      <c r="W160" s="2">
        <f>M160 - V160</f>
        <v>0</v>
      </c>
      <c r="X160" s="2">
        <f>IFERROR(W160 / M160 * 100, 0)</f>
        <v>0</v>
      </c>
    </row>
    <row r="161" spans="1:24">
      <c r="A161" t="s">
        <v>4305</v>
      </c>
      <c r="B161" t="s">
        <v>512</v>
      </c>
      <c r="C161" t="s">
        <v>4973</v>
      </c>
      <c r="D161" t="s">
        <v>1007</v>
      </c>
      <c r="E161" t="s">
        <v>5482</v>
      </c>
      <c r="F161" t="s">
        <v>5642</v>
      </c>
      <c r="G161">
        <v>26.54</v>
      </c>
      <c r="H161">
        <v>0.5</v>
      </c>
      <c r="I161">
        <v>15</v>
      </c>
      <c r="J161">
        <v>0.8</v>
      </c>
      <c r="K161">
        <v>19.5</v>
      </c>
      <c r="L161">
        <v>0</v>
      </c>
      <c r="M161">
        <v>0</v>
      </c>
      <c r="N161">
        <v>0</v>
      </c>
      <c r="O161">
        <v>0</v>
      </c>
      <c r="P161" s="2">
        <f>(H161 + J161) - (L161 + N161)</f>
        <v>0</v>
      </c>
      <c r="Q161" s="2">
        <f>P161 * G161</f>
        <v>0</v>
      </c>
      <c r="R161">
        <v>0.5</v>
      </c>
      <c r="S161" s="2">
        <f>R161 * G161</f>
        <v>0</v>
      </c>
      <c r="T161" s="2">
        <f>(H161 + J161) - (L161 + N161) - R161</f>
        <v>0</v>
      </c>
      <c r="U161" s="2">
        <f>T161 * G161</f>
        <v>0</v>
      </c>
      <c r="V161" s="2">
        <f>I161 + K161 - S161</f>
        <v>0</v>
      </c>
      <c r="W161" s="2">
        <f>M161 - V161</f>
        <v>0</v>
      </c>
      <c r="X161" s="2">
        <f>IFERROR(W161 / M161 * 100, 0)</f>
        <v>0</v>
      </c>
    </row>
    <row r="162" spans="1:24">
      <c r="A162" t="s">
        <v>4306</v>
      </c>
      <c r="B162" t="s">
        <v>512</v>
      </c>
      <c r="C162" t="s">
        <v>4974</v>
      </c>
      <c r="D162" t="s">
        <v>1007</v>
      </c>
      <c r="E162" t="s">
        <v>5482</v>
      </c>
      <c r="F162" t="s">
        <v>5643</v>
      </c>
      <c r="G162">
        <v>7.91</v>
      </c>
      <c r="H162">
        <v>50</v>
      </c>
      <c r="I162">
        <v>395.54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s="2">
        <f>(H162 + J162) - (L162 + N162)</f>
        <v>0</v>
      </c>
      <c r="Q162" s="2">
        <f>P162 * G162</f>
        <v>0</v>
      </c>
      <c r="R162">
        <v>60</v>
      </c>
      <c r="S162" s="2">
        <f>R162 * G162</f>
        <v>0</v>
      </c>
      <c r="T162" s="2">
        <f>(H162 + J162) - (L162 + N162) - R162</f>
        <v>0</v>
      </c>
      <c r="U162" s="2">
        <f>T162 * G162</f>
        <v>0</v>
      </c>
      <c r="V162" s="2">
        <f>I162 + K162 - S162</f>
        <v>0</v>
      </c>
      <c r="W162" s="2">
        <f>M162 - V162</f>
        <v>0</v>
      </c>
      <c r="X162" s="2">
        <f>IFERROR(W162 / M162 * 100, 0)</f>
        <v>0</v>
      </c>
    </row>
    <row r="163" spans="1:24">
      <c r="A163" t="s">
        <v>4307</v>
      </c>
      <c r="B163" t="s">
        <v>512</v>
      </c>
      <c r="C163" t="s">
        <v>4975</v>
      </c>
      <c r="D163" t="s">
        <v>1008</v>
      </c>
      <c r="E163" t="s">
        <v>5482</v>
      </c>
      <c r="F163" t="s">
        <v>5644</v>
      </c>
      <c r="G163">
        <v>136.69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s="2">
        <f>(H163 + J163) - (L163 + N163)</f>
        <v>0</v>
      </c>
      <c r="Q163" s="2">
        <f>P163 * G163</f>
        <v>0</v>
      </c>
      <c r="R163">
        <v>3</v>
      </c>
      <c r="S163" s="2">
        <f>R163 * G163</f>
        <v>0</v>
      </c>
      <c r="T163" s="2">
        <f>(H163 + J163) - (L163 + N163) - R163</f>
        <v>0</v>
      </c>
      <c r="U163" s="2">
        <f>T163 * G163</f>
        <v>0</v>
      </c>
      <c r="V163" s="2">
        <f>I163 + K163 - S163</f>
        <v>0</v>
      </c>
      <c r="W163" s="2">
        <f>M163 - V163</f>
        <v>0</v>
      </c>
      <c r="X163" s="2">
        <f>IFERROR(W163 / M163 * 100, 0)</f>
        <v>0</v>
      </c>
    </row>
    <row r="164" spans="1:24">
      <c r="A164" t="s">
        <v>4308</v>
      </c>
      <c r="B164" t="s">
        <v>512</v>
      </c>
      <c r="C164" t="s">
        <v>4976</v>
      </c>
      <c r="D164" t="s">
        <v>1008</v>
      </c>
      <c r="E164" t="s">
        <v>5482</v>
      </c>
      <c r="F164" t="s">
        <v>5645</v>
      </c>
      <c r="G164">
        <v>136.36</v>
      </c>
      <c r="H164">
        <v>0</v>
      </c>
      <c r="I164">
        <v>0</v>
      </c>
      <c r="J164">
        <v>2</v>
      </c>
      <c r="K164">
        <v>272.73</v>
      </c>
      <c r="L164">
        <v>0</v>
      </c>
      <c r="M164">
        <v>0</v>
      </c>
      <c r="N164">
        <v>0</v>
      </c>
      <c r="O164">
        <v>0</v>
      </c>
      <c r="P164" s="2">
        <f>(H164 + J164) - (L164 + N164)</f>
        <v>0</v>
      </c>
      <c r="Q164" s="2">
        <f>P164 * G164</f>
        <v>0</v>
      </c>
      <c r="R164">
        <v>1</v>
      </c>
      <c r="S164" s="2">
        <f>R164 * G164</f>
        <v>0</v>
      </c>
      <c r="T164" s="2">
        <f>(H164 + J164) - (L164 + N164) - R164</f>
        <v>0</v>
      </c>
      <c r="U164" s="2">
        <f>T164 * G164</f>
        <v>0</v>
      </c>
      <c r="V164" s="2">
        <f>I164 + K164 - S164</f>
        <v>0</v>
      </c>
      <c r="W164" s="2">
        <f>M164 - V164</f>
        <v>0</v>
      </c>
      <c r="X164" s="2">
        <f>IFERROR(W164 / M164 * 100, 0)</f>
        <v>0</v>
      </c>
    </row>
    <row r="165" spans="1:24">
      <c r="A165" t="s">
        <v>4309</v>
      </c>
      <c r="B165" t="s">
        <v>512</v>
      </c>
      <c r="C165" t="s">
        <v>4977</v>
      </c>
      <c r="D165" t="s">
        <v>1008</v>
      </c>
      <c r="E165" t="s">
        <v>5482</v>
      </c>
      <c r="F165" t="s">
        <v>5646</v>
      </c>
      <c r="G165">
        <v>71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s="2">
        <f>(H165 + J165) - (L165 + N165)</f>
        <v>0</v>
      </c>
      <c r="Q165" s="2">
        <f>P165 * G165</f>
        <v>0</v>
      </c>
      <c r="R165">
        <v>1</v>
      </c>
      <c r="S165" s="2">
        <f>R165 * G165</f>
        <v>0</v>
      </c>
      <c r="T165" s="2">
        <f>(H165 + J165) - (L165 + N165) - R165</f>
        <v>0</v>
      </c>
      <c r="U165" s="2">
        <f>T165 * G165</f>
        <v>0</v>
      </c>
      <c r="V165" s="2">
        <f>I165 + K165 - S165</f>
        <v>0</v>
      </c>
      <c r="W165" s="2">
        <f>M165 - V165</f>
        <v>0</v>
      </c>
      <c r="X165" s="2">
        <f>IFERROR(W165 / M165 * 100, 0)</f>
        <v>0</v>
      </c>
    </row>
    <row r="166" spans="1:24">
      <c r="A166" t="s">
        <v>4310</v>
      </c>
      <c r="B166" t="s">
        <v>512</v>
      </c>
      <c r="C166" t="s">
        <v>4978</v>
      </c>
      <c r="D166" t="s">
        <v>1008</v>
      </c>
      <c r="E166" t="s">
        <v>5482</v>
      </c>
      <c r="F166" t="s">
        <v>5647</v>
      </c>
      <c r="G166">
        <v>210</v>
      </c>
      <c r="H166">
        <v>0</v>
      </c>
      <c r="I166">
        <v>0</v>
      </c>
      <c r="J166">
        <v>3</v>
      </c>
      <c r="K166">
        <v>630</v>
      </c>
      <c r="L166">
        <v>0</v>
      </c>
      <c r="M166">
        <v>0</v>
      </c>
      <c r="N166">
        <v>0</v>
      </c>
      <c r="O166">
        <v>0</v>
      </c>
      <c r="P166" s="2">
        <f>(H166 + J166) - (L166 + N166)</f>
        <v>0</v>
      </c>
      <c r="Q166" s="2">
        <f>P166 * G166</f>
        <v>0</v>
      </c>
      <c r="R166">
        <v>0</v>
      </c>
      <c r="S166" s="2">
        <f>R166 * G166</f>
        <v>0</v>
      </c>
      <c r="T166" s="2">
        <f>(H166 + J166) - (L166 + N166) - R166</f>
        <v>0</v>
      </c>
      <c r="U166" s="2">
        <f>T166 * G166</f>
        <v>0</v>
      </c>
      <c r="V166" s="2">
        <f>I166 + K166 - S166</f>
        <v>0</v>
      </c>
      <c r="W166" s="2">
        <f>M166 - V166</f>
        <v>0</v>
      </c>
      <c r="X166" s="2">
        <f>IFERROR(W166 / M166 * 100, 0)</f>
        <v>0</v>
      </c>
    </row>
    <row r="167" spans="1:24">
      <c r="A167" t="s">
        <v>4311</v>
      </c>
      <c r="B167" t="s">
        <v>512</v>
      </c>
      <c r="C167" t="s">
        <v>4979</v>
      </c>
      <c r="D167" t="s">
        <v>1008</v>
      </c>
      <c r="E167" t="s">
        <v>5482</v>
      </c>
      <c r="F167" t="s">
        <v>5648</v>
      </c>
      <c r="G167">
        <v>115</v>
      </c>
      <c r="H167">
        <v>0</v>
      </c>
      <c r="I167">
        <v>0</v>
      </c>
      <c r="J167">
        <v>16</v>
      </c>
      <c r="K167">
        <v>1840</v>
      </c>
      <c r="L167">
        <v>0</v>
      </c>
      <c r="M167">
        <v>0</v>
      </c>
      <c r="N167">
        <v>0</v>
      </c>
      <c r="O167">
        <v>0</v>
      </c>
      <c r="P167" s="2">
        <f>(H167 + J167) - (L167 + N167)</f>
        <v>0</v>
      </c>
      <c r="Q167" s="2">
        <f>P167 * G167</f>
        <v>0</v>
      </c>
      <c r="R167">
        <v>8</v>
      </c>
      <c r="S167" s="2">
        <f>R167 * G167</f>
        <v>0</v>
      </c>
      <c r="T167" s="2">
        <f>(H167 + J167) - (L167 + N167) - R167</f>
        <v>0</v>
      </c>
      <c r="U167" s="2">
        <f>T167 * G167</f>
        <v>0</v>
      </c>
      <c r="V167" s="2">
        <f>I167 + K167 - S167</f>
        <v>0</v>
      </c>
      <c r="W167" s="2">
        <f>M167 - V167</f>
        <v>0</v>
      </c>
      <c r="X167" s="2">
        <f>IFERROR(W167 / M167 * 100, 0)</f>
        <v>0</v>
      </c>
    </row>
    <row r="168" spans="1:24">
      <c r="A168" t="s">
        <v>4312</v>
      </c>
      <c r="B168" t="s">
        <v>512</v>
      </c>
      <c r="C168" t="s">
        <v>4980</v>
      </c>
      <c r="D168" t="s">
        <v>1008</v>
      </c>
      <c r="E168" t="s">
        <v>5482</v>
      </c>
      <c r="F168" t="s">
        <v>5649</v>
      </c>
      <c r="G168">
        <v>7.38</v>
      </c>
      <c r="H168">
        <v>3</v>
      </c>
      <c r="I168">
        <v>23.56</v>
      </c>
      <c r="J168">
        <v>50</v>
      </c>
      <c r="K168">
        <v>354.55</v>
      </c>
      <c r="L168">
        <v>0</v>
      </c>
      <c r="M168">
        <v>0</v>
      </c>
      <c r="N168">
        <v>0</v>
      </c>
      <c r="O168">
        <v>0</v>
      </c>
      <c r="P168" s="2">
        <f>(H168 + J168) - (L168 + N168)</f>
        <v>0</v>
      </c>
      <c r="Q168" s="2">
        <f>P168 * G168</f>
        <v>0</v>
      </c>
      <c r="R168">
        <v>5</v>
      </c>
      <c r="S168" s="2">
        <f>R168 * G168</f>
        <v>0</v>
      </c>
      <c r="T168" s="2">
        <f>(H168 + J168) - (L168 + N168) - R168</f>
        <v>0</v>
      </c>
      <c r="U168" s="2">
        <f>T168 * G168</f>
        <v>0</v>
      </c>
      <c r="V168" s="2">
        <f>I168 + K168 - S168</f>
        <v>0</v>
      </c>
      <c r="W168" s="2">
        <f>M168 - V168</f>
        <v>0</v>
      </c>
      <c r="X168" s="2">
        <f>IFERROR(W168 / M168 * 100, 0)</f>
        <v>0</v>
      </c>
    </row>
    <row r="169" spans="1:24">
      <c r="A169" t="s">
        <v>4313</v>
      </c>
      <c r="B169" t="s">
        <v>512</v>
      </c>
      <c r="C169" t="s">
        <v>4981</v>
      </c>
      <c r="D169" t="s">
        <v>1008</v>
      </c>
      <c r="E169" t="s">
        <v>5482</v>
      </c>
      <c r="F169" t="s">
        <v>5650</v>
      </c>
      <c r="G169">
        <v>7.79</v>
      </c>
      <c r="H169">
        <v>50</v>
      </c>
      <c r="I169">
        <v>389.51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s="2">
        <f>(H169 + J169) - (L169 + N169)</f>
        <v>0</v>
      </c>
      <c r="Q169" s="2">
        <f>P169 * G169</f>
        <v>0</v>
      </c>
      <c r="R169">
        <v>50</v>
      </c>
      <c r="S169" s="2">
        <f>R169 * G169</f>
        <v>0</v>
      </c>
      <c r="T169" s="2">
        <f>(H169 + J169) - (L169 + N169) - R169</f>
        <v>0</v>
      </c>
      <c r="U169" s="2">
        <f>T169 * G169</f>
        <v>0</v>
      </c>
      <c r="V169" s="2">
        <f>I169 + K169 - S169</f>
        <v>0</v>
      </c>
      <c r="W169" s="2">
        <f>M169 - V169</f>
        <v>0</v>
      </c>
      <c r="X169" s="2">
        <f>IFERROR(W169 / M169 * 100, 0)</f>
        <v>0</v>
      </c>
    </row>
    <row r="170" spans="1:24">
      <c r="A170" t="s">
        <v>4314</v>
      </c>
      <c r="B170" t="s">
        <v>512</v>
      </c>
      <c r="C170" t="s">
        <v>4982</v>
      </c>
      <c r="D170" t="s">
        <v>1007</v>
      </c>
      <c r="E170" t="s">
        <v>5482</v>
      </c>
      <c r="F170" t="s">
        <v>5651</v>
      </c>
      <c r="G170">
        <v>6.23</v>
      </c>
      <c r="H170">
        <v>40</v>
      </c>
      <c r="I170">
        <v>241.22</v>
      </c>
      <c r="J170">
        <v>50.8</v>
      </c>
      <c r="K170">
        <v>334.17</v>
      </c>
      <c r="L170">
        <v>0</v>
      </c>
      <c r="M170">
        <v>0</v>
      </c>
      <c r="N170">
        <v>0</v>
      </c>
      <c r="O170">
        <v>0</v>
      </c>
      <c r="P170" s="2">
        <f>(H170 + J170) - (L170 + N170)</f>
        <v>0</v>
      </c>
      <c r="Q170" s="2">
        <f>P170 * G170</f>
        <v>0</v>
      </c>
      <c r="R170">
        <v>55</v>
      </c>
      <c r="S170" s="2">
        <f>R170 * G170</f>
        <v>0</v>
      </c>
      <c r="T170" s="2">
        <f>(H170 + J170) - (L170 + N170) - R170</f>
        <v>0</v>
      </c>
      <c r="U170" s="2">
        <f>T170 * G170</f>
        <v>0</v>
      </c>
      <c r="V170" s="2">
        <f>I170 + K170 - S170</f>
        <v>0</v>
      </c>
      <c r="W170" s="2">
        <f>M170 - V170</f>
        <v>0</v>
      </c>
      <c r="X170" s="2">
        <f>IFERROR(W170 / M170 * 100, 0)</f>
        <v>0</v>
      </c>
    </row>
    <row r="171" spans="1:24">
      <c r="A171" t="s">
        <v>4315</v>
      </c>
      <c r="B171" t="s">
        <v>512</v>
      </c>
      <c r="C171" t="s">
        <v>4983</v>
      </c>
      <c r="D171" t="s">
        <v>1007</v>
      </c>
      <c r="E171" t="s">
        <v>5482</v>
      </c>
      <c r="F171" t="s">
        <v>5652</v>
      </c>
      <c r="G171">
        <v>6.2</v>
      </c>
      <c r="H171">
        <v>28</v>
      </c>
      <c r="I171">
        <v>189.18</v>
      </c>
      <c r="J171">
        <v>17.04</v>
      </c>
      <c r="K171">
        <v>90.01000000000001</v>
      </c>
      <c r="L171">
        <v>0</v>
      </c>
      <c r="M171">
        <v>0</v>
      </c>
      <c r="N171">
        <v>0</v>
      </c>
      <c r="O171">
        <v>0</v>
      </c>
      <c r="P171" s="2">
        <f>(H171 + J171) - (L171 + N171)</f>
        <v>0</v>
      </c>
      <c r="Q171" s="2">
        <f>P171 * G171</f>
        <v>0</v>
      </c>
      <c r="R171">
        <v>26</v>
      </c>
      <c r="S171" s="2">
        <f>R171 * G171</f>
        <v>0</v>
      </c>
      <c r="T171" s="2">
        <f>(H171 + J171) - (L171 + N171) - R171</f>
        <v>0</v>
      </c>
      <c r="U171" s="2">
        <f>T171 * G171</f>
        <v>0</v>
      </c>
      <c r="V171" s="2">
        <f>I171 + K171 - S171</f>
        <v>0</v>
      </c>
      <c r="W171" s="2">
        <f>M171 - V171</f>
        <v>0</v>
      </c>
      <c r="X171" s="2">
        <f>IFERROR(W171 / M171 * 100, 0)</f>
        <v>0</v>
      </c>
    </row>
    <row r="172" spans="1:24">
      <c r="A172" t="s">
        <v>4316</v>
      </c>
      <c r="B172" t="s">
        <v>512</v>
      </c>
      <c r="C172" t="s">
        <v>4984</v>
      </c>
      <c r="D172" t="s">
        <v>1007</v>
      </c>
      <c r="E172" t="s">
        <v>5482</v>
      </c>
      <c r="F172" t="s">
        <v>5653</v>
      </c>
      <c r="G172">
        <v>5.52</v>
      </c>
      <c r="H172">
        <v>0</v>
      </c>
      <c r="I172">
        <v>0</v>
      </c>
      <c r="J172">
        <v>70.08</v>
      </c>
      <c r="K172">
        <v>386.84</v>
      </c>
      <c r="L172">
        <v>0</v>
      </c>
      <c r="M172">
        <v>0</v>
      </c>
      <c r="N172">
        <v>0</v>
      </c>
      <c r="O172">
        <v>0</v>
      </c>
      <c r="P172" s="2">
        <f>(H172 + J172) - (L172 + N172)</f>
        <v>0</v>
      </c>
      <c r="Q172" s="2">
        <f>P172 * G172</f>
        <v>0</v>
      </c>
      <c r="R172">
        <v>0</v>
      </c>
      <c r="S172" s="2">
        <f>R172 * G172</f>
        <v>0</v>
      </c>
      <c r="T172" s="2">
        <f>(H172 + J172) - (L172 + N172) - R172</f>
        <v>0</v>
      </c>
      <c r="U172" s="2">
        <f>T172 * G172</f>
        <v>0</v>
      </c>
      <c r="V172" s="2">
        <f>I172 + K172 - S172</f>
        <v>0</v>
      </c>
      <c r="W172" s="2">
        <f>M172 - V172</f>
        <v>0</v>
      </c>
      <c r="X172" s="2">
        <f>IFERROR(W172 / M172 * 100, 0)</f>
        <v>0</v>
      </c>
    </row>
    <row r="173" spans="1:24">
      <c r="A173" t="s">
        <v>4317</v>
      </c>
      <c r="B173" t="s">
        <v>512</v>
      </c>
      <c r="C173" t="s">
        <v>4985</v>
      </c>
      <c r="D173" t="s">
        <v>1007</v>
      </c>
      <c r="E173" t="s">
        <v>5482</v>
      </c>
      <c r="F173" t="s">
        <v>5654</v>
      </c>
      <c r="G173">
        <v>6.5</v>
      </c>
      <c r="H173">
        <v>0</v>
      </c>
      <c r="I173">
        <v>0</v>
      </c>
      <c r="J173">
        <v>-4.05</v>
      </c>
      <c r="K173">
        <v>-26.33</v>
      </c>
      <c r="L173">
        <v>0</v>
      </c>
      <c r="M173">
        <v>0</v>
      </c>
      <c r="N173">
        <v>0</v>
      </c>
      <c r="O173">
        <v>0</v>
      </c>
      <c r="P173" s="2">
        <f>(H173 + J173) - (L173 + N173)</f>
        <v>0</v>
      </c>
      <c r="Q173" s="2">
        <f>P173 * G173</f>
        <v>0</v>
      </c>
      <c r="R173">
        <v>2</v>
      </c>
      <c r="S173" s="2">
        <f>R173 * G173</f>
        <v>0</v>
      </c>
      <c r="T173" s="2">
        <f>(H173 + J173) - (L173 + N173) - R173</f>
        <v>0</v>
      </c>
      <c r="U173" s="2">
        <f>T173 * G173</f>
        <v>0</v>
      </c>
      <c r="V173" s="2">
        <f>I173 + K173 - S173</f>
        <v>0</v>
      </c>
      <c r="W173" s="2">
        <f>M173 - V173</f>
        <v>0</v>
      </c>
      <c r="X173" s="2">
        <f>IFERROR(W173 / M173 * 100, 0)</f>
        <v>0</v>
      </c>
    </row>
    <row r="174" spans="1:24">
      <c r="A174" t="s">
        <v>4318</v>
      </c>
      <c r="B174" t="s">
        <v>512</v>
      </c>
      <c r="C174" t="s">
        <v>4986</v>
      </c>
      <c r="D174" t="s">
        <v>1007</v>
      </c>
      <c r="E174" t="s">
        <v>5482</v>
      </c>
      <c r="F174" t="s">
        <v>5655</v>
      </c>
      <c r="G174">
        <v>33.37</v>
      </c>
      <c r="H174">
        <v>0.5</v>
      </c>
      <c r="I174">
        <v>15.56</v>
      </c>
      <c r="J174">
        <v>2.52</v>
      </c>
      <c r="K174">
        <v>87.8</v>
      </c>
      <c r="L174">
        <v>0</v>
      </c>
      <c r="M174">
        <v>0</v>
      </c>
      <c r="N174">
        <v>0</v>
      </c>
      <c r="O174">
        <v>0</v>
      </c>
      <c r="P174" s="2">
        <f>(H174 + J174) - (L174 + N174)</f>
        <v>0</v>
      </c>
      <c r="Q174" s="2">
        <f>P174 * G174</f>
        <v>0</v>
      </c>
      <c r="R174">
        <v>0</v>
      </c>
      <c r="S174" s="2">
        <f>R174 * G174</f>
        <v>0</v>
      </c>
      <c r="T174" s="2">
        <f>(H174 + J174) - (L174 + N174) - R174</f>
        <v>0</v>
      </c>
      <c r="U174" s="2">
        <f>T174 * G174</f>
        <v>0</v>
      </c>
      <c r="V174" s="2">
        <f>I174 + K174 - S174</f>
        <v>0</v>
      </c>
      <c r="W174" s="2">
        <f>M174 - V174</f>
        <v>0</v>
      </c>
      <c r="X174" s="2">
        <f>IFERROR(W174 / M174 * 100, 0)</f>
        <v>0</v>
      </c>
    </row>
    <row r="175" spans="1:24">
      <c r="A175" t="s">
        <v>4319</v>
      </c>
      <c r="B175" t="s">
        <v>512</v>
      </c>
      <c r="C175" t="s">
        <v>4987</v>
      </c>
      <c r="D175" t="s">
        <v>1007</v>
      </c>
      <c r="E175" t="s">
        <v>5482</v>
      </c>
      <c r="F175" t="s">
        <v>5656</v>
      </c>
      <c r="G175">
        <v>30</v>
      </c>
      <c r="H175">
        <v>0</v>
      </c>
      <c r="I175">
        <v>0</v>
      </c>
      <c r="J175">
        <v>-0.25</v>
      </c>
      <c r="K175">
        <v>-7.56</v>
      </c>
      <c r="L175">
        <v>0</v>
      </c>
      <c r="M175">
        <v>0</v>
      </c>
      <c r="N175">
        <v>0</v>
      </c>
      <c r="O175">
        <v>0</v>
      </c>
      <c r="P175" s="2">
        <f>(H175 + J175) - (L175 + N175)</f>
        <v>0</v>
      </c>
      <c r="Q175" s="2">
        <f>P175 * G175</f>
        <v>0</v>
      </c>
      <c r="R175">
        <v>0</v>
      </c>
      <c r="S175" s="2">
        <f>R175 * G175</f>
        <v>0</v>
      </c>
      <c r="T175" s="2">
        <f>(H175 + J175) - (L175 + N175) - R175</f>
        <v>0</v>
      </c>
      <c r="U175" s="2">
        <f>T175 * G175</f>
        <v>0</v>
      </c>
      <c r="V175" s="2">
        <f>I175 + K175 - S175</f>
        <v>0</v>
      </c>
      <c r="W175" s="2">
        <f>M175 - V175</f>
        <v>0</v>
      </c>
      <c r="X175" s="2">
        <f>IFERROR(W175 / M175 * 100, 0)</f>
        <v>0</v>
      </c>
    </row>
    <row r="176" spans="1:24">
      <c r="A176" t="s">
        <v>4320</v>
      </c>
      <c r="B176" t="s">
        <v>512</v>
      </c>
      <c r="C176" t="s">
        <v>4988</v>
      </c>
      <c r="D176" t="s">
        <v>1007</v>
      </c>
      <c r="E176" t="s">
        <v>5482</v>
      </c>
      <c r="F176" t="s">
        <v>5657</v>
      </c>
      <c r="G176">
        <v>10</v>
      </c>
      <c r="H176">
        <v>6</v>
      </c>
      <c r="I176">
        <v>96.15000000000001</v>
      </c>
      <c r="J176">
        <v>-5.3</v>
      </c>
      <c r="K176">
        <v>-120.01</v>
      </c>
      <c r="L176">
        <v>0</v>
      </c>
      <c r="M176">
        <v>0</v>
      </c>
      <c r="N176">
        <v>0</v>
      </c>
      <c r="O176">
        <v>0</v>
      </c>
      <c r="P176" s="2">
        <f>(H176 + J176) - (L176 + N176)</f>
        <v>0</v>
      </c>
      <c r="Q176" s="2">
        <f>P176 * G176</f>
        <v>0</v>
      </c>
      <c r="R176">
        <v>11</v>
      </c>
      <c r="S176" s="2">
        <f>R176 * G176</f>
        <v>0</v>
      </c>
      <c r="T176" s="2">
        <f>(H176 + J176) - (L176 + N176) - R176</f>
        <v>0</v>
      </c>
      <c r="U176" s="2">
        <f>T176 * G176</f>
        <v>0</v>
      </c>
      <c r="V176" s="2">
        <f>I176 + K176 - S176</f>
        <v>0</v>
      </c>
      <c r="W176" s="2">
        <f>M176 - V176</f>
        <v>0</v>
      </c>
      <c r="X176" s="2">
        <f>IFERROR(W176 / M176 * 100, 0)</f>
        <v>0</v>
      </c>
    </row>
    <row r="177" spans="1:24">
      <c r="A177" t="s">
        <v>4321</v>
      </c>
      <c r="B177" t="s">
        <v>512</v>
      </c>
      <c r="C177" t="s">
        <v>4989</v>
      </c>
      <c r="D177" t="s">
        <v>1007</v>
      </c>
      <c r="E177" t="s">
        <v>5482</v>
      </c>
      <c r="F177" t="s">
        <v>5658</v>
      </c>
      <c r="G177">
        <v>26.67</v>
      </c>
      <c r="H177">
        <v>9</v>
      </c>
      <c r="I177">
        <v>274.17</v>
      </c>
      <c r="J177">
        <v>-12.51</v>
      </c>
      <c r="K177">
        <v>-403.88</v>
      </c>
      <c r="L177">
        <v>0</v>
      </c>
      <c r="M177">
        <v>0</v>
      </c>
      <c r="N177">
        <v>0</v>
      </c>
      <c r="O177">
        <v>0</v>
      </c>
      <c r="P177" s="2">
        <f>(H177 + J177) - (L177 + N177)</f>
        <v>0</v>
      </c>
      <c r="Q177" s="2">
        <f>P177 * G177</f>
        <v>0</v>
      </c>
      <c r="R177">
        <v>6</v>
      </c>
      <c r="S177" s="2">
        <f>R177 * G177</f>
        <v>0</v>
      </c>
      <c r="T177" s="2">
        <f>(H177 + J177) - (L177 + N177) - R177</f>
        <v>0</v>
      </c>
      <c r="U177" s="2">
        <f>T177 * G177</f>
        <v>0</v>
      </c>
      <c r="V177" s="2">
        <f>I177 + K177 - S177</f>
        <v>0</v>
      </c>
      <c r="W177" s="2">
        <f>M177 - V177</f>
        <v>0</v>
      </c>
      <c r="X177" s="2">
        <f>IFERROR(W177 / M177 * 100, 0)</f>
        <v>0</v>
      </c>
    </row>
    <row r="178" spans="1:24">
      <c r="A178" t="s">
        <v>4322</v>
      </c>
      <c r="B178" t="s">
        <v>512</v>
      </c>
      <c r="C178" t="s">
        <v>4990</v>
      </c>
      <c r="D178" t="s">
        <v>1007</v>
      </c>
      <c r="E178" t="s">
        <v>5482</v>
      </c>
      <c r="F178" t="s">
        <v>5659</v>
      </c>
      <c r="G178">
        <v>177.46</v>
      </c>
      <c r="H178">
        <v>0</v>
      </c>
      <c r="I178">
        <v>0</v>
      </c>
      <c r="J178">
        <v>0.27</v>
      </c>
      <c r="K178">
        <v>46.82</v>
      </c>
      <c r="L178">
        <v>0</v>
      </c>
      <c r="M178">
        <v>0</v>
      </c>
      <c r="N178">
        <v>0</v>
      </c>
      <c r="O178">
        <v>0</v>
      </c>
      <c r="P178" s="2">
        <f>(H178 + J178) - (L178 + N178)</f>
        <v>0</v>
      </c>
      <c r="Q178" s="2">
        <f>P178 * G178</f>
        <v>0</v>
      </c>
      <c r="R178">
        <v>0</v>
      </c>
      <c r="S178" s="2">
        <f>R178 * G178</f>
        <v>0</v>
      </c>
      <c r="T178" s="2">
        <f>(H178 + J178) - (L178 + N178) - R178</f>
        <v>0</v>
      </c>
      <c r="U178" s="2">
        <f>T178 * G178</f>
        <v>0</v>
      </c>
      <c r="V178" s="2">
        <f>I178 + K178 - S178</f>
        <v>0</v>
      </c>
      <c r="W178" s="2">
        <f>M178 - V178</f>
        <v>0</v>
      </c>
      <c r="X178" s="2">
        <f>IFERROR(W178 / M178 * 100, 0)</f>
        <v>0</v>
      </c>
    </row>
    <row r="179" spans="1:24">
      <c r="A179" t="s">
        <v>4323</v>
      </c>
      <c r="B179" t="s">
        <v>512</v>
      </c>
      <c r="C179" t="s">
        <v>4991</v>
      </c>
      <c r="D179" t="s">
        <v>1007</v>
      </c>
      <c r="E179" t="s">
        <v>5482</v>
      </c>
      <c r="F179" t="s">
        <v>5660</v>
      </c>
      <c r="G179">
        <v>13.04</v>
      </c>
      <c r="H179">
        <v>43</v>
      </c>
      <c r="I179">
        <v>656.04</v>
      </c>
      <c r="J179">
        <v>1.59</v>
      </c>
      <c r="K179">
        <v>-74.61</v>
      </c>
      <c r="L179">
        <v>0</v>
      </c>
      <c r="M179">
        <v>0</v>
      </c>
      <c r="N179">
        <v>0</v>
      </c>
      <c r="O179">
        <v>0</v>
      </c>
      <c r="P179" s="2">
        <f>(H179 + J179) - (L179 + N179)</f>
        <v>0</v>
      </c>
      <c r="Q179" s="2">
        <f>P179 * G179</f>
        <v>0</v>
      </c>
      <c r="R179">
        <v>5</v>
      </c>
      <c r="S179" s="2">
        <f>R179 * G179</f>
        <v>0</v>
      </c>
      <c r="T179" s="2">
        <f>(H179 + J179) - (L179 + N179) - R179</f>
        <v>0</v>
      </c>
      <c r="U179" s="2">
        <f>T179 * G179</f>
        <v>0</v>
      </c>
      <c r="V179" s="2">
        <f>I179 + K179 - S179</f>
        <v>0</v>
      </c>
      <c r="W179" s="2">
        <f>M179 - V179</f>
        <v>0</v>
      </c>
      <c r="X179" s="2">
        <f>IFERROR(W179 / M179 * 100, 0)</f>
        <v>0</v>
      </c>
    </row>
    <row r="180" spans="1:24">
      <c r="A180" t="s">
        <v>4324</v>
      </c>
      <c r="B180" t="s">
        <v>512</v>
      </c>
      <c r="C180" t="s">
        <v>4992</v>
      </c>
      <c r="D180" t="s">
        <v>1007</v>
      </c>
      <c r="E180" t="s">
        <v>5482</v>
      </c>
      <c r="F180" t="s">
        <v>5661</v>
      </c>
      <c r="G180">
        <v>0</v>
      </c>
      <c r="H180">
        <v>0</v>
      </c>
      <c r="I180">
        <v>0</v>
      </c>
      <c r="J180">
        <v>-4.25</v>
      </c>
      <c r="K180">
        <v>0</v>
      </c>
      <c r="L180">
        <v>0</v>
      </c>
      <c r="M180">
        <v>0</v>
      </c>
      <c r="N180">
        <v>0</v>
      </c>
      <c r="O180">
        <v>0</v>
      </c>
      <c r="P180" s="2">
        <f>(H180 + J180) - (L180 + N180)</f>
        <v>0</v>
      </c>
      <c r="Q180" s="2">
        <f>P180 * G180</f>
        <v>0</v>
      </c>
      <c r="R180">
        <v>30</v>
      </c>
      <c r="S180" s="2">
        <f>R180 * G180</f>
        <v>0</v>
      </c>
      <c r="T180" s="2">
        <f>(H180 + J180) - (L180 + N180) - R180</f>
        <v>0</v>
      </c>
      <c r="U180" s="2">
        <f>T180 * G180</f>
        <v>0</v>
      </c>
      <c r="V180" s="2">
        <f>I180 + K180 - S180</f>
        <v>0</v>
      </c>
      <c r="W180" s="2">
        <f>M180 - V180</f>
        <v>0</v>
      </c>
      <c r="X180" s="2">
        <f>IFERROR(W180 / M180 * 100, 0)</f>
        <v>0</v>
      </c>
    </row>
    <row r="181" spans="1:24">
      <c r="A181" t="s">
        <v>4325</v>
      </c>
      <c r="B181" t="s">
        <v>512</v>
      </c>
      <c r="C181" t="s">
        <v>4993</v>
      </c>
      <c r="D181" t="s">
        <v>1007</v>
      </c>
      <c r="E181" t="s">
        <v>5482</v>
      </c>
      <c r="F181" t="s">
        <v>5662</v>
      </c>
      <c r="G181">
        <v>4</v>
      </c>
      <c r="H181">
        <v>35</v>
      </c>
      <c r="I181">
        <v>140</v>
      </c>
      <c r="J181">
        <v>-52.95</v>
      </c>
      <c r="K181">
        <v>-211.78</v>
      </c>
      <c r="L181">
        <v>0</v>
      </c>
      <c r="M181">
        <v>0</v>
      </c>
      <c r="N181">
        <v>0</v>
      </c>
      <c r="O181">
        <v>0</v>
      </c>
      <c r="P181" s="2">
        <f>(H181 + J181) - (L181 + N181)</f>
        <v>0</v>
      </c>
      <c r="Q181" s="2">
        <f>P181 * G181</f>
        <v>0</v>
      </c>
      <c r="R181">
        <v>28</v>
      </c>
      <c r="S181" s="2">
        <f>R181 * G181</f>
        <v>0</v>
      </c>
      <c r="T181" s="2">
        <f>(H181 + J181) - (L181 + N181) - R181</f>
        <v>0</v>
      </c>
      <c r="U181" s="2">
        <f>T181 * G181</f>
        <v>0</v>
      </c>
      <c r="V181" s="2">
        <f>I181 + K181 - S181</f>
        <v>0</v>
      </c>
      <c r="W181" s="2">
        <f>M181 - V181</f>
        <v>0</v>
      </c>
      <c r="X181" s="2">
        <f>IFERROR(W181 / M181 * 100, 0)</f>
        <v>0</v>
      </c>
    </row>
    <row r="182" spans="1:24">
      <c r="A182" t="s">
        <v>4326</v>
      </c>
      <c r="B182" t="s">
        <v>512</v>
      </c>
      <c r="C182" t="s">
        <v>4994</v>
      </c>
      <c r="D182" t="s">
        <v>1007</v>
      </c>
      <c r="E182" t="s">
        <v>5482</v>
      </c>
      <c r="F182" t="s">
        <v>5663</v>
      </c>
      <c r="G182">
        <v>43.39</v>
      </c>
      <c r="H182">
        <v>10</v>
      </c>
      <c r="I182">
        <v>433.87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s="2">
        <f>(H182 + J182) - (L182 + N182)</f>
        <v>0</v>
      </c>
      <c r="Q182" s="2">
        <f>P182 * G182</f>
        <v>0</v>
      </c>
      <c r="R182">
        <v>10</v>
      </c>
      <c r="S182" s="2">
        <f>R182 * G182</f>
        <v>0</v>
      </c>
      <c r="T182" s="2">
        <f>(H182 + J182) - (L182 + N182) - R182</f>
        <v>0</v>
      </c>
      <c r="U182" s="2">
        <f>T182 * G182</f>
        <v>0</v>
      </c>
      <c r="V182" s="2">
        <f>I182 + K182 - S182</f>
        <v>0</v>
      </c>
      <c r="W182" s="2">
        <f>M182 - V182</f>
        <v>0</v>
      </c>
      <c r="X182" s="2">
        <f>IFERROR(W182 / M182 * 100, 0)</f>
        <v>0</v>
      </c>
    </row>
    <row r="183" spans="1:24">
      <c r="A183" t="s">
        <v>4327</v>
      </c>
      <c r="B183" t="s">
        <v>512</v>
      </c>
      <c r="C183" t="s">
        <v>4995</v>
      </c>
      <c r="D183" t="s">
        <v>1007</v>
      </c>
      <c r="E183" t="s">
        <v>5482</v>
      </c>
      <c r="F183" t="s">
        <v>5664</v>
      </c>
      <c r="G183">
        <v>8.369999999999999</v>
      </c>
      <c r="H183">
        <v>0</v>
      </c>
      <c r="I183">
        <v>0</v>
      </c>
      <c r="J183">
        <v>-27.35</v>
      </c>
      <c r="K183">
        <v>-228.89</v>
      </c>
      <c r="L183">
        <v>0</v>
      </c>
      <c r="M183">
        <v>0</v>
      </c>
      <c r="N183">
        <v>0</v>
      </c>
      <c r="O183">
        <v>0</v>
      </c>
      <c r="P183" s="2">
        <f>(H183 + J183) - (L183 + N183)</f>
        <v>0</v>
      </c>
      <c r="Q183" s="2">
        <f>P183 * G183</f>
        <v>0</v>
      </c>
      <c r="R183">
        <v>0</v>
      </c>
      <c r="S183" s="2">
        <f>R183 * G183</f>
        <v>0</v>
      </c>
      <c r="T183" s="2">
        <f>(H183 + J183) - (L183 + N183) - R183</f>
        <v>0</v>
      </c>
      <c r="U183" s="2">
        <f>T183 * G183</f>
        <v>0</v>
      </c>
      <c r="V183" s="2">
        <f>I183 + K183 - S183</f>
        <v>0</v>
      </c>
      <c r="W183" s="2">
        <f>M183 - V183</f>
        <v>0</v>
      </c>
      <c r="X183" s="2">
        <f>IFERROR(W183 / M183 * 100, 0)</f>
        <v>0</v>
      </c>
    </row>
    <row r="184" spans="1:24">
      <c r="A184" t="s">
        <v>4328</v>
      </c>
      <c r="B184" t="s">
        <v>512</v>
      </c>
      <c r="C184" t="s">
        <v>4996</v>
      </c>
      <c r="D184" t="s">
        <v>1007</v>
      </c>
      <c r="E184" t="s">
        <v>5482</v>
      </c>
      <c r="F184" t="s">
        <v>5665</v>
      </c>
      <c r="G184">
        <v>11.59</v>
      </c>
      <c r="H184">
        <v>40</v>
      </c>
      <c r="I184">
        <v>418.8</v>
      </c>
      <c r="J184">
        <v>134.79</v>
      </c>
      <c r="K184">
        <v>1687.08</v>
      </c>
      <c r="L184">
        <v>0</v>
      </c>
      <c r="M184">
        <v>0</v>
      </c>
      <c r="N184">
        <v>0</v>
      </c>
      <c r="O184">
        <v>0</v>
      </c>
      <c r="P184" s="2">
        <f>(H184 + J184) - (L184 + N184)</f>
        <v>0</v>
      </c>
      <c r="Q184" s="2">
        <f>P184 * G184</f>
        <v>0</v>
      </c>
      <c r="R184">
        <v>20</v>
      </c>
      <c r="S184" s="2">
        <f>R184 * G184</f>
        <v>0</v>
      </c>
      <c r="T184" s="2">
        <f>(H184 + J184) - (L184 + N184) - R184</f>
        <v>0</v>
      </c>
      <c r="U184" s="2">
        <f>T184 * G184</f>
        <v>0</v>
      </c>
      <c r="V184" s="2">
        <f>I184 + K184 - S184</f>
        <v>0</v>
      </c>
      <c r="W184" s="2">
        <f>M184 - V184</f>
        <v>0</v>
      </c>
      <c r="X184" s="2">
        <f>IFERROR(W184 / M184 * 100, 0)</f>
        <v>0</v>
      </c>
    </row>
    <row r="185" spans="1:24">
      <c r="A185" t="s">
        <v>4329</v>
      </c>
      <c r="B185" t="s">
        <v>512</v>
      </c>
      <c r="C185" t="s">
        <v>4997</v>
      </c>
      <c r="D185" t="s">
        <v>1007</v>
      </c>
      <c r="E185" t="s">
        <v>5482</v>
      </c>
      <c r="F185" t="s">
        <v>5666</v>
      </c>
      <c r="G185">
        <v>75</v>
      </c>
      <c r="H185">
        <v>5</v>
      </c>
      <c r="I185">
        <v>374.99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s="2">
        <f>(H185 + J185) - (L185 + N185)</f>
        <v>0</v>
      </c>
      <c r="Q185" s="2">
        <f>P185 * G185</f>
        <v>0</v>
      </c>
      <c r="R185">
        <v>5</v>
      </c>
      <c r="S185" s="2">
        <f>R185 * G185</f>
        <v>0</v>
      </c>
      <c r="T185" s="2">
        <f>(H185 + J185) - (L185 + N185) - R185</f>
        <v>0</v>
      </c>
      <c r="U185" s="2">
        <f>T185 * G185</f>
        <v>0</v>
      </c>
      <c r="V185" s="2">
        <f>I185 + K185 - S185</f>
        <v>0</v>
      </c>
      <c r="W185" s="2">
        <f>M185 - V185</f>
        <v>0</v>
      </c>
      <c r="X185" s="2">
        <f>IFERROR(W185 / M185 * 100, 0)</f>
        <v>0</v>
      </c>
    </row>
    <row r="186" spans="1:24">
      <c r="A186" t="s">
        <v>4330</v>
      </c>
      <c r="B186" t="s">
        <v>512</v>
      </c>
      <c r="C186" t="s">
        <v>4998</v>
      </c>
      <c r="D186" t="s">
        <v>1007</v>
      </c>
      <c r="E186" t="s">
        <v>5482</v>
      </c>
      <c r="F186" t="s">
        <v>5667</v>
      </c>
      <c r="G186">
        <v>9.51</v>
      </c>
      <c r="H186">
        <v>18</v>
      </c>
      <c r="I186">
        <v>187.88</v>
      </c>
      <c r="J186">
        <v>41.03</v>
      </c>
      <c r="K186">
        <v>367.79</v>
      </c>
      <c r="L186">
        <v>0</v>
      </c>
      <c r="M186">
        <v>0</v>
      </c>
      <c r="N186">
        <v>0</v>
      </c>
      <c r="O186">
        <v>0</v>
      </c>
      <c r="P186" s="2">
        <f>(H186 + J186) - (L186 + N186)</f>
        <v>0</v>
      </c>
      <c r="Q186" s="2">
        <f>P186 * G186</f>
        <v>0</v>
      </c>
      <c r="R186">
        <v>33</v>
      </c>
      <c r="S186" s="2">
        <f>R186 * G186</f>
        <v>0</v>
      </c>
      <c r="T186" s="2">
        <f>(H186 + J186) - (L186 + N186) - R186</f>
        <v>0</v>
      </c>
      <c r="U186" s="2">
        <f>T186 * G186</f>
        <v>0</v>
      </c>
      <c r="V186" s="2">
        <f>I186 + K186 - S186</f>
        <v>0</v>
      </c>
      <c r="W186" s="2">
        <f>M186 - V186</f>
        <v>0</v>
      </c>
      <c r="X186" s="2">
        <f>IFERROR(W186 / M186 * 100, 0)</f>
        <v>0</v>
      </c>
    </row>
    <row r="187" spans="1:24">
      <c r="A187" t="s">
        <v>4331</v>
      </c>
      <c r="B187" t="s">
        <v>512</v>
      </c>
      <c r="C187" t="s">
        <v>4999</v>
      </c>
      <c r="D187" t="s">
        <v>1007</v>
      </c>
      <c r="E187" t="s">
        <v>5482</v>
      </c>
      <c r="F187" t="s">
        <v>5668</v>
      </c>
      <c r="G187">
        <v>24.37</v>
      </c>
      <c r="H187">
        <v>0.25</v>
      </c>
      <c r="I187">
        <v>5.48</v>
      </c>
      <c r="J187">
        <v>2.29</v>
      </c>
      <c r="K187">
        <v>57.29</v>
      </c>
      <c r="L187">
        <v>0</v>
      </c>
      <c r="M187">
        <v>0</v>
      </c>
      <c r="N187">
        <v>0</v>
      </c>
      <c r="O187">
        <v>0</v>
      </c>
      <c r="P187" s="2">
        <f>(H187 + J187) - (L187 + N187)</f>
        <v>0</v>
      </c>
      <c r="Q187" s="2">
        <f>P187 * G187</f>
        <v>0</v>
      </c>
      <c r="R187">
        <v>0.25</v>
      </c>
      <c r="S187" s="2">
        <f>R187 * G187</f>
        <v>0</v>
      </c>
      <c r="T187" s="2">
        <f>(H187 + J187) - (L187 + N187) - R187</f>
        <v>0</v>
      </c>
      <c r="U187" s="2">
        <f>T187 * G187</f>
        <v>0</v>
      </c>
      <c r="V187" s="2">
        <f>I187 + K187 - S187</f>
        <v>0</v>
      </c>
      <c r="W187" s="2">
        <f>M187 - V187</f>
        <v>0</v>
      </c>
      <c r="X187" s="2">
        <f>IFERROR(W187 / M187 * 100, 0)</f>
        <v>0</v>
      </c>
    </row>
    <row r="188" spans="1:24">
      <c r="A188" t="s">
        <v>4332</v>
      </c>
      <c r="B188" t="s">
        <v>512</v>
      </c>
      <c r="C188" t="s">
        <v>5000</v>
      </c>
      <c r="D188" t="s">
        <v>1007</v>
      </c>
      <c r="E188" t="s">
        <v>5482</v>
      </c>
      <c r="F188" t="s">
        <v>5669</v>
      </c>
      <c r="G188">
        <v>6.3</v>
      </c>
      <c r="H188">
        <v>40</v>
      </c>
      <c r="I188">
        <v>307.26</v>
      </c>
      <c r="J188">
        <v>100</v>
      </c>
      <c r="K188">
        <v>575</v>
      </c>
      <c r="L188">
        <v>0</v>
      </c>
      <c r="M188">
        <v>0</v>
      </c>
      <c r="N188">
        <v>0</v>
      </c>
      <c r="O188">
        <v>0</v>
      </c>
      <c r="P188" s="2">
        <f>(H188 + J188) - (L188 + N188)</f>
        <v>0</v>
      </c>
      <c r="Q188" s="2">
        <f>P188 * G188</f>
        <v>0</v>
      </c>
      <c r="R188">
        <v>60</v>
      </c>
      <c r="S188" s="2">
        <f>R188 * G188</f>
        <v>0</v>
      </c>
      <c r="T188" s="2">
        <f>(H188 + J188) - (L188 + N188) - R188</f>
        <v>0</v>
      </c>
      <c r="U188" s="2">
        <f>T188 * G188</f>
        <v>0</v>
      </c>
      <c r="V188" s="2">
        <f>I188 + K188 - S188</f>
        <v>0</v>
      </c>
      <c r="W188" s="2">
        <f>M188 - V188</f>
        <v>0</v>
      </c>
      <c r="X188" s="2">
        <f>IFERROR(W188 / M188 * 100, 0)</f>
        <v>0</v>
      </c>
    </row>
    <row r="189" spans="1:24">
      <c r="A189" t="s">
        <v>4333</v>
      </c>
      <c r="B189" t="s">
        <v>512</v>
      </c>
      <c r="C189" t="s">
        <v>5001</v>
      </c>
      <c r="D189" t="s">
        <v>1007</v>
      </c>
      <c r="E189" t="s">
        <v>5482</v>
      </c>
      <c r="F189" t="s">
        <v>5670</v>
      </c>
      <c r="G189">
        <v>2.57</v>
      </c>
      <c r="H189">
        <v>1</v>
      </c>
      <c r="I189">
        <v>2.57</v>
      </c>
      <c r="J189">
        <v>-12.26</v>
      </c>
      <c r="K189">
        <v>-31.51</v>
      </c>
      <c r="L189">
        <v>0</v>
      </c>
      <c r="M189">
        <v>0</v>
      </c>
      <c r="N189">
        <v>0</v>
      </c>
      <c r="O189">
        <v>0</v>
      </c>
      <c r="P189" s="2">
        <f>(H189 + J189) - (L189 + N189)</f>
        <v>0</v>
      </c>
      <c r="Q189" s="2">
        <f>P189 * G189</f>
        <v>0</v>
      </c>
      <c r="R189">
        <v>0.5</v>
      </c>
      <c r="S189" s="2">
        <f>R189 * G189</f>
        <v>0</v>
      </c>
      <c r="T189" s="2">
        <f>(H189 + J189) - (L189 + N189) - R189</f>
        <v>0</v>
      </c>
      <c r="U189" s="2">
        <f>T189 * G189</f>
        <v>0</v>
      </c>
      <c r="V189" s="2">
        <f>I189 + K189 - S189</f>
        <v>0</v>
      </c>
      <c r="W189" s="2">
        <f>M189 - V189</f>
        <v>0</v>
      </c>
      <c r="X189" s="2">
        <f>IFERROR(W189 / M189 * 100, 0)</f>
        <v>0</v>
      </c>
    </row>
    <row r="190" spans="1:24">
      <c r="A190" t="s">
        <v>4334</v>
      </c>
      <c r="B190" t="s">
        <v>512</v>
      </c>
      <c r="C190" t="s">
        <v>5002</v>
      </c>
      <c r="D190" t="s">
        <v>1007</v>
      </c>
      <c r="E190" t="s">
        <v>5482</v>
      </c>
      <c r="F190" t="s">
        <v>5671</v>
      </c>
      <c r="G190">
        <v>7.49</v>
      </c>
      <c r="H190">
        <v>1</v>
      </c>
      <c r="I190">
        <v>10.33</v>
      </c>
      <c r="J190">
        <v>-7.21</v>
      </c>
      <c r="K190">
        <v>-59.97</v>
      </c>
      <c r="L190">
        <v>0</v>
      </c>
      <c r="M190">
        <v>0</v>
      </c>
      <c r="N190">
        <v>0</v>
      </c>
      <c r="O190">
        <v>0</v>
      </c>
      <c r="P190" s="2">
        <f>(H190 + J190) - (L190 + N190)</f>
        <v>0</v>
      </c>
      <c r="Q190" s="2">
        <f>P190 * G190</f>
        <v>0</v>
      </c>
      <c r="R190">
        <v>2</v>
      </c>
      <c r="S190" s="2">
        <f>R190 * G190</f>
        <v>0</v>
      </c>
      <c r="T190" s="2">
        <f>(H190 + J190) - (L190 + N190) - R190</f>
        <v>0</v>
      </c>
      <c r="U190" s="2">
        <f>T190 * G190</f>
        <v>0</v>
      </c>
      <c r="V190" s="2">
        <f>I190 + K190 - S190</f>
        <v>0</v>
      </c>
      <c r="W190" s="2">
        <f>M190 - V190</f>
        <v>0</v>
      </c>
      <c r="X190" s="2">
        <f>IFERROR(W190 / M190 * 100, 0)</f>
        <v>0</v>
      </c>
    </row>
    <row r="191" spans="1:24">
      <c r="A191" t="s">
        <v>4335</v>
      </c>
      <c r="B191" t="s">
        <v>512</v>
      </c>
      <c r="C191" t="s">
        <v>5003</v>
      </c>
      <c r="D191" t="s">
        <v>1007</v>
      </c>
      <c r="E191" t="s">
        <v>5482</v>
      </c>
      <c r="F191" t="s">
        <v>5672</v>
      </c>
      <c r="G191">
        <v>15.17</v>
      </c>
      <c r="H191">
        <v>25</v>
      </c>
      <c r="I191">
        <v>379.2</v>
      </c>
      <c r="J191">
        <v>-6.8</v>
      </c>
      <c r="K191">
        <v>-103.08</v>
      </c>
      <c r="L191">
        <v>0</v>
      </c>
      <c r="M191">
        <v>0</v>
      </c>
      <c r="N191">
        <v>0</v>
      </c>
      <c r="O191">
        <v>0</v>
      </c>
      <c r="P191" s="2">
        <f>(H191 + J191) - (L191 + N191)</f>
        <v>0</v>
      </c>
      <c r="Q191" s="2">
        <f>P191 * G191</f>
        <v>0</v>
      </c>
      <c r="R191">
        <v>15</v>
      </c>
      <c r="S191" s="2">
        <f>R191 * G191</f>
        <v>0</v>
      </c>
      <c r="T191" s="2">
        <f>(H191 + J191) - (L191 + N191) - R191</f>
        <v>0</v>
      </c>
      <c r="U191" s="2">
        <f>T191 * G191</f>
        <v>0</v>
      </c>
      <c r="V191" s="2">
        <f>I191 + K191 - S191</f>
        <v>0</v>
      </c>
      <c r="W191" s="2">
        <f>M191 - V191</f>
        <v>0</v>
      </c>
      <c r="X191" s="2">
        <f>IFERROR(W191 / M191 * 100, 0)</f>
        <v>0</v>
      </c>
    </row>
    <row r="192" spans="1:24">
      <c r="A192" t="s">
        <v>4336</v>
      </c>
      <c r="B192" t="s">
        <v>512</v>
      </c>
      <c r="C192" t="s">
        <v>5004</v>
      </c>
      <c r="D192" t="s">
        <v>1007</v>
      </c>
      <c r="E192" t="s">
        <v>5482</v>
      </c>
      <c r="F192" t="s">
        <v>5673</v>
      </c>
      <c r="G192">
        <v>2.52</v>
      </c>
      <c r="H192">
        <v>2</v>
      </c>
      <c r="I192">
        <v>3.64</v>
      </c>
      <c r="J192">
        <v>55.52</v>
      </c>
      <c r="K192">
        <v>146.67</v>
      </c>
      <c r="L192">
        <v>0</v>
      </c>
      <c r="M192">
        <v>0</v>
      </c>
      <c r="N192">
        <v>0</v>
      </c>
      <c r="O192">
        <v>0</v>
      </c>
      <c r="P192" s="2">
        <f>(H192 + J192) - (L192 + N192)</f>
        <v>0</v>
      </c>
      <c r="Q192" s="2">
        <f>P192 * G192</f>
        <v>0</v>
      </c>
      <c r="R192">
        <v>3</v>
      </c>
      <c r="S192" s="2">
        <f>R192 * G192</f>
        <v>0</v>
      </c>
      <c r="T192" s="2">
        <f>(H192 + J192) - (L192 + N192) - R192</f>
        <v>0</v>
      </c>
      <c r="U192" s="2">
        <f>T192 * G192</f>
        <v>0</v>
      </c>
      <c r="V192" s="2">
        <f>I192 + K192 - S192</f>
        <v>0</v>
      </c>
      <c r="W192" s="2">
        <f>M192 - V192</f>
        <v>0</v>
      </c>
      <c r="X192" s="2">
        <f>IFERROR(W192 / M192 * 100, 0)</f>
        <v>0</v>
      </c>
    </row>
    <row r="193" spans="1:24">
      <c r="A193" t="s">
        <v>4337</v>
      </c>
      <c r="B193" t="s">
        <v>513</v>
      </c>
      <c r="C193" t="s">
        <v>5005</v>
      </c>
      <c r="D193" t="s">
        <v>1008</v>
      </c>
      <c r="E193" t="s">
        <v>5482</v>
      </c>
      <c r="F193" t="s">
        <v>5674</v>
      </c>
      <c r="G193">
        <v>10.32</v>
      </c>
      <c r="H193">
        <v>0</v>
      </c>
      <c r="I193">
        <v>0</v>
      </c>
      <c r="J193">
        <v>58</v>
      </c>
      <c r="K193">
        <v>301.9</v>
      </c>
      <c r="L193">
        <v>45</v>
      </c>
      <c r="M193">
        <v>1710</v>
      </c>
      <c r="N193">
        <v>0</v>
      </c>
      <c r="O193">
        <v>0</v>
      </c>
      <c r="P193" s="2">
        <f>(H193 + J193) - (L193 + N193)</f>
        <v>0</v>
      </c>
      <c r="Q193" s="2">
        <f>P193 * G193</f>
        <v>0</v>
      </c>
      <c r="R193">
        <v>0</v>
      </c>
      <c r="S193" s="2">
        <f>R193 * G193</f>
        <v>0</v>
      </c>
      <c r="T193" s="2">
        <f>(H193 + J193) - (L193 + N193) - R193</f>
        <v>0</v>
      </c>
      <c r="U193" s="2">
        <f>T193 * G193</f>
        <v>0</v>
      </c>
      <c r="V193" s="2">
        <f>I193 + K193 - S193</f>
        <v>0</v>
      </c>
      <c r="W193" s="2">
        <f>M193 - V193</f>
        <v>0</v>
      </c>
      <c r="X193" s="2">
        <f>IFERROR(W193 / M193 * 100, 0)</f>
        <v>0</v>
      </c>
    </row>
    <row r="194" spans="1:24">
      <c r="A194" t="s">
        <v>4338</v>
      </c>
      <c r="B194" t="s">
        <v>513</v>
      </c>
      <c r="C194" t="s">
        <v>5006</v>
      </c>
      <c r="D194" t="s">
        <v>1007</v>
      </c>
      <c r="E194" t="s">
        <v>5482</v>
      </c>
      <c r="F194" t="s">
        <v>5675</v>
      </c>
      <c r="G194">
        <v>3.05</v>
      </c>
      <c r="H194">
        <v>0</v>
      </c>
      <c r="I194">
        <v>0</v>
      </c>
      <c r="J194">
        <v>0</v>
      </c>
      <c r="K194">
        <v>0</v>
      </c>
      <c r="L194">
        <v>8.609999999999999</v>
      </c>
      <c r="M194">
        <v>215.19</v>
      </c>
      <c r="N194">
        <v>0</v>
      </c>
      <c r="O194">
        <v>0</v>
      </c>
      <c r="P194" s="2">
        <f>(H194 + J194) - (L194 + N194)</f>
        <v>0</v>
      </c>
      <c r="Q194" s="2">
        <f>P194 * G194</f>
        <v>0</v>
      </c>
      <c r="R194">
        <v>1.58</v>
      </c>
      <c r="S194" s="2">
        <f>R194 * G194</f>
        <v>0</v>
      </c>
      <c r="T194" s="2">
        <f>(H194 + J194) - (L194 + N194) - R194</f>
        <v>0</v>
      </c>
      <c r="U194" s="2">
        <f>T194 * G194</f>
        <v>0</v>
      </c>
      <c r="V194" s="2">
        <f>I194 + K194 - S194</f>
        <v>0</v>
      </c>
      <c r="W194" s="2">
        <f>M194 - V194</f>
        <v>0</v>
      </c>
      <c r="X194" s="2">
        <f>IFERROR(W194 / M194 * 100, 0)</f>
        <v>0</v>
      </c>
    </row>
    <row r="195" spans="1:24">
      <c r="A195" t="s">
        <v>4339</v>
      </c>
      <c r="B195" t="s">
        <v>513</v>
      </c>
      <c r="C195" t="s">
        <v>5007</v>
      </c>
      <c r="D195" t="s">
        <v>1008</v>
      </c>
      <c r="E195" t="s">
        <v>5482</v>
      </c>
      <c r="F195" t="s">
        <v>5676</v>
      </c>
      <c r="G195">
        <v>1.95</v>
      </c>
      <c r="H195">
        <v>18</v>
      </c>
      <c r="I195">
        <v>35.27</v>
      </c>
      <c r="J195">
        <v>93</v>
      </c>
      <c r="K195">
        <v>187.92</v>
      </c>
      <c r="L195">
        <v>100</v>
      </c>
      <c r="M195">
        <v>425</v>
      </c>
      <c r="N195">
        <v>3</v>
      </c>
      <c r="O195">
        <v>6.44</v>
      </c>
      <c r="P195" s="2">
        <f>(H195 + J195) - (L195 + N195)</f>
        <v>0</v>
      </c>
      <c r="Q195" s="2">
        <f>P195 * G195</f>
        <v>0</v>
      </c>
      <c r="R195">
        <v>14</v>
      </c>
      <c r="S195" s="2">
        <f>R195 * G195</f>
        <v>0</v>
      </c>
      <c r="T195" s="2">
        <f>(H195 + J195) - (L195 + N195) - R195</f>
        <v>0</v>
      </c>
      <c r="U195" s="2">
        <f>T195 * G195</f>
        <v>0</v>
      </c>
      <c r="V195" s="2">
        <f>I195 + K195 - S195</f>
        <v>0</v>
      </c>
      <c r="W195" s="2">
        <f>M195 - V195</f>
        <v>0</v>
      </c>
      <c r="X195" s="2">
        <f>IFERROR(W195 / M195 * 100, 0)</f>
        <v>0</v>
      </c>
    </row>
    <row r="196" spans="1:24">
      <c r="A196" t="s">
        <v>4340</v>
      </c>
      <c r="B196" t="s">
        <v>513</v>
      </c>
      <c r="C196" t="s">
        <v>5008</v>
      </c>
      <c r="D196" t="s">
        <v>1008</v>
      </c>
      <c r="E196" t="s">
        <v>5482</v>
      </c>
      <c r="F196" t="s">
        <v>5677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</v>
      </c>
      <c r="M196">
        <v>18</v>
      </c>
      <c r="N196">
        <v>0</v>
      </c>
      <c r="O196">
        <v>0</v>
      </c>
      <c r="P196" s="2">
        <f>(H196 + J196) - (L196 + N196)</f>
        <v>0</v>
      </c>
      <c r="Q196" s="2">
        <f>P196 * G196</f>
        <v>0</v>
      </c>
      <c r="R196">
        <v>0</v>
      </c>
      <c r="S196" s="2">
        <f>R196 * G196</f>
        <v>0</v>
      </c>
      <c r="T196" s="2">
        <f>(H196 + J196) - (L196 + N196) - R196</f>
        <v>0</v>
      </c>
      <c r="U196" s="2">
        <f>T196 * G196</f>
        <v>0</v>
      </c>
      <c r="V196" s="2">
        <f>I196 + K196 - S196</f>
        <v>0</v>
      </c>
      <c r="W196" s="2">
        <f>M196 - V196</f>
        <v>0</v>
      </c>
      <c r="X196" s="2">
        <f>IFERROR(W196 / M196 * 100, 0)</f>
        <v>0</v>
      </c>
    </row>
    <row r="197" spans="1:24">
      <c r="A197" t="s">
        <v>4341</v>
      </c>
      <c r="B197" t="s">
        <v>513</v>
      </c>
      <c r="C197" t="s">
        <v>5009</v>
      </c>
      <c r="D197" t="s">
        <v>1007</v>
      </c>
      <c r="E197" t="s">
        <v>5482</v>
      </c>
      <c r="F197" t="s">
        <v>5678</v>
      </c>
      <c r="G197">
        <v>14.21</v>
      </c>
      <c r="H197">
        <v>0</v>
      </c>
      <c r="I197">
        <v>0</v>
      </c>
      <c r="J197">
        <v>12.2</v>
      </c>
      <c r="K197">
        <v>164.63</v>
      </c>
      <c r="L197">
        <v>5.81</v>
      </c>
      <c r="M197">
        <v>151.06</v>
      </c>
      <c r="N197">
        <v>0</v>
      </c>
      <c r="O197">
        <v>0</v>
      </c>
      <c r="P197" s="2">
        <f>(H197 + J197) - (L197 + N197)</f>
        <v>0</v>
      </c>
      <c r="Q197" s="2">
        <f>P197 * G197</f>
        <v>0</v>
      </c>
      <c r="R197">
        <v>0.42</v>
      </c>
      <c r="S197" s="2">
        <f>R197 * G197</f>
        <v>0</v>
      </c>
      <c r="T197" s="2">
        <f>(H197 + J197) - (L197 + N197) - R197</f>
        <v>0</v>
      </c>
      <c r="U197" s="2">
        <f>T197 * G197</f>
        <v>0</v>
      </c>
      <c r="V197" s="2">
        <f>I197 + K197 - S197</f>
        <v>0</v>
      </c>
      <c r="W197" s="2">
        <f>M197 - V197</f>
        <v>0</v>
      </c>
      <c r="X197" s="2">
        <f>IFERROR(W197 / M197 * 100, 0)</f>
        <v>0</v>
      </c>
    </row>
    <row r="198" spans="1:24">
      <c r="A198" t="s">
        <v>4342</v>
      </c>
      <c r="B198" t="s">
        <v>513</v>
      </c>
      <c r="C198" t="s">
        <v>5010</v>
      </c>
      <c r="D198" t="s">
        <v>1008</v>
      </c>
      <c r="E198" t="s">
        <v>5482</v>
      </c>
      <c r="F198" t="s">
        <v>5679</v>
      </c>
      <c r="G198">
        <v>1.15</v>
      </c>
      <c r="H198">
        <v>0</v>
      </c>
      <c r="I198">
        <v>0</v>
      </c>
      <c r="J198">
        <v>185</v>
      </c>
      <c r="K198">
        <v>160.54</v>
      </c>
      <c r="L198">
        <v>172</v>
      </c>
      <c r="M198">
        <v>344</v>
      </c>
      <c r="N198">
        <v>0</v>
      </c>
      <c r="O198">
        <v>0</v>
      </c>
      <c r="P198" s="2">
        <f>(H198 + J198) - (L198 + N198)</f>
        <v>0</v>
      </c>
      <c r="Q198" s="2">
        <f>P198 * G198</f>
        <v>0</v>
      </c>
      <c r="R198">
        <v>0</v>
      </c>
      <c r="S198" s="2">
        <f>R198 * G198</f>
        <v>0</v>
      </c>
      <c r="T198" s="2">
        <f>(H198 + J198) - (L198 + N198) - R198</f>
        <v>0</v>
      </c>
      <c r="U198" s="2">
        <f>T198 * G198</f>
        <v>0</v>
      </c>
      <c r="V198" s="2">
        <f>I198 + K198 - S198</f>
        <v>0</v>
      </c>
      <c r="W198" s="2">
        <f>M198 - V198</f>
        <v>0</v>
      </c>
      <c r="X198" s="2">
        <f>IFERROR(W198 / M198 * 100, 0)</f>
        <v>0</v>
      </c>
    </row>
    <row r="199" spans="1:24">
      <c r="A199" t="s">
        <v>4343</v>
      </c>
      <c r="B199" t="s">
        <v>513</v>
      </c>
      <c r="C199" t="s">
        <v>5011</v>
      </c>
      <c r="D199" t="s">
        <v>1008</v>
      </c>
      <c r="E199" t="s">
        <v>5482</v>
      </c>
      <c r="F199" t="s">
        <v>5680</v>
      </c>
      <c r="G199">
        <v>1.99</v>
      </c>
      <c r="H199">
        <v>0</v>
      </c>
      <c r="I199">
        <v>0</v>
      </c>
      <c r="J199">
        <v>18</v>
      </c>
      <c r="K199">
        <v>34.08</v>
      </c>
      <c r="L199">
        <v>12</v>
      </c>
      <c r="M199">
        <v>66</v>
      </c>
      <c r="N199">
        <v>0</v>
      </c>
      <c r="O199">
        <v>0</v>
      </c>
      <c r="P199" s="2">
        <f>(H199 + J199) - (L199 + N199)</f>
        <v>0</v>
      </c>
      <c r="Q199" s="2">
        <f>P199 * G199</f>
        <v>0</v>
      </c>
      <c r="R199">
        <v>2</v>
      </c>
      <c r="S199" s="2">
        <f>R199 * G199</f>
        <v>0</v>
      </c>
      <c r="T199" s="2">
        <f>(H199 + J199) - (L199 + N199) - R199</f>
        <v>0</v>
      </c>
      <c r="U199" s="2">
        <f>T199 * G199</f>
        <v>0</v>
      </c>
      <c r="V199" s="2">
        <f>I199 + K199 - S199</f>
        <v>0</v>
      </c>
      <c r="W199" s="2">
        <f>M199 - V199</f>
        <v>0</v>
      </c>
      <c r="X199" s="2">
        <f>IFERROR(W199 / M199 * 100, 0)</f>
        <v>0</v>
      </c>
    </row>
    <row r="200" spans="1:24">
      <c r="A200" t="s">
        <v>4344</v>
      </c>
      <c r="B200" t="s">
        <v>513</v>
      </c>
      <c r="C200" t="s">
        <v>5012</v>
      </c>
      <c r="D200" t="s">
        <v>1008</v>
      </c>
      <c r="E200" t="s">
        <v>5482</v>
      </c>
      <c r="F200" t="s">
        <v>5681</v>
      </c>
      <c r="G200">
        <v>1.67</v>
      </c>
      <c r="H200">
        <v>0</v>
      </c>
      <c r="I200">
        <v>0</v>
      </c>
      <c r="J200">
        <v>55</v>
      </c>
      <c r="K200">
        <v>90.2</v>
      </c>
      <c r="L200">
        <v>26</v>
      </c>
      <c r="M200">
        <v>104</v>
      </c>
      <c r="N200">
        <v>3</v>
      </c>
      <c r="O200">
        <v>5.08</v>
      </c>
      <c r="P200" s="2">
        <f>(H200 + J200) - (L200 + N200)</f>
        <v>0</v>
      </c>
      <c r="Q200" s="2">
        <f>P200 * G200</f>
        <v>0</v>
      </c>
      <c r="R200">
        <v>0</v>
      </c>
      <c r="S200" s="2">
        <f>R200 * G200</f>
        <v>0</v>
      </c>
      <c r="T200" s="2">
        <f>(H200 + J200) - (L200 + N200) - R200</f>
        <v>0</v>
      </c>
      <c r="U200" s="2">
        <f>T200 * G200</f>
        <v>0</v>
      </c>
      <c r="V200" s="2">
        <f>I200 + K200 - S200</f>
        <v>0</v>
      </c>
      <c r="W200" s="2">
        <f>M200 - V200</f>
        <v>0</v>
      </c>
      <c r="X200" s="2">
        <f>IFERROR(W200 / M200 * 100, 0)</f>
        <v>0</v>
      </c>
    </row>
    <row r="201" spans="1:24">
      <c r="A201" t="s">
        <v>4345</v>
      </c>
      <c r="B201" t="s">
        <v>513</v>
      </c>
      <c r="C201" t="s">
        <v>5013</v>
      </c>
      <c r="D201" t="s">
        <v>1007</v>
      </c>
      <c r="E201" t="s">
        <v>5482</v>
      </c>
      <c r="F201" t="s">
        <v>5682</v>
      </c>
      <c r="G201">
        <v>2.32</v>
      </c>
      <c r="H201">
        <v>8.5</v>
      </c>
      <c r="I201">
        <v>19.73</v>
      </c>
      <c r="J201">
        <v>-1.3</v>
      </c>
      <c r="K201">
        <v>-23.4</v>
      </c>
      <c r="L201">
        <v>12.36</v>
      </c>
      <c r="M201">
        <v>321.36</v>
      </c>
      <c r="N201">
        <v>0</v>
      </c>
      <c r="O201">
        <v>0</v>
      </c>
      <c r="P201" s="2">
        <f>(H201 + J201) - (L201 + N201)</f>
        <v>0</v>
      </c>
      <c r="Q201" s="2">
        <f>P201 * G201</f>
        <v>0</v>
      </c>
      <c r="R201">
        <v>12.21</v>
      </c>
      <c r="S201" s="2">
        <f>R201 * G201</f>
        <v>0</v>
      </c>
      <c r="T201" s="2">
        <f>(H201 + J201) - (L201 + N201) - R201</f>
        <v>0</v>
      </c>
      <c r="U201" s="2">
        <f>T201 * G201</f>
        <v>0</v>
      </c>
      <c r="V201" s="2">
        <f>I201 + K201 - S201</f>
        <v>0</v>
      </c>
      <c r="W201" s="2">
        <f>M201 - V201</f>
        <v>0</v>
      </c>
      <c r="X201" s="2">
        <f>IFERROR(W201 / M201 * 100, 0)</f>
        <v>0</v>
      </c>
    </row>
    <row r="202" spans="1:24">
      <c r="A202" t="s">
        <v>4346</v>
      </c>
      <c r="B202" t="s">
        <v>513</v>
      </c>
      <c r="C202" t="s">
        <v>5014</v>
      </c>
      <c r="D202" t="s">
        <v>1008</v>
      </c>
      <c r="E202" t="s">
        <v>5482</v>
      </c>
      <c r="F202" t="s">
        <v>5683</v>
      </c>
      <c r="G202">
        <v>3.18</v>
      </c>
      <c r="H202">
        <v>0</v>
      </c>
      <c r="I202">
        <v>0</v>
      </c>
      <c r="J202">
        <v>100</v>
      </c>
      <c r="K202">
        <v>318.14</v>
      </c>
      <c r="L202">
        <v>68</v>
      </c>
      <c r="M202">
        <v>374</v>
      </c>
      <c r="N202">
        <v>3</v>
      </c>
      <c r="O202">
        <v>9.460000000000001</v>
      </c>
      <c r="P202" s="2">
        <f>(H202 + J202) - (L202 + N202)</f>
        <v>0</v>
      </c>
      <c r="Q202" s="2">
        <f>P202 * G202</f>
        <v>0</v>
      </c>
      <c r="R202">
        <v>0</v>
      </c>
      <c r="S202" s="2">
        <f>R202 * G202</f>
        <v>0</v>
      </c>
      <c r="T202" s="2">
        <f>(H202 + J202) - (L202 + N202) - R202</f>
        <v>0</v>
      </c>
      <c r="U202" s="2">
        <f>T202 * G202</f>
        <v>0</v>
      </c>
      <c r="V202" s="2">
        <f>I202 + K202 - S202</f>
        <v>0</v>
      </c>
      <c r="W202" s="2">
        <f>M202 - V202</f>
        <v>0</v>
      </c>
      <c r="X202" s="2">
        <f>IFERROR(W202 / M202 * 100, 0)</f>
        <v>0</v>
      </c>
    </row>
    <row r="203" spans="1:24">
      <c r="A203" t="s">
        <v>4347</v>
      </c>
      <c r="B203" t="s">
        <v>513</v>
      </c>
      <c r="C203" t="s">
        <v>5015</v>
      </c>
      <c r="D203" t="s">
        <v>1008</v>
      </c>
      <c r="E203" t="s">
        <v>5482</v>
      </c>
      <c r="F203" t="s">
        <v>5684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30</v>
      </c>
      <c r="M203">
        <v>105</v>
      </c>
      <c r="N203">
        <v>0</v>
      </c>
      <c r="O203">
        <v>0</v>
      </c>
      <c r="P203" s="2">
        <f>(H203 + J203) - (L203 + N203)</f>
        <v>0</v>
      </c>
      <c r="Q203" s="2">
        <f>P203 * G203</f>
        <v>0</v>
      </c>
      <c r="R203">
        <v>0</v>
      </c>
      <c r="S203" s="2">
        <f>R203 * G203</f>
        <v>0</v>
      </c>
      <c r="T203" s="2">
        <f>(H203 + J203) - (L203 + N203) - R203</f>
        <v>0</v>
      </c>
      <c r="U203" s="2">
        <f>T203 * G203</f>
        <v>0</v>
      </c>
      <c r="V203" s="2">
        <f>I203 + K203 - S203</f>
        <v>0</v>
      </c>
      <c r="W203" s="2">
        <f>M203 - V203</f>
        <v>0</v>
      </c>
      <c r="X203" s="2">
        <f>IFERROR(W203 / M203 * 100, 0)</f>
        <v>0</v>
      </c>
    </row>
    <row r="204" spans="1:24">
      <c r="A204" t="s">
        <v>4348</v>
      </c>
      <c r="B204" t="s">
        <v>513</v>
      </c>
      <c r="C204" t="s">
        <v>5016</v>
      </c>
      <c r="D204" t="s">
        <v>1008</v>
      </c>
      <c r="E204" t="s">
        <v>5482</v>
      </c>
      <c r="F204" t="s">
        <v>5685</v>
      </c>
      <c r="G204">
        <v>1.12</v>
      </c>
      <c r="H204">
        <v>13</v>
      </c>
      <c r="I204">
        <v>7.43</v>
      </c>
      <c r="J204">
        <v>54</v>
      </c>
      <c r="K204">
        <v>56.78</v>
      </c>
      <c r="L204">
        <v>22</v>
      </c>
      <c r="M204">
        <v>121</v>
      </c>
      <c r="N204">
        <v>0</v>
      </c>
      <c r="O204">
        <v>0</v>
      </c>
      <c r="P204" s="2">
        <f>(H204 + J204) - (L204 + N204)</f>
        <v>0</v>
      </c>
      <c r="Q204" s="2">
        <f>P204 * G204</f>
        <v>0</v>
      </c>
      <c r="R204">
        <v>7</v>
      </c>
      <c r="S204" s="2">
        <f>R204 * G204</f>
        <v>0</v>
      </c>
      <c r="T204" s="2">
        <f>(H204 + J204) - (L204 + N204) - R204</f>
        <v>0</v>
      </c>
      <c r="U204" s="2">
        <f>T204 * G204</f>
        <v>0</v>
      </c>
      <c r="V204" s="2">
        <f>I204 + K204 - S204</f>
        <v>0</v>
      </c>
      <c r="W204" s="2">
        <f>M204 - V204</f>
        <v>0</v>
      </c>
      <c r="X204" s="2">
        <f>IFERROR(W204 / M204 * 100, 0)</f>
        <v>0</v>
      </c>
    </row>
    <row r="205" spans="1:24">
      <c r="A205" t="s">
        <v>4349</v>
      </c>
      <c r="B205" t="s">
        <v>512</v>
      </c>
      <c r="C205" t="s">
        <v>5017</v>
      </c>
      <c r="D205" t="s">
        <v>1007</v>
      </c>
      <c r="E205" t="s">
        <v>5482</v>
      </c>
      <c r="F205" t="s">
        <v>5686</v>
      </c>
      <c r="G205">
        <v>9.69</v>
      </c>
      <c r="H205">
        <v>22</v>
      </c>
      <c r="I205">
        <v>334.93</v>
      </c>
      <c r="J205">
        <v>112.33</v>
      </c>
      <c r="K205">
        <v>1012.55</v>
      </c>
      <c r="L205">
        <v>0</v>
      </c>
      <c r="M205">
        <v>0</v>
      </c>
      <c r="N205">
        <v>0</v>
      </c>
      <c r="O205">
        <v>0</v>
      </c>
      <c r="P205" s="2">
        <f>(H205 + J205) - (L205 + N205)</f>
        <v>0</v>
      </c>
      <c r="Q205" s="2">
        <f>P205 * G205</f>
        <v>0</v>
      </c>
      <c r="R205">
        <v>31</v>
      </c>
      <c r="S205" s="2">
        <f>R205 * G205</f>
        <v>0</v>
      </c>
      <c r="T205" s="2">
        <f>(H205 + J205) - (L205 + N205) - R205</f>
        <v>0</v>
      </c>
      <c r="U205" s="2">
        <f>T205 * G205</f>
        <v>0</v>
      </c>
      <c r="V205" s="2">
        <f>I205 + K205 - S205</f>
        <v>0</v>
      </c>
      <c r="W205" s="2">
        <f>M205 - V205</f>
        <v>0</v>
      </c>
      <c r="X205" s="2">
        <f>IFERROR(W205 / M205 * 100, 0)</f>
        <v>0</v>
      </c>
    </row>
    <row r="206" spans="1:24">
      <c r="A206" t="s">
        <v>4350</v>
      </c>
      <c r="B206" t="s">
        <v>512</v>
      </c>
      <c r="C206" t="s">
        <v>5018</v>
      </c>
      <c r="D206" t="s">
        <v>1007</v>
      </c>
      <c r="E206" t="s">
        <v>5482</v>
      </c>
      <c r="F206" t="s">
        <v>5687</v>
      </c>
      <c r="G206">
        <v>2.19</v>
      </c>
      <c r="H206">
        <v>650</v>
      </c>
      <c r="I206">
        <v>1548.25</v>
      </c>
      <c r="J206">
        <v>-545.6</v>
      </c>
      <c r="K206">
        <v>-1362.53</v>
      </c>
      <c r="L206">
        <v>0</v>
      </c>
      <c r="M206">
        <v>0</v>
      </c>
      <c r="N206">
        <v>0</v>
      </c>
      <c r="O206">
        <v>0</v>
      </c>
      <c r="P206" s="2">
        <f>(H206 + J206) - (L206 + N206)</f>
        <v>0</v>
      </c>
      <c r="Q206" s="2">
        <f>P206 * G206</f>
        <v>0</v>
      </c>
      <c r="R206">
        <v>700</v>
      </c>
      <c r="S206" s="2">
        <f>R206 * G206</f>
        <v>0</v>
      </c>
      <c r="T206" s="2">
        <f>(H206 + J206) - (L206 + N206) - R206</f>
        <v>0</v>
      </c>
      <c r="U206" s="2">
        <f>T206 * G206</f>
        <v>0</v>
      </c>
      <c r="V206" s="2">
        <f>I206 + K206 - S206</f>
        <v>0</v>
      </c>
      <c r="W206" s="2">
        <f>M206 - V206</f>
        <v>0</v>
      </c>
      <c r="X206" s="2">
        <f>IFERROR(W206 / M206 * 100, 0)</f>
        <v>0</v>
      </c>
    </row>
    <row r="207" spans="1:24">
      <c r="A207" t="s">
        <v>4351</v>
      </c>
      <c r="B207" t="s">
        <v>512</v>
      </c>
      <c r="C207" t="s">
        <v>5019</v>
      </c>
      <c r="D207" t="s">
        <v>1007</v>
      </c>
      <c r="E207" t="s">
        <v>5482</v>
      </c>
      <c r="F207" t="s">
        <v>5688</v>
      </c>
      <c r="G207">
        <v>0.74</v>
      </c>
      <c r="H207">
        <v>0</v>
      </c>
      <c r="I207">
        <v>0</v>
      </c>
      <c r="J207">
        <v>58.33</v>
      </c>
      <c r="K207">
        <v>48.47</v>
      </c>
      <c r="L207">
        <v>0</v>
      </c>
      <c r="M207">
        <v>0</v>
      </c>
      <c r="N207">
        <v>0</v>
      </c>
      <c r="O207">
        <v>0</v>
      </c>
      <c r="P207" s="2">
        <f>(H207 + J207) - (L207 + N207)</f>
        <v>0</v>
      </c>
      <c r="Q207" s="2">
        <f>P207 * G207</f>
        <v>0</v>
      </c>
      <c r="R207">
        <v>0</v>
      </c>
      <c r="S207" s="2">
        <f>R207 * G207</f>
        <v>0</v>
      </c>
      <c r="T207" s="2">
        <f>(H207 + J207) - (L207 + N207) - R207</f>
        <v>0</v>
      </c>
      <c r="U207" s="2">
        <f>T207 * G207</f>
        <v>0</v>
      </c>
      <c r="V207" s="2">
        <f>I207 + K207 - S207</f>
        <v>0</v>
      </c>
      <c r="W207" s="2">
        <f>M207 - V207</f>
        <v>0</v>
      </c>
      <c r="X207" s="2">
        <f>IFERROR(W207 / M207 * 100, 0)</f>
        <v>0</v>
      </c>
    </row>
    <row r="208" spans="1:24">
      <c r="A208" t="s">
        <v>4352</v>
      </c>
      <c r="B208" t="s">
        <v>512</v>
      </c>
      <c r="C208" t="s">
        <v>5020</v>
      </c>
      <c r="D208" t="s">
        <v>1007</v>
      </c>
      <c r="E208" t="s">
        <v>5482</v>
      </c>
      <c r="F208" t="s">
        <v>5689</v>
      </c>
      <c r="G208">
        <v>7.23</v>
      </c>
      <c r="H208">
        <v>1</v>
      </c>
      <c r="I208">
        <v>6.9</v>
      </c>
      <c r="J208">
        <v>7.8</v>
      </c>
      <c r="K208">
        <v>56.71</v>
      </c>
      <c r="L208">
        <v>0</v>
      </c>
      <c r="M208">
        <v>0</v>
      </c>
      <c r="N208">
        <v>0</v>
      </c>
      <c r="O208">
        <v>0</v>
      </c>
      <c r="P208" s="2">
        <f>(H208 + J208) - (L208 + N208)</f>
        <v>0</v>
      </c>
      <c r="Q208" s="2">
        <f>P208 * G208</f>
        <v>0</v>
      </c>
      <c r="R208">
        <v>1</v>
      </c>
      <c r="S208" s="2">
        <f>R208 * G208</f>
        <v>0</v>
      </c>
      <c r="T208" s="2">
        <f>(H208 + J208) - (L208 + N208) - R208</f>
        <v>0</v>
      </c>
      <c r="U208" s="2">
        <f>T208 * G208</f>
        <v>0</v>
      </c>
      <c r="V208" s="2">
        <f>I208 + K208 - S208</f>
        <v>0</v>
      </c>
      <c r="W208" s="2">
        <f>M208 - V208</f>
        <v>0</v>
      </c>
      <c r="X208" s="2">
        <f>IFERROR(W208 / M208 * 100, 0)</f>
        <v>0</v>
      </c>
    </row>
    <row r="209" spans="1:24">
      <c r="A209" t="s">
        <v>4353</v>
      </c>
      <c r="B209" t="s">
        <v>512</v>
      </c>
      <c r="C209" t="s">
        <v>5021</v>
      </c>
      <c r="D209" t="s">
        <v>1007</v>
      </c>
      <c r="E209" t="s">
        <v>5482</v>
      </c>
      <c r="F209" t="s">
        <v>5690</v>
      </c>
      <c r="G209">
        <v>50</v>
      </c>
      <c r="H209">
        <v>0</v>
      </c>
      <c r="I209">
        <v>0</v>
      </c>
      <c r="J209">
        <v>7.12</v>
      </c>
      <c r="K209">
        <v>355.54</v>
      </c>
      <c r="L209">
        <v>0</v>
      </c>
      <c r="M209">
        <v>0</v>
      </c>
      <c r="N209">
        <v>0</v>
      </c>
      <c r="O209">
        <v>0</v>
      </c>
      <c r="P209" s="2">
        <f>(H209 + J209) - (L209 + N209)</f>
        <v>0</v>
      </c>
      <c r="Q209" s="2">
        <f>P209 * G209</f>
        <v>0</v>
      </c>
      <c r="R209">
        <v>0</v>
      </c>
      <c r="S209" s="2">
        <f>R209 * G209</f>
        <v>0</v>
      </c>
      <c r="T209" s="2">
        <f>(H209 + J209) - (L209 + N209) - R209</f>
        <v>0</v>
      </c>
      <c r="U209" s="2">
        <f>T209 * G209</f>
        <v>0</v>
      </c>
      <c r="V209" s="2">
        <f>I209 + K209 - S209</f>
        <v>0</v>
      </c>
      <c r="W209" s="2">
        <f>M209 - V209</f>
        <v>0</v>
      </c>
      <c r="X209" s="2">
        <f>IFERROR(W209 / M209 * 100, 0)</f>
        <v>0</v>
      </c>
    </row>
    <row r="210" spans="1:24">
      <c r="A210" t="s">
        <v>4354</v>
      </c>
      <c r="B210" t="s">
        <v>512</v>
      </c>
      <c r="C210" t="s">
        <v>5022</v>
      </c>
      <c r="D210" t="s">
        <v>1008</v>
      </c>
      <c r="E210" t="s">
        <v>5482</v>
      </c>
      <c r="F210" t="s">
        <v>5691</v>
      </c>
      <c r="G210">
        <v>105</v>
      </c>
      <c r="H210">
        <v>0</v>
      </c>
      <c r="I210">
        <v>0</v>
      </c>
      <c r="J210">
        <v>2</v>
      </c>
      <c r="K210">
        <v>210</v>
      </c>
      <c r="L210">
        <v>0</v>
      </c>
      <c r="M210">
        <v>0</v>
      </c>
      <c r="N210">
        <v>0</v>
      </c>
      <c r="O210">
        <v>0</v>
      </c>
      <c r="P210" s="2">
        <f>(H210 + J210) - (L210 + N210)</f>
        <v>0</v>
      </c>
      <c r="Q210" s="2">
        <f>P210 * G210</f>
        <v>0</v>
      </c>
      <c r="R210">
        <v>2</v>
      </c>
      <c r="S210" s="2">
        <f>R210 * G210</f>
        <v>0</v>
      </c>
      <c r="T210" s="2">
        <f>(H210 + J210) - (L210 + N210) - R210</f>
        <v>0</v>
      </c>
      <c r="U210" s="2">
        <f>T210 * G210</f>
        <v>0</v>
      </c>
      <c r="V210" s="2">
        <f>I210 + K210 - S210</f>
        <v>0</v>
      </c>
      <c r="W210" s="2">
        <f>M210 - V210</f>
        <v>0</v>
      </c>
      <c r="X210" s="2">
        <f>IFERROR(W210 / M210 * 100, 0)</f>
        <v>0</v>
      </c>
    </row>
    <row r="211" spans="1:24">
      <c r="A211" t="s">
        <v>4355</v>
      </c>
      <c r="B211" t="s">
        <v>512</v>
      </c>
      <c r="C211" t="s">
        <v>5023</v>
      </c>
      <c r="D211" t="s">
        <v>1007</v>
      </c>
      <c r="E211" t="s">
        <v>5482</v>
      </c>
      <c r="F211" t="s">
        <v>5692</v>
      </c>
      <c r="G211">
        <v>8.380000000000001</v>
      </c>
      <c r="H211">
        <v>20</v>
      </c>
      <c r="I211">
        <v>166.13</v>
      </c>
      <c r="J211">
        <v>40</v>
      </c>
      <c r="K211">
        <v>340</v>
      </c>
      <c r="L211">
        <v>0</v>
      </c>
      <c r="M211">
        <v>0</v>
      </c>
      <c r="N211">
        <v>0</v>
      </c>
      <c r="O211">
        <v>0</v>
      </c>
      <c r="P211" s="2">
        <f>(H211 + J211) - (L211 + N211)</f>
        <v>0</v>
      </c>
      <c r="Q211" s="2">
        <f>P211 * G211</f>
        <v>0</v>
      </c>
      <c r="R211">
        <v>40</v>
      </c>
      <c r="S211" s="2">
        <f>R211 * G211</f>
        <v>0</v>
      </c>
      <c r="T211" s="2">
        <f>(H211 + J211) - (L211 + N211) - R211</f>
        <v>0</v>
      </c>
      <c r="U211" s="2">
        <f>T211 * G211</f>
        <v>0</v>
      </c>
      <c r="V211" s="2">
        <f>I211 + K211 - S211</f>
        <v>0</v>
      </c>
      <c r="W211" s="2">
        <f>M211 - V211</f>
        <v>0</v>
      </c>
      <c r="X211" s="2">
        <f>IFERROR(W211 / M211 * 100, 0)</f>
        <v>0</v>
      </c>
    </row>
    <row r="212" spans="1:24">
      <c r="A212" t="s">
        <v>4356</v>
      </c>
      <c r="B212" t="s">
        <v>512</v>
      </c>
      <c r="C212" t="s">
        <v>5024</v>
      </c>
      <c r="D212" t="s">
        <v>1008</v>
      </c>
      <c r="E212" t="s">
        <v>5482</v>
      </c>
      <c r="F212" t="s">
        <v>5693</v>
      </c>
      <c r="G212">
        <v>0.5600000000000001</v>
      </c>
      <c r="H212">
        <v>10</v>
      </c>
      <c r="I212">
        <v>5.56</v>
      </c>
      <c r="J212">
        <v>-73</v>
      </c>
      <c r="K212">
        <v>-40.56</v>
      </c>
      <c r="L212">
        <v>0</v>
      </c>
      <c r="M212">
        <v>0</v>
      </c>
      <c r="N212">
        <v>0</v>
      </c>
      <c r="O212">
        <v>0</v>
      </c>
      <c r="P212" s="2">
        <f>(H212 + J212) - (L212 + N212)</f>
        <v>0</v>
      </c>
      <c r="Q212" s="2">
        <f>P212 * G212</f>
        <v>0</v>
      </c>
      <c r="R212">
        <v>10</v>
      </c>
      <c r="S212" s="2">
        <f>R212 * G212</f>
        <v>0</v>
      </c>
      <c r="T212" s="2">
        <f>(H212 + J212) - (L212 + N212) - R212</f>
        <v>0</v>
      </c>
      <c r="U212" s="2">
        <f>T212 * G212</f>
        <v>0</v>
      </c>
      <c r="V212" s="2">
        <f>I212 + K212 - S212</f>
        <v>0</v>
      </c>
      <c r="W212" s="2">
        <f>M212 - V212</f>
        <v>0</v>
      </c>
      <c r="X212" s="2">
        <f>IFERROR(W212 / M212 * 100, 0)</f>
        <v>0</v>
      </c>
    </row>
    <row r="213" spans="1:24">
      <c r="A213" t="s">
        <v>4357</v>
      </c>
      <c r="B213" t="s">
        <v>512</v>
      </c>
      <c r="C213" t="s">
        <v>5025</v>
      </c>
      <c r="D213" t="s">
        <v>1007</v>
      </c>
      <c r="E213" t="s">
        <v>5482</v>
      </c>
      <c r="F213" t="s">
        <v>5694</v>
      </c>
      <c r="G213">
        <v>50.3</v>
      </c>
      <c r="H213">
        <v>0</v>
      </c>
      <c r="I213">
        <v>0</v>
      </c>
      <c r="J213">
        <v>0.16</v>
      </c>
      <c r="K213">
        <v>8.050000000000001</v>
      </c>
      <c r="L213">
        <v>0</v>
      </c>
      <c r="M213">
        <v>0</v>
      </c>
      <c r="N213">
        <v>0</v>
      </c>
      <c r="O213">
        <v>0</v>
      </c>
      <c r="P213" s="2">
        <f>(H213 + J213) - (L213 + N213)</f>
        <v>0</v>
      </c>
      <c r="Q213" s="2">
        <f>P213 * G213</f>
        <v>0</v>
      </c>
      <c r="R213">
        <v>0</v>
      </c>
      <c r="S213" s="2">
        <f>R213 * G213</f>
        <v>0</v>
      </c>
      <c r="T213" s="2">
        <f>(H213 + J213) - (L213 + N213) - R213</f>
        <v>0</v>
      </c>
      <c r="U213" s="2">
        <f>T213 * G213</f>
        <v>0</v>
      </c>
      <c r="V213" s="2">
        <f>I213 + K213 - S213</f>
        <v>0</v>
      </c>
      <c r="W213" s="2">
        <f>M213 - V213</f>
        <v>0</v>
      </c>
      <c r="X213" s="2">
        <f>IFERROR(W213 / M213 * 100, 0)</f>
        <v>0</v>
      </c>
    </row>
    <row r="214" spans="1:24">
      <c r="A214" t="s">
        <v>4358</v>
      </c>
      <c r="B214" t="s">
        <v>513</v>
      </c>
      <c r="C214" t="s">
        <v>5026</v>
      </c>
      <c r="D214" t="s">
        <v>1008</v>
      </c>
      <c r="E214" t="s">
        <v>5482</v>
      </c>
      <c r="F214" t="s">
        <v>5695</v>
      </c>
      <c r="G214">
        <v>0.64</v>
      </c>
      <c r="H214">
        <v>29</v>
      </c>
      <c r="I214">
        <v>19.47</v>
      </c>
      <c r="J214">
        <v>208</v>
      </c>
      <c r="K214">
        <v>124.89</v>
      </c>
      <c r="L214">
        <v>209</v>
      </c>
      <c r="M214">
        <v>313.5</v>
      </c>
      <c r="N214">
        <v>0</v>
      </c>
      <c r="O214">
        <v>0</v>
      </c>
      <c r="P214" s="2">
        <f>(H214 + J214) - (L214 + N214)</f>
        <v>0</v>
      </c>
      <c r="Q214" s="2">
        <f>P214 * G214</f>
        <v>0</v>
      </c>
      <c r="R214">
        <v>14</v>
      </c>
      <c r="S214" s="2">
        <f>R214 * G214</f>
        <v>0</v>
      </c>
      <c r="T214" s="2">
        <f>(H214 + J214) - (L214 + N214) - R214</f>
        <v>0</v>
      </c>
      <c r="U214" s="2">
        <f>T214 * G214</f>
        <v>0</v>
      </c>
      <c r="V214" s="2">
        <f>I214 + K214 - S214</f>
        <v>0</v>
      </c>
      <c r="W214" s="2">
        <f>M214 - V214</f>
        <v>0</v>
      </c>
      <c r="X214" s="2">
        <f>IFERROR(W214 / M214 * 100, 0)</f>
        <v>0</v>
      </c>
    </row>
    <row r="215" spans="1:24">
      <c r="A215" t="s">
        <v>4359</v>
      </c>
      <c r="B215" t="s">
        <v>512</v>
      </c>
      <c r="C215" t="s">
        <v>5027</v>
      </c>
      <c r="D215" t="s">
        <v>1008</v>
      </c>
      <c r="E215" t="s">
        <v>5482</v>
      </c>
      <c r="F215" t="s">
        <v>5696</v>
      </c>
      <c r="G215">
        <v>0.3</v>
      </c>
      <c r="H215">
        <v>0</v>
      </c>
      <c r="I215">
        <v>0</v>
      </c>
      <c r="J215">
        <v>0</v>
      </c>
      <c r="K215">
        <v>0</v>
      </c>
      <c r="L215">
        <v>51</v>
      </c>
      <c r="M215">
        <v>38.25</v>
      </c>
      <c r="N215">
        <v>0</v>
      </c>
      <c r="O215">
        <v>0</v>
      </c>
      <c r="P215" s="2">
        <f>(H215 + J215) - (L215 + N215)</f>
        <v>0</v>
      </c>
      <c r="Q215" s="2">
        <f>P215 * G215</f>
        <v>0</v>
      </c>
      <c r="R215">
        <v>0</v>
      </c>
      <c r="S215" s="2">
        <f>R215 * G215</f>
        <v>0</v>
      </c>
      <c r="T215" s="2">
        <f>(H215 + J215) - (L215 + N215) - R215</f>
        <v>0</v>
      </c>
      <c r="U215" s="2">
        <f>T215 * G215</f>
        <v>0</v>
      </c>
      <c r="V215" s="2">
        <f>I215 + K215 - S215</f>
        <v>0</v>
      </c>
      <c r="W215" s="2">
        <f>M215 - V215</f>
        <v>0</v>
      </c>
      <c r="X215" s="2">
        <f>IFERROR(W215 / M215 * 100, 0)</f>
        <v>0</v>
      </c>
    </row>
    <row r="216" spans="1:24">
      <c r="A216" t="s">
        <v>4360</v>
      </c>
      <c r="B216" t="s">
        <v>512</v>
      </c>
      <c r="C216" t="s">
        <v>5028</v>
      </c>
      <c r="D216" t="s">
        <v>1008</v>
      </c>
      <c r="E216" t="s">
        <v>5482</v>
      </c>
      <c r="F216" t="s">
        <v>5697</v>
      </c>
      <c r="G216">
        <v>5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3.75</v>
      </c>
      <c r="N216">
        <v>0</v>
      </c>
      <c r="O216">
        <v>0</v>
      </c>
      <c r="P216" s="2">
        <f>(H216 + J216) - (L216 + N216)</f>
        <v>0</v>
      </c>
      <c r="Q216" s="2">
        <f>P216 * G216</f>
        <v>0</v>
      </c>
      <c r="R216">
        <v>0</v>
      </c>
      <c r="S216" s="2">
        <f>R216 * G216</f>
        <v>0</v>
      </c>
      <c r="T216" s="2">
        <f>(H216 + J216) - (L216 + N216) - R216</f>
        <v>0</v>
      </c>
      <c r="U216" s="2">
        <f>T216 * G216</f>
        <v>0</v>
      </c>
      <c r="V216" s="2">
        <f>I216 + K216 - S216</f>
        <v>0</v>
      </c>
      <c r="W216" s="2">
        <f>M216 - V216</f>
        <v>0</v>
      </c>
      <c r="X216" s="2">
        <f>IFERROR(W216 / M216 * 100, 0)</f>
        <v>0</v>
      </c>
    </row>
    <row r="217" spans="1:24">
      <c r="A217" t="s">
        <v>4361</v>
      </c>
      <c r="B217" t="s">
        <v>513</v>
      </c>
      <c r="C217" t="s">
        <v>5029</v>
      </c>
      <c r="D217" t="s">
        <v>1008</v>
      </c>
      <c r="E217" t="s">
        <v>5482</v>
      </c>
      <c r="F217" t="s">
        <v>5698</v>
      </c>
      <c r="G217">
        <v>22.33</v>
      </c>
      <c r="H217">
        <v>1</v>
      </c>
      <c r="I217">
        <v>22.33</v>
      </c>
      <c r="J217">
        <v>9</v>
      </c>
      <c r="K217">
        <v>201.01</v>
      </c>
      <c r="L217">
        <v>13</v>
      </c>
      <c r="M217">
        <v>910</v>
      </c>
      <c r="N217">
        <v>0</v>
      </c>
      <c r="O217">
        <v>0</v>
      </c>
      <c r="P217" s="2">
        <f>(H217 + J217) - (L217 + N217)</f>
        <v>0</v>
      </c>
      <c r="Q217" s="2">
        <f>P217 * G217</f>
        <v>0</v>
      </c>
      <c r="R217">
        <v>2</v>
      </c>
      <c r="S217" s="2">
        <f>R217 * G217</f>
        <v>0</v>
      </c>
      <c r="T217" s="2">
        <f>(H217 + J217) - (L217 + N217) - R217</f>
        <v>0</v>
      </c>
      <c r="U217" s="2">
        <f>T217 * G217</f>
        <v>0</v>
      </c>
      <c r="V217" s="2">
        <f>I217 + K217 - S217</f>
        <v>0</v>
      </c>
      <c r="W217" s="2">
        <f>M217 - V217</f>
        <v>0</v>
      </c>
      <c r="X217" s="2">
        <f>IFERROR(W217 / M217 * 100, 0)</f>
        <v>0</v>
      </c>
    </row>
    <row r="218" spans="1:24">
      <c r="A218" t="s">
        <v>4362</v>
      </c>
      <c r="B218" t="s">
        <v>513</v>
      </c>
      <c r="C218" t="s">
        <v>5030</v>
      </c>
      <c r="D218" t="s">
        <v>1008</v>
      </c>
      <c r="E218" t="s">
        <v>5482</v>
      </c>
      <c r="F218" t="s">
        <v>5699</v>
      </c>
      <c r="G218">
        <v>3.91</v>
      </c>
      <c r="H218">
        <v>30</v>
      </c>
      <c r="I218">
        <v>115.8</v>
      </c>
      <c r="J218">
        <v>302</v>
      </c>
      <c r="K218">
        <v>814.36</v>
      </c>
      <c r="L218">
        <v>260</v>
      </c>
      <c r="M218">
        <v>1040</v>
      </c>
      <c r="N218">
        <v>0</v>
      </c>
      <c r="O218">
        <v>0</v>
      </c>
      <c r="P218" s="2">
        <f>(H218 + J218) - (L218 + N218)</f>
        <v>0</v>
      </c>
      <c r="Q218" s="2">
        <f>P218 * G218</f>
        <v>0</v>
      </c>
      <c r="R218">
        <v>23</v>
      </c>
      <c r="S218" s="2">
        <f>R218 * G218</f>
        <v>0</v>
      </c>
      <c r="T218" s="2">
        <f>(H218 + J218) - (L218 + N218) - R218</f>
        <v>0</v>
      </c>
      <c r="U218" s="2">
        <f>T218 * G218</f>
        <v>0</v>
      </c>
      <c r="V218" s="2">
        <f>I218 + K218 - S218</f>
        <v>0</v>
      </c>
      <c r="W218" s="2">
        <f>M218 - V218</f>
        <v>0</v>
      </c>
      <c r="X218" s="2">
        <f>IFERROR(W218 / M218 * 100, 0)</f>
        <v>0</v>
      </c>
    </row>
    <row r="219" spans="1:24">
      <c r="A219" t="s">
        <v>4363</v>
      </c>
      <c r="B219" t="s">
        <v>513</v>
      </c>
      <c r="C219" t="s">
        <v>5031</v>
      </c>
      <c r="D219" t="s">
        <v>1008</v>
      </c>
      <c r="E219" t="s">
        <v>5482</v>
      </c>
      <c r="F219" t="s">
        <v>5700</v>
      </c>
      <c r="G219">
        <v>5.46</v>
      </c>
      <c r="H219">
        <v>72</v>
      </c>
      <c r="I219">
        <v>386.1</v>
      </c>
      <c r="J219">
        <v>77</v>
      </c>
      <c r="K219">
        <v>344.48</v>
      </c>
      <c r="L219">
        <v>134</v>
      </c>
      <c r="M219">
        <v>804</v>
      </c>
      <c r="N219">
        <v>7</v>
      </c>
      <c r="O219">
        <v>30.38</v>
      </c>
      <c r="P219" s="2">
        <f>(H219 + J219) - (L219 + N219)</f>
        <v>0</v>
      </c>
      <c r="Q219" s="2">
        <f>P219 * G219</f>
        <v>0</v>
      </c>
      <c r="R219">
        <v>85</v>
      </c>
      <c r="S219" s="2">
        <f>R219 * G219</f>
        <v>0</v>
      </c>
      <c r="T219" s="2">
        <f>(H219 + J219) - (L219 + N219) - R219</f>
        <v>0</v>
      </c>
      <c r="U219" s="2">
        <f>T219 * G219</f>
        <v>0</v>
      </c>
      <c r="V219" s="2">
        <f>I219 + K219 - S219</f>
        <v>0</v>
      </c>
      <c r="W219" s="2">
        <f>M219 - V219</f>
        <v>0</v>
      </c>
      <c r="X219" s="2">
        <f>IFERROR(W219 / M219 * 100, 0)</f>
        <v>0</v>
      </c>
    </row>
    <row r="220" spans="1:24">
      <c r="A220" t="s">
        <v>4364</v>
      </c>
      <c r="B220" t="s">
        <v>513</v>
      </c>
      <c r="C220" t="s">
        <v>5032</v>
      </c>
      <c r="D220" t="s">
        <v>1008</v>
      </c>
      <c r="E220" t="s">
        <v>5482</v>
      </c>
      <c r="F220" t="s">
        <v>5701</v>
      </c>
      <c r="G220">
        <v>2.36</v>
      </c>
      <c r="H220">
        <v>5</v>
      </c>
      <c r="I220">
        <v>9.98</v>
      </c>
      <c r="J220">
        <v>69</v>
      </c>
      <c r="K220">
        <v>140.04</v>
      </c>
      <c r="L220">
        <v>50</v>
      </c>
      <c r="M220">
        <v>175</v>
      </c>
      <c r="N220">
        <v>0</v>
      </c>
      <c r="O220">
        <v>0</v>
      </c>
      <c r="P220" s="2">
        <f>(H220 + J220) - (L220 + N220)</f>
        <v>0</v>
      </c>
      <c r="Q220" s="2">
        <f>P220 * G220</f>
        <v>0</v>
      </c>
      <c r="R220">
        <v>0</v>
      </c>
      <c r="S220" s="2">
        <f>R220 * G220</f>
        <v>0</v>
      </c>
      <c r="T220" s="2">
        <f>(H220 + J220) - (L220 + N220) - R220</f>
        <v>0</v>
      </c>
      <c r="U220" s="2">
        <f>T220 * G220</f>
        <v>0</v>
      </c>
      <c r="V220" s="2">
        <f>I220 + K220 - S220</f>
        <v>0</v>
      </c>
      <c r="W220" s="2">
        <f>M220 - V220</f>
        <v>0</v>
      </c>
      <c r="X220" s="2">
        <f>IFERROR(W220 / M220 * 100, 0)</f>
        <v>0</v>
      </c>
    </row>
    <row r="221" spans="1:24">
      <c r="A221" t="s">
        <v>4365</v>
      </c>
      <c r="B221" t="s">
        <v>513</v>
      </c>
      <c r="C221" t="s">
        <v>5033</v>
      </c>
      <c r="D221" t="s">
        <v>1008</v>
      </c>
      <c r="E221" t="s">
        <v>5482</v>
      </c>
      <c r="F221" t="s">
        <v>5702</v>
      </c>
      <c r="G221">
        <v>35.82</v>
      </c>
      <c r="H221">
        <v>0</v>
      </c>
      <c r="I221">
        <v>0</v>
      </c>
      <c r="J221">
        <v>15</v>
      </c>
      <c r="K221">
        <v>591.58</v>
      </c>
      <c r="L221">
        <v>14</v>
      </c>
      <c r="M221">
        <v>1050</v>
      </c>
      <c r="N221">
        <v>0</v>
      </c>
      <c r="O221">
        <v>0</v>
      </c>
      <c r="P221" s="2">
        <f>(H221 + J221) - (L221 + N221)</f>
        <v>0</v>
      </c>
      <c r="Q221" s="2">
        <f>P221 * G221</f>
        <v>0</v>
      </c>
      <c r="R221">
        <v>1</v>
      </c>
      <c r="S221" s="2">
        <f>R221 * G221</f>
        <v>0</v>
      </c>
      <c r="T221" s="2">
        <f>(H221 + J221) - (L221 + N221) - R221</f>
        <v>0</v>
      </c>
      <c r="U221" s="2">
        <f>T221 * G221</f>
        <v>0</v>
      </c>
      <c r="V221" s="2">
        <f>I221 + K221 - S221</f>
        <v>0</v>
      </c>
      <c r="W221" s="2">
        <f>M221 - V221</f>
        <v>0</v>
      </c>
      <c r="X221" s="2">
        <f>IFERROR(W221 / M221 * 100, 0)</f>
        <v>0</v>
      </c>
    </row>
    <row r="222" spans="1:24">
      <c r="A222" t="s">
        <v>4366</v>
      </c>
      <c r="B222" t="s">
        <v>513</v>
      </c>
      <c r="C222" t="s">
        <v>5034</v>
      </c>
      <c r="D222" t="s">
        <v>1007</v>
      </c>
      <c r="E222" t="s">
        <v>5482</v>
      </c>
      <c r="F222" t="s">
        <v>5703</v>
      </c>
      <c r="G222">
        <v>11.95</v>
      </c>
      <c r="H222">
        <v>2.6</v>
      </c>
      <c r="I222">
        <v>24.35</v>
      </c>
      <c r="J222">
        <v>19.1</v>
      </c>
      <c r="K222">
        <v>215.12</v>
      </c>
      <c r="L222">
        <v>9.73</v>
      </c>
      <c r="M222">
        <v>243.2</v>
      </c>
      <c r="N222">
        <v>0</v>
      </c>
      <c r="O222">
        <v>0</v>
      </c>
      <c r="P222" s="2">
        <f>(H222 + J222) - (L222 + N222)</f>
        <v>0</v>
      </c>
      <c r="Q222" s="2">
        <f>P222 * G222</f>
        <v>0</v>
      </c>
      <c r="R222">
        <v>7.5</v>
      </c>
      <c r="S222" s="2">
        <f>R222 * G222</f>
        <v>0</v>
      </c>
      <c r="T222" s="2">
        <f>(H222 + J222) - (L222 + N222) - R222</f>
        <v>0</v>
      </c>
      <c r="U222" s="2">
        <f>T222 * G222</f>
        <v>0</v>
      </c>
      <c r="V222" s="2">
        <f>I222 + K222 - S222</f>
        <v>0</v>
      </c>
      <c r="W222" s="2">
        <f>M222 - V222</f>
        <v>0</v>
      </c>
      <c r="X222" s="2">
        <f>IFERROR(W222 / M222 * 100, 0)</f>
        <v>0</v>
      </c>
    </row>
    <row r="223" spans="1:24">
      <c r="A223" t="s">
        <v>4367</v>
      </c>
      <c r="B223" t="s">
        <v>513</v>
      </c>
      <c r="C223" t="s">
        <v>5035</v>
      </c>
      <c r="D223" t="s">
        <v>1008</v>
      </c>
      <c r="E223" t="s">
        <v>5482</v>
      </c>
      <c r="F223" t="s">
        <v>5704</v>
      </c>
      <c r="G223">
        <v>0.54</v>
      </c>
      <c r="H223">
        <v>5</v>
      </c>
      <c r="I223">
        <v>2.3</v>
      </c>
      <c r="J223">
        <v>183</v>
      </c>
      <c r="K223">
        <v>76.37</v>
      </c>
      <c r="L223">
        <v>94</v>
      </c>
      <c r="M223">
        <v>188</v>
      </c>
      <c r="N223">
        <v>3</v>
      </c>
      <c r="O223">
        <v>1.85</v>
      </c>
      <c r="P223" s="2">
        <f>(H223 + J223) - (L223 + N223)</f>
        <v>0</v>
      </c>
      <c r="Q223" s="2">
        <f>P223 * G223</f>
        <v>0</v>
      </c>
      <c r="R223">
        <v>11</v>
      </c>
      <c r="S223" s="2">
        <f>R223 * G223</f>
        <v>0</v>
      </c>
      <c r="T223" s="2">
        <f>(H223 + J223) - (L223 + N223) - R223</f>
        <v>0</v>
      </c>
      <c r="U223" s="2">
        <f>T223 * G223</f>
        <v>0</v>
      </c>
      <c r="V223" s="2">
        <f>I223 + K223 - S223</f>
        <v>0</v>
      </c>
      <c r="W223" s="2">
        <f>M223 - V223</f>
        <v>0</v>
      </c>
      <c r="X223" s="2">
        <f>IFERROR(W223 / M223 * 100, 0)</f>
        <v>0</v>
      </c>
    </row>
    <row r="224" spans="1:24">
      <c r="A224" t="s">
        <v>4368</v>
      </c>
      <c r="B224" t="s">
        <v>513</v>
      </c>
      <c r="C224" t="s">
        <v>5036</v>
      </c>
      <c r="D224" t="s">
        <v>1008</v>
      </c>
      <c r="E224" t="s">
        <v>5482</v>
      </c>
      <c r="F224" t="s">
        <v>5705</v>
      </c>
      <c r="G224">
        <v>1.58</v>
      </c>
      <c r="H224">
        <v>0</v>
      </c>
      <c r="I224">
        <v>0</v>
      </c>
      <c r="J224">
        <v>30</v>
      </c>
      <c r="K224">
        <v>47.48</v>
      </c>
      <c r="L224">
        <v>15</v>
      </c>
      <c r="M224">
        <v>30</v>
      </c>
      <c r="N224">
        <v>0</v>
      </c>
      <c r="O224">
        <v>0</v>
      </c>
      <c r="P224" s="2">
        <f>(H224 + J224) - (L224 + N224)</f>
        <v>0</v>
      </c>
      <c r="Q224" s="2">
        <f>P224 * G224</f>
        <v>0</v>
      </c>
      <c r="R224">
        <v>0</v>
      </c>
      <c r="S224" s="2">
        <f>R224 * G224</f>
        <v>0</v>
      </c>
      <c r="T224" s="2">
        <f>(H224 + J224) - (L224 + N224) - R224</f>
        <v>0</v>
      </c>
      <c r="U224" s="2">
        <f>T224 * G224</f>
        <v>0</v>
      </c>
      <c r="V224" s="2">
        <f>I224 + K224 - S224</f>
        <v>0</v>
      </c>
      <c r="W224" s="2">
        <f>M224 - V224</f>
        <v>0</v>
      </c>
      <c r="X224" s="2">
        <f>IFERROR(W224 / M224 * 100, 0)</f>
        <v>0</v>
      </c>
    </row>
    <row r="225" spans="1:24">
      <c r="A225" t="s">
        <v>4369</v>
      </c>
      <c r="B225" t="s">
        <v>513</v>
      </c>
      <c r="C225" t="s">
        <v>5037</v>
      </c>
      <c r="D225" t="s">
        <v>1008</v>
      </c>
      <c r="E225" t="s">
        <v>5482</v>
      </c>
      <c r="F225" t="s">
        <v>5706</v>
      </c>
      <c r="G225">
        <v>2.3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7</v>
      </c>
      <c r="N225">
        <v>0</v>
      </c>
      <c r="O225">
        <v>0</v>
      </c>
      <c r="P225" s="2">
        <f>(H225 + J225) - (L225 + N225)</f>
        <v>0</v>
      </c>
      <c r="Q225" s="2">
        <f>P225 * G225</f>
        <v>0</v>
      </c>
      <c r="R225">
        <v>0</v>
      </c>
      <c r="S225" s="2">
        <f>R225 * G225</f>
        <v>0</v>
      </c>
      <c r="T225" s="2">
        <f>(H225 + J225) - (L225 + N225) - R225</f>
        <v>0</v>
      </c>
      <c r="U225" s="2">
        <f>T225 * G225</f>
        <v>0</v>
      </c>
      <c r="V225" s="2">
        <f>I225 + K225 - S225</f>
        <v>0</v>
      </c>
      <c r="W225" s="2">
        <f>M225 - V225</f>
        <v>0</v>
      </c>
      <c r="X225" s="2">
        <f>IFERROR(W225 / M225 * 100, 0)</f>
        <v>0</v>
      </c>
    </row>
    <row r="226" spans="1:24">
      <c r="A226" t="s">
        <v>4370</v>
      </c>
      <c r="B226" t="s">
        <v>513</v>
      </c>
      <c r="C226" t="s">
        <v>5038</v>
      </c>
      <c r="D226" t="s">
        <v>1008</v>
      </c>
      <c r="E226" t="s">
        <v>5482</v>
      </c>
      <c r="F226" t="s">
        <v>5707</v>
      </c>
      <c r="G226">
        <v>1.09</v>
      </c>
      <c r="H226">
        <v>8</v>
      </c>
      <c r="I226">
        <v>8.789999999999999</v>
      </c>
      <c r="J226">
        <v>232</v>
      </c>
      <c r="K226">
        <v>-25.97</v>
      </c>
      <c r="L226">
        <v>219</v>
      </c>
      <c r="M226">
        <v>985.5</v>
      </c>
      <c r="N226">
        <v>0</v>
      </c>
      <c r="O226">
        <v>0</v>
      </c>
      <c r="P226" s="2">
        <f>(H226 + J226) - (L226 + N226)</f>
        <v>0</v>
      </c>
      <c r="Q226" s="2">
        <f>P226 * G226</f>
        <v>0</v>
      </c>
      <c r="R226">
        <v>35</v>
      </c>
      <c r="S226" s="2">
        <f>R226 * G226</f>
        <v>0</v>
      </c>
      <c r="T226" s="2">
        <f>(H226 + J226) - (L226 + N226) - R226</f>
        <v>0</v>
      </c>
      <c r="U226" s="2">
        <f>T226 * G226</f>
        <v>0</v>
      </c>
      <c r="V226" s="2">
        <f>I226 + K226 - S226</f>
        <v>0</v>
      </c>
      <c r="W226" s="2">
        <f>M226 - V226</f>
        <v>0</v>
      </c>
      <c r="X226" s="2">
        <f>IFERROR(W226 / M226 * 100, 0)</f>
        <v>0</v>
      </c>
    </row>
    <row r="227" spans="1:24">
      <c r="A227" t="s">
        <v>4371</v>
      </c>
      <c r="B227" t="s">
        <v>513</v>
      </c>
      <c r="C227" t="s">
        <v>5039</v>
      </c>
      <c r="D227" t="s">
        <v>1008</v>
      </c>
      <c r="E227" t="s">
        <v>5482</v>
      </c>
      <c r="F227" t="s">
        <v>5708</v>
      </c>
      <c r="G227">
        <v>0.5600000000000001</v>
      </c>
      <c r="H227">
        <v>4</v>
      </c>
      <c r="I227">
        <v>2.31</v>
      </c>
      <c r="J227">
        <v>500</v>
      </c>
      <c r="K227">
        <v>238.91</v>
      </c>
      <c r="L227">
        <v>488</v>
      </c>
      <c r="M227">
        <v>732</v>
      </c>
      <c r="N227">
        <v>0</v>
      </c>
      <c r="O227">
        <v>0</v>
      </c>
      <c r="P227" s="2">
        <f>(H227 + J227) - (L227 + N227)</f>
        <v>0</v>
      </c>
      <c r="Q227" s="2">
        <f>P227 * G227</f>
        <v>0</v>
      </c>
      <c r="R227">
        <v>14</v>
      </c>
      <c r="S227" s="2">
        <f>R227 * G227</f>
        <v>0</v>
      </c>
      <c r="T227" s="2">
        <f>(H227 + J227) - (L227 + N227) - R227</f>
        <v>0</v>
      </c>
      <c r="U227" s="2">
        <f>T227 * G227</f>
        <v>0</v>
      </c>
      <c r="V227" s="2">
        <f>I227 + K227 - S227</f>
        <v>0</v>
      </c>
      <c r="W227" s="2">
        <f>M227 - V227</f>
        <v>0</v>
      </c>
      <c r="X227" s="2">
        <f>IFERROR(W227 / M227 * 100, 0)</f>
        <v>0</v>
      </c>
    </row>
    <row r="228" spans="1:24">
      <c r="A228" t="s">
        <v>4372</v>
      </c>
      <c r="B228" t="s">
        <v>513</v>
      </c>
      <c r="C228" t="s">
        <v>5040</v>
      </c>
      <c r="D228" t="s">
        <v>1008</v>
      </c>
      <c r="E228" t="s">
        <v>5482</v>
      </c>
      <c r="F228" t="s">
        <v>5709</v>
      </c>
      <c r="G228">
        <v>0.4</v>
      </c>
      <c r="H228">
        <v>24</v>
      </c>
      <c r="I228">
        <v>14.68</v>
      </c>
      <c r="J228">
        <v>129</v>
      </c>
      <c r="K228">
        <v>4.22</v>
      </c>
      <c r="L228">
        <v>203</v>
      </c>
      <c r="M228">
        <v>558.25</v>
      </c>
      <c r="N228">
        <v>0</v>
      </c>
      <c r="O228">
        <v>0</v>
      </c>
      <c r="P228" s="2">
        <f>(H228 + J228) - (L228 + N228)</f>
        <v>0</v>
      </c>
      <c r="Q228" s="2">
        <f>P228 * G228</f>
        <v>0</v>
      </c>
      <c r="R228">
        <v>23</v>
      </c>
      <c r="S228" s="2">
        <f>R228 * G228</f>
        <v>0</v>
      </c>
      <c r="T228" s="2">
        <f>(H228 + J228) - (L228 + N228) - R228</f>
        <v>0</v>
      </c>
      <c r="U228" s="2">
        <f>T228 * G228</f>
        <v>0</v>
      </c>
      <c r="V228" s="2">
        <f>I228 + K228 - S228</f>
        <v>0</v>
      </c>
      <c r="W228" s="2">
        <f>M228 - V228</f>
        <v>0</v>
      </c>
      <c r="X228" s="2">
        <f>IFERROR(W228 / M228 * 100, 0)</f>
        <v>0</v>
      </c>
    </row>
    <row r="229" spans="1:24">
      <c r="A229" t="s">
        <v>4373</v>
      </c>
      <c r="B229" t="s">
        <v>513</v>
      </c>
      <c r="C229" t="s">
        <v>5041</v>
      </c>
      <c r="D229" t="s">
        <v>1008</v>
      </c>
      <c r="E229" t="s">
        <v>5482</v>
      </c>
      <c r="F229" t="s">
        <v>5710</v>
      </c>
      <c r="G229">
        <v>19.08</v>
      </c>
      <c r="H229">
        <v>1</v>
      </c>
      <c r="I229">
        <v>20.77</v>
      </c>
      <c r="J229">
        <v>22</v>
      </c>
      <c r="K229">
        <v>423.74</v>
      </c>
      <c r="L229">
        <v>17</v>
      </c>
      <c r="M229">
        <v>1275</v>
      </c>
      <c r="N229">
        <v>0</v>
      </c>
      <c r="O229">
        <v>0</v>
      </c>
      <c r="P229" s="2">
        <f>(H229 + J229) - (L229 + N229)</f>
        <v>0</v>
      </c>
      <c r="Q229" s="2">
        <f>P229 * G229</f>
        <v>0</v>
      </c>
      <c r="R229">
        <v>2</v>
      </c>
      <c r="S229" s="2">
        <f>R229 * G229</f>
        <v>0</v>
      </c>
      <c r="T229" s="2">
        <f>(H229 + J229) - (L229 + N229) - R229</f>
        <v>0</v>
      </c>
      <c r="U229" s="2">
        <f>T229 * G229</f>
        <v>0</v>
      </c>
      <c r="V229" s="2">
        <f>I229 + K229 - S229</f>
        <v>0</v>
      </c>
      <c r="W229" s="2">
        <f>M229 - V229</f>
        <v>0</v>
      </c>
      <c r="X229" s="2">
        <f>IFERROR(W229 / M229 * 100, 0)</f>
        <v>0</v>
      </c>
    </row>
    <row r="230" spans="1:24">
      <c r="A230" t="s">
        <v>4374</v>
      </c>
      <c r="B230" t="s">
        <v>513</v>
      </c>
      <c r="C230" t="s">
        <v>5042</v>
      </c>
      <c r="D230" t="s">
        <v>1008</v>
      </c>
      <c r="E230" t="s">
        <v>5482</v>
      </c>
      <c r="F230" t="s">
        <v>5711</v>
      </c>
      <c r="G230">
        <v>1.77</v>
      </c>
      <c r="H230">
        <v>0</v>
      </c>
      <c r="I230">
        <v>0</v>
      </c>
      <c r="J230">
        <v>123</v>
      </c>
      <c r="K230">
        <v>230.2</v>
      </c>
      <c r="L230">
        <v>97</v>
      </c>
      <c r="M230">
        <v>460.75</v>
      </c>
      <c r="N230">
        <v>0</v>
      </c>
      <c r="O230">
        <v>0</v>
      </c>
      <c r="P230" s="2">
        <f>(H230 + J230) - (L230 + N230)</f>
        <v>0</v>
      </c>
      <c r="Q230" s="2">
        <f>P230 * G230</f>
        <v>0</v>
      </c>
      <c r="R230">
        <v>2</v>
      </c>
      <c r="S230" s="2">
        <f>R230 * G230</f>
        <v>0</v>
      </c>
      <c r="T230" s="2">
        <f>(H230 + J230) - (L230 + N230) - R230</f>
        <v>0</v>
      </c>
      <c r="U230" s="2">
        <f>T230 * G230</f>
        <v>0</v>
      </c>
      <c r="V230" s="2">
        <f>I230 + K230 - S230</f>
        <v>0</v>
      </c>
      <c r="W230" s="2">
        <f>M230 - V230</f>
        <v>0</v>
      </c>
      <c r="X230" s="2">
        <f>IFERROR(W230 / M230 * 100, 0)</f>
        <v>0</v>
      </c>
    </row>
    <row r="231" spans="1:24">
      <c r="A231" t="s">
        <v>4375</v>
      </c>
      <c r="B231" t="s">
        <v>513</v>
      </c>
      <c r="C231" t="s">
        <v>5043</v>
      </c>
      <c r="D231" t="s">
        <v>1008</v>
      </c>
      <c r="E231" t="s">
        <v>5482</v>
      </c>
      <c r="F231" t="s">
        <v>5712</v>
      </c>
      <c r="G231">
        <v>4.76</v>
      </c>
      <c r="H231">
        <v>36</v>
      </c>
      <c r="I231">
        <v>113.39</v>
      </c>
      <c r="J231">
        <v>27</v>
      </c>
      <c r="K231">
        <v>69.63</v>
      </c>
      <c r="L231">
        <v>47</v>
      </c>
      <c r="M231">
        <v>423</v>
      </c>
      <c r="N231">
        <v>0</v>
      </c>
      <c r="O231">
        <v>0</v>
      </c>
      <c r="P231" s="2">
        <f>(H231 + J231) - (L231 + N231)</f>
        <v>0</v>
      </c>
      <c r="Q231" s="2">
        <f>P231 * G231</f>
        <v>0</v>
      </c>
      <c r="R231">
        <v>62</v>
      </c>
      <c r="S231" s="2">
        <f>R231 * G231</f>
        <v>0</v>
      </c>
      <c r="T231" s="2">
        <f>(H231 + J231) - (L231 + N231) - R231</f>
        <v>0</v>
      </c>
      <c r="U231" s="2">
        <f>T231 * G231</f>
        <v>0</v>
      </c>
      <c r="V231" s="2">
        <f>I231 + K231 - S231</f>
        <v>0</v>
      </c>
      <c r="W231" s="2">
        <f>M231 - V231</f>
        <v>0</v>
      </c>
      <c r="X231" s="2">
        <f>IFERROR(W231 / M231 * 100, 0)</f>
        <v>0</v>
      </c>
    </row>
    <row r="232" spans="1:24">
      <c r="A232" t="s">
        <v>4376</v>
      </c>
      <c r="B232" t="s">
        <v>513</v>
      </c>
      <c r="C232" t="s">
        <v>5044</v>
      </c>
      <c r="D232" t="s">
        <v>1008</v>
      </c>
      <c r="E232" t="s">
        <v>5482</v>
      </c>
      <c r="F232" t="s">
        <v>5713</v>
      </c>
      <c r="G232">
        <v>2.52</v>
      </c>
      <c r="H232">
        <v>28</v>
      </c>
      <c r="I232">
        <v>67.73999999999999</v>
      </c>
      <c r="J232">
        <v>50</v>
      </c>
      <c r="K232">
        <v>126.11</v>
      </c>
      <c r="L232">
        <v>29</v>
      </c>
      <c r="M232">
        <v>145</v>
      </c>
      <c r="N232">
        <v>0</v>
      </c>
      <c r="O232">
        <v>0</v>
      </c>
      <c r="P232" s="2">
        <f>(H232 + J232) - (L232 + N232)</f>
        <v>0</v>
      </c>
      <c r="Q232" s="2">
        <f>P232 * G232</f>
        <v>0</v>
      </c>
      <c r="R232">
        <v>5</v>
      </c>
      <c r="S232" s="2">
        <f>R232 * G232</f>
        <v>0</v>
      </c>
      <c r="T232" s="2">
        <f>(H232 + J232) - (L232 + N232) - R232</f>
        <v>0</v>
      </c>
      <c r="U232" s="2">
        <f>T232 * G232</f>
        <v>0</v>
      </c>
      <c r="V232" s="2">
        <f>I232 + K232 - S232</f>
        <v>0</v>
      </c>
      <c r="W232" s="2">
        <f>M232 - V232</f>
        <v>0</v>
      </c>
      <c r="X232" s="2">
        <f>IFERROR(W232 / M232 * 100, 0)</f>
        <v>0</v>
      </c>
    </row>
    <row r="233" spans="1:24">
      <c r="A233" t="s">
        <v>4377</v>
      </c>
      <c r="B233" t="s">
        <v>513</v>
      </c>
      <c r="C233" t="s">
        <v>5045</v>
      </c>
      <c r="D233" t="s">
        <v>1008</v>
      </c>
      <c r="E233" t="s">
        <v>5482</v>
      </c>
      <c r="F233" t="s">
        <v>5714</v>
      </c>
      <c r="G233">
        <v>0</v>
      </c>
      <c r="H233">
        <v>0</v>
      </c>
      <c r="I233">
        <v>0</v>
      </c>
      <c r="J233">
        <v>-1</v>
      </c>
      <c r="K233">
        <v>-12</v>
      </c>
      <c r="L233">
        <v>62</v>
      </c>
      <c r="M233">
        <v>930</v>
      </c>
      <c r="N233">
        <v>0</v>
      </c>
      <c r="O233">
        <v>0</v>
      </c>
      <c r="P233" s="2">
        <f>(H233 + J233) - (L233 + N233)</f>
        <v>0</v>
      </c>
      <c r="Q233" s="2">
        <f>P233 * G233</f>
        <v>0</v>
      </c>
      <c r="R233">
        <v>0</v>
      </c>
      <c r="S233" s="2">
        <f>R233 * G233</f>
        <v>0</v>
      </c>
      <c r="T233" s="2">
        <f>(H233 + J233) - (L233 + N233) - R233</f>
        <v>0</v>
      </c>
      <c r="U233" s="2">
        <f>T233 * G233</f>
        <v>0</v>
      </c>
      <c r="V233" s="2">
        <f>I233 + K233 - S233</f>
        <v>0</v>
      </c>
      <c r="W233" s="2">
        <f>M233 - V233</f>
        <v>0</v>
      </c>
      <c r="X233" s="2">
        <f>IFERROR(W233 / M233 * 100, 0)</f>
        <v>0</v>
      </c>
    </row>
    <row r="234" spans="1:24">
      <c r="A234" t="s">
        <v>4378</v>
      </c>
      <c r="B234" t="s">
        <v>513</v>
      </c>
      <c r="C234" t="s">
        <v>5046</v>
      </c>
      <c r="D234" t="s">
        <v>1008</v>
      </c>
      <c r="E234" t="s">
        <v>5482</v>
      </c>
      <c r="F234" t="s">
        <v>5715</v>
      </c>
      <c r="G234">
        <v>1.94</v>
      </c>
      <c r="H234">
        <v>23</v>
      </c>
      <c r="I234">
        <v>44.56</v>
      </c>
      <c r="J234">
        <v>99</v>
      </c>
      <c r="K234">
        <v>191.81</v>
      </c>
      <c r="L234">
        <v>81</v>
      </c>
      <c r="M234">
        <v>607.5</v>
      </c>
      <c r="N234">
        <v>8</v>
      </c>
      <c r="O234">
        <v>15.5</v>
      </c>
      <c r="P234" s="2">
        <f>(H234 + J234) - (L234 + N234)</f>
        <v>0</v>
      </c>
      <c r="Q234" s="2">
        <f>P234 * G234</f>
        <v>0</v>
      </c>
      <c r="R234">
        <v>5</v>
      </c>
      <c r="S234" s="2">
        <f>R234 * G234</f>
        <v>0</v>
      </c>
      <c r="T234" s="2">
        <f>(H234 + J234) - (L234 + N234) - R234</f>
        <v>0</v>
      </c>
      <c r="U234" s="2">
        <f>T234 * G234</f>
        <v>0</v>
      </c>
      <c r="V234" s="2">
        <f>I234 + K234 - S234</f>
        <v>0</v>
      </c>
      <c r="W234" s="2">
        <f>M234 - V234</f>
        <v>0</v>
      </c>
      <c r="X234" s="2">
        <f>IFERROR(W234 / M234 * 100, 0)</f>
        <v>0</v>
      </c>
    </row>
    <row r="235" spans="1:24">
      <c r="A235" t="s">
        <v>4379</v>
      </c>
      <c r="B235" t="s">
        <v>513</v>
      </c>
      <c r="C235" t="s">
        <v>5047</v>
      </c>
      <c r="D235" t="s">
        <v>1008</v>
      </c>
      <c r="E235" t="s">
        <v>5482</v>
      </c>
      <c r="F235" t="s">
        <v>5716</v>
      </c>
      <c r="G235">
        <v>2.58</v>
      </c>
      <c r="H235">
        <v>0</v>
      </c>
      <c r="I235">
        <v>0</v>
      </c>
      <c r="J235">
        <v>32</v>
      </c>
      <c r="K235">
        <v>-33.22</v>
      </c>
      <c r="L235">
        <v>37</v>
      </c>
      <c r="M235">
        <v>370</v>
      </c>
      <c r="N235">
        <v>0</v>
      </c>
      <c r="O235">
        <v>0</v>
      </c>
      <c r="P235" s="2">
        <f>(H235 + J235) - (L235 + N235)</f>
        <v>0</v>
      </c>
      <c r="Q235" s="2">
        <f>P235 * G235</f>
        <v>0</v>
      </c>
      <c r="R235">
        <v>0</v>
      </c>
      <c r="S235" s="2">
        <f>R235 * G235</f>
        <v>0</v>
      </c>
      <c r="T235" s="2">
        <f>(H235 + J235) - (L235 + N235) - R235</f>
        <v>0</v>
      </c>
      <c r="U235" s="2">
        <f>T235 * G235</f>
        <v>0</v>
      </c>
      <c r="V235" s="2">
        <f>I235 + K235 - S235</f>
        <v>0</v>
      </c>
      <c r="W235" s="2">
        <f>M235 - V235</f>
        <v>0</v>
      </c>
      <c r="X235" s="2">
        <f>IFERROR(W235 / M235 * 100, 0)</f>
        <v>0</v>
      </c>
    </row>
    <row r="236" spans="1:24">
      <c r="A236" t="s">
        <v>4380</v>
      </c>
      <c r="B236" t="s">
        <v>513</v>
      </c>
      <c r="C236" t="s">
        <v>5048</v>
      </c>
      <c r="D236" t="s">
        <v>1008</v>
      </c>
      <c r="E236" t="s">
        <v>5482</v>
      </c>
      <c r="F236" t="s">
        <v>5717</v>
      </c>
      <c r="G236">
        <v>2.8</v>
      </c>
      <c r="H236">
        <v>33</v>
      </c>
      <c r="I236">
        <v>92.53</v>
      </c>
      <c r="J236">
        <v>20</v>
      </c>
      <c r="K236">
        <v>56.1</v>
      </c>
      <c r="L236">
        <v>22</v>
      </c>
      <c r="M236">
        <v>99</v>
      </c>
      <c r="N236">
        <v>0</v>
      </c>
      <c r="O236">
        <v>0</v>
      </c>
      <c r="P236" s="2">
        <f>(H236 + J236) - (L236 + N236)</f>
        <v>0</v>
      </c>
      <c r="Q236" s="2">
        <f>P236 * G236</f>
        <v>0</v>
      </c>
      <c r="R236">
        <v>24</v>
      </c>
      <c r="S236" s="2">
        <f>R236 * G236</f>
        <v>0</v>
      </c>
      <c r="T236" s="2">
        <f>(H236 + J236) - (L236 + N236) - R236</f>
        <v>0</v>
      </c>
      <c r="U236" s="2">
        <f>T236 * G236</f>
        <v>0</v>
      </c>
      <c r="V236" s="2">
        <f>I236 + K236 - S236</f>
        <v>0</v>
      </c>
      <c r="W236" s="2">
        <f>M236 - V236</f>
        <v>0</v>
      </c>
      <c r="X236" s="2">
        <f>IFERROR(W236 / M236 * 100, 0)</f>
        <v>0</v>
      </c>
    </row>
    <row r="237" spans="1:24">
      <c r="A237" t="s">
        <v>4381</v>
      </c>
      <c r="B237" t="s">
        <v>513</v>
      </c>
      <c r="C237" t="s">
        <v>5049</v>
      </c>
      <c r="D237" t="s">
        <v>1008</v>
      </c>
      <c r="E237" t="s">
        <v>5482</v>
      </c>
      <c r="F237" t="s">
        <v>5718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70</v>
      </c>
      <c r="N237">
        <v>0</v>
      </c>
      <c r="O237">
        <v>0</v>
      </c>
      <c r="P237" s="2">
        <f>(H237 + J237) - (L237 + N237)</f>
        <v>0</v>
      </c>
      <c r="Q237" s="2">
        <f>P237 * G237</f>
        <v>0</v>
      </c>
      <c r="R237">
        <v>0</v>
      </c>
      <c r="S237" s="2">
        <f>R237 * G237</f>
        <v>0</v>
      </c>
      <c r="T237" s="2">
        <f>(H237 + J237) - (L237 + N237) - R237</f>
        <v>0</v>
      </c>
      <c r="U237" s="2">
        <f>T237 * G237</f>
        <v>0</v>
      </c>
      <c r="V237" s="2">
        <f>I237 + K237 - S237</f>
        <v>0</v>
      </c>
      <c r="W237" s="2">
        <f>M237 - V237</f>
        <v>0</v>
      </c>
      <c r="X237" s="2">
        <f>IFERROR(W237 / M237 * 100, 0)</f>
        <v>0</v>
      </c>
    </row>
    <row r="238" spans="1:24">
      <c r="A238" t="s">
        <v>4382</v>
      </c>
      <c r="B238" t="s">
        <v>513</v>
      </c>
      <c r="C238" t="s">
        <v>5050</v>
      </c>
      <c r="D238" t="s">
        <v>1008</v>
      </c>
      <c r="E238" t="s">
        <v>5482</v>
      </c>
      <c r="F238" t="s">
        <v>5719</v>
      </c>
      <c r="G238">
        <v>1.07</v>
      </c>
      <c r="H238">
        <v>24</v>
      </c>
      <c r="I238">
        <v>24.01</v>
      </c>
      <c r="J238">
        <v>316</v>
      </c>
      <c r="K238">
        <v>331.08</v>
      </c>
      <c r="L238">
        <v>156</v>
      </c>
      <c r="M238">
        <v>390</v>
      </c>
      <c r="N238">
        <v>9</v>
      </c>
      <c r="O238">
        <v>9.029999999999999</v>
      </c>
      <c r="P238" s="2">
        <f>(H238 + J238) - (L238 + N238)</f>
        <v>0</v>
      </c>
      <c r="Q238" s="2">
        <f>P238 * G238</f>
        <v>0</v>
      </c>
      <c r="R238">
        <v>22</v>
      </c>
      <c r="S238" s="2">
        <f>R238 * G238</f>
        <v>0</v>
      </c>
      <c r="T238" s="2">
        <f>(H238 + J238) - (L238 + N238) - R238</f>
        <v>0</v>
      </c>
      <c r="U238" s="2">
        <f>T238 * G238</f>
        <v>0</v>
      </c>
      <c r="V238" s="2">
        <f>I238 + K238 - S238</f>
        <v>0</v>
      </c>
      <c r="W238" s="2">
        <f>M238 - V238</f>
        <v>0</v>
      </c>
      <c r="X238" s="2">
        <f>IFERROR(W238 / M238 * 100, 0)</f>
        <v>0</v>
      </c>
    </row>
    <row r="239" spans="1:24">
      <c r="A239" t="s">
        <v>4383</v>
      </c>
      <c r="B239" t="s">
        <v>513</v>
      </c>
      <c r="C239" t="s">
        <v>5051</v>
      </c>
      <c r="D239" t="s">
        <v>1008</v>
      </c>
      <c r="E239" t="s">
        <v>5482</v>
      </c>
      <c r="F239" t="s">
        <v>5720</v>
      </c>
      <c r="G239">
        <v>1.06</v>
      </c>
      <c r="H239">
        <v>0</v>
      </c>
      <c r="I239">
        <v>0</v>
      </c>
      <c r="J239">
        <v>448</v>
      </c>
      <c r="K239">
        <v>428.12</v>
      </c>
      <c r="L239">
        <v>326</v>
      </c>
      <c r="M239">
        <v>652</v>
      </c>
      <c r="N239">
        <v>24</v>
      </c>
      <c r="O239">
        <v>25.14</v>
      </c>
      <c r="P239" s="2">
        <f>(H239 + J239) - (L239 + N239)</f>
        <v>0</v>
      </c>
      <c r="Q239" s="2">
        <f>P239 * G239</f>
        <v>0</v>
      </c>
      <c r="R239">
        <v>0</v>
      </c>
      <c r="S239" s="2">
        <f>R239 * G239</f>
        <v>0</v>
      </c>
      <c r="T239" s="2">
        <f>(H239 + J239) - (L239 + N239) - R239</f>
        <v>0</v>
      </c>
      <c r="U239" s="2">
        <f>T239 * G239</f>
        <v>0</v>
      </c>
      <c r="V239" s="2">
        <f>I239 + K239 - S239</f>
        <v>0</v>
      </c>
      <c r="W239" s="2">
        <f>M239 - V239</f>
        <v>0</v>
      </c>
      <c r="X239" s="2">
        <f>IFERROR(W239 / M239 * 100, 0)</f>
        <v>0</v>
      </c>
    </row>
    <row r="240" spans="1:24">
      <c r="A240" t="s">
        <v>4384</v>
      </c>
      <c r="B240" t="s">
        <v>513</v>
      </c>
      <c r="C240" t="s">
        <v>5052</v>
      </c>
      <c r="D240" t="s">
        <v>1007</v>
      </c>
      <c r="E240" t="s">
        <v>5482</v>
      </c>
      <c r="F240" t="s">
        <v>5721</v>
      </c>
      <c r="G240">
        <v>5.4</v>
      </c>
      <c r="H240">
        <v>0.36</v>
      </c>
      <c r="I240">
        <v>1.94</v>
      </c>
      <c r="J240">
        <v>0</v>
      </c>
      <c r="K240">
        <v>0</v>
      </c>
      <c r="L240">
        <v>1.99</v>
      </c>
      <c r="M240">
        <v>55.72</v>
      </c>
      <c r="N240">
        <v>0</v>
      </c>
      <c r="O240">
        <v>0</v>
      </c>
      <c r="P240" s="2">
        <f>(H240 + J240) - (L240 + N240)</f>
        <v>0</v>
      </c>
      <c r="Q240" s="2">
        <f>P240 * G240</f>
        <v>0</v>
      </c>
      <c r="R240">
        <v>1.9</v>
      </c>
      <c r="S240" s="2">
        <f>R240 * G240</f>
        <v>0</v>
      </c>
      <c r="T240" s="2">
        <f>(H240 + J240) - (L240 + N240) - R240</f>
        <v>0</v>
      </c>
      <c r="U240" s="2">
        <f>T240 * G240</f>
        <v>0</v>
      </c>
      <c r="V240" s="2">
        <f>I240 + K240 - S240</f>
        <v>0</v>
      </c>
      <c r="W240" s="2">
        <f>M240 - V240</f>
        <v>0</v>
      </c>
      <c r="X240" s="2">
        <f>IFERROR(W240 / M240 * 100, 0)</f>
        <v>0</v>
      </c>
    </row>
    <row r="241" spans="1:24">
      <c r="A241" t="s">
        <v>4385</v>
      </c>
      <c r="B241" t="s">
        <v>513</v>
      </c>
      <c r="C241" t="s">
        <v>5053</v>
      </c>
      <c r="D241" t="s">
        <v>1008</v>
      </c>
      <c r="E241" t="s">
        <v>5482</v>
      </c>
      <c r="F241" t="s">
        <v>5722</v>
      </c>
      <c r="G241">
        <v>4.81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4.5</v>
      </c>
      <c r="N241">
        <v>0</v>
      </c>
      <c r="O241">
        <v>0</v>
      </c>
      <c r="P241" s="2">
        <f>(H241 + J241) - (L241 + N241)</f>
        <v>0</v>
      </c>
      <c r="Q241" s="2">
        <f>P241 * G241</f>
        <v>0</v>
      </c>
      <c r="R241">
        <v>4</v>
      </c>
      <c r="S241" s="2">
        <f>R241 * G241</f>
        <v>0</v>
      </c>
      <c r="T241" s="2">
        <f>(H241 + J241) - (L241 + N241) - R241</f>
        <v>0</v>
      </c>
      <c r="U241" s="2">
        <f>T241 * G241</f>
        <v>0</v>
      </c>
      <c r="V241" s="2">
        <f>I241 + K241 - S241</f>
        <v>0</v>
      </c>
      <c r="W241" s="2">
        <f>M241 - V241</f>
        <v>0</v>
      </c>
      <c r="X241" s="2">
        <f>IFERROR(W241 / M241 * 100, 0)</f>
        <v>0</v>
      </c>
    </row>
    <row r="242" spans="1:24">
      <c r="A242" t="s">
        <v>4386</v>
      </c>
      <c r="B242" t="s">
        <v>512</v>
      </c>
      <c r="C242" t="s">
        <v>5054</v>
      </c>
      <c r="D242" t="s">
        <v>1008</v>
      </c>
      <c r="E242" t="s">
        <v>5482</v>
      </c>
      <c r="F242" t="s">
        <v>5723</v>
      </c>
      <c r="G242">
        <v>80</v>
      </c>
      <c r="H242">
        <v>0</v>
      </c>
      <c r="I242">
        <v>0</v>
      </c>
      <c r="J242">
        <v>1</v>
      </c>
      <c r="K242">
        <v>80</v>
      </c>
      <c r="L242">
        <v>0</v>
      </c>
      <c r="M242">
        <v>0</v>
      </c>
      <c r="N242">
        <v>0</v>
      </c>
      <c r="O242">
        <v>0</v>
      </c>
      <c r="P242" s="2">
        <f>(H242 + J242) - (L242 + N242)</f>
        <v>0</v>
      </c>
      <c r="Q242" s="2">
        <f>P242 * G242</f>
        <v>0</v>
      </c>
      <c r="R242">
        <v>0</v>
      </c>
      <c r="S242" s="2">
        <f>R242 * G242</f>
        <v>0</v>
      </c>
      <c r="T242" s="2">
        <f>(H242 + J242) - (L242 + N242) - R242</f>
        <v>0</v>
      </c>
      <c r="U242" s="2">
        <f>T242 * G242</f>
        <v>0</v>
      </c>
      <c r="V242" s="2">
        <f>I242 + K242 - S242</f>
        <v>0</v>
      </c>
      <c r="W242" s="2">
        <f>M242 - V242</f>
        <v>0</v>
      </c>
      <c r="X242" s="2">
        <f>IFERROR(W242 / M242 * 100, 0)</f>
        <v>0</v>
      </c>
    </row>
    <row r="243" spans="1:24">
      <c r="A243" t="s">
        <v>4387</v>
      </c>
      <c r="B243" t="s">
        <v>512</v>
      </c>
      <c r="C243" t="s">
        <v>5055</v>
      </c>
      <c r="D243" t="s">
        <v>1008</v>
      </c>
      <c r="E243" t="s">
        <v>5482</v>
      </c>
      <c r="F243" t="s">
        <v>5724</v>
      </c>
      <c r="G243">
        <v>332.97</v>
      </c>
      <c r="H243">
        <v>1</v>
      </c>
      <c r="I243">
        <v>332.97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s="2">
        <f>(H243 + J243) - (L243 + N243)</f>
        <v>0</v>
      </c>
      <c r="Q243" s="2">
        <f>P243 * G243</f>
        <v>0</v>
      </c>
      <c r="R243">
        <v>1</v>
      </c>
      <c r="S243" s="2">
        <f>R243 * G243</f>
        <v>0</v>
      </c>
      <c r="T243" s="2">
        <f>(H243 + J243) - (L243 + N243) - R243</f>
        <v>0</v>
      </c>
      <c r="U243" s="2">
        <f>T243 * G243</f>
        <v>0</v>
      </c>
      <c r="V243" s="2">
        <f>I243 + K243 - S243</f>
        <v>0</v>
      </c>
      <c r="W243" s="2">
        <f>M243 - V243</f>
        <v>0</v>
      </c>
      <c r="X243" s="2">
        <f>IFERROR(W243 / M243 * 100, 0)</f>
        <v>0</v>
      </c>
    </row>
    <row r="244" spans="1:24">
      <c r="A244" t="s">
        <v>4388</v>
      </c>
      <c r="B244" t="s">
        <v>512</v>
      </c>
      <c r="C244" t="s">
        <v>5056</v>
      </c>
      <c r="D244" t="s">
        <v>1007</v>
      </c>
      <c r="E244" t="s">
        <v>5482</v>
      </c>
      <c r="F244" t="s">
        <v>5725</v>
      </c>
      <c r="G244">
        <v>11.51</v>
      </c>
      <c r="H244">
        <v>10</v>
      </c>
      <c r="I244">
        <v>115.06</v>
      </c>
      <c r="J244">
        <v>90</v>
      </c>
      <c r="K244">
        <v>1036.35</v>
      </c>
      <c r="L244">
        <v>0</v>
      </c>
      <c r="M244">
        <v>0</v>
      </c>
      <c r="N244">
        <v>0</v>
      </c>
      <c r="O244">
        <v>0</v>
      </c>
      <c r="P244" s="2">
        <f>(H244 + J244) - (L244 + N244)</f>
        <v>0</v>
      </c>
      <c r="Q244" s="2">
        <f>P244 * G244</f>
        <v>0</v>
      </c>
      <c r="R244">
        <v>15</v>
      </c>
      <c r="S244" s="2">
        <f>R244 * G244</f>
        <v>0</v>
      </c>
      <c r="T244" s="2">
        <f>(H244 + J244) - (L244 + N244) - R244</f>
        <v>0</v>
      </c>
      <c r="U244" s="2">
        <f>T244 * G244</f>
        <v>0</v>
      </c>
      <c r="V244" s="2">
        <f>I244 + K244 - S244</f>
        <v>0</v>
      </c>
      <c r="W244" s="2">
        <f>M244 - V244</f>
        <v>0</v>
      </c>
      <c r="X244" s="2">
        <f>IFERROR(W244 / M244 * 100, 0)</f>
        <v>0</v>
      </c>
    </row>
    <row r="245" spans="1:24">
      <c r="A245" t="s">
        <v>4389</v>
      </c>
      <c r="B245" t="s">
        <v>513</v>
      </c>
      <c r="C245" t="s">
        <v>5057</v>
      </c>
      <c r="D245" t="s">
        <v>1008</v>
      </c>
      <c r="E245" t="s">
        <v>5482</v>
      </c>
      <c r="F245" t="s">
        <v>5726</v>
      </c>
      <c r="G245">
        <v>1.69</v>
      </c>
      <c r="H245">
        <v>21</v>
      </c>
      <c r="I245">
        <v>35.1</v>
      </c>
      <c r="J245">
        <v>46</v>
      </c>
      <c r="K245">
        <v>69.83</v>
      </c>
      <c r="L245">
        <v>120</v>
      </c>
      <c r="M245">
        <v>330</v>
      </c>
      <c r="N245">
        <v>0</v>
      </c>
      <c r="O245">
        <v>0</v>
      </c>
      <c r="P245" s="2">
        <f>(H245 + J245) - (L245 + N245)</f>
        <v>0</v>
      </c>
      <c r="Q245" s="2">
        <f>P245 * G245</f>
        <v>0</v>
      </c>
      <c r="R245">
        <v>21</v>
      </c>
      <c r="S245" s="2">
        <f>R245 * G245</f>
        <v>0</v>
      </c>
      <c r="T245" s="2">
        <f>(H245 + J245) - (L245 + N245) - R245</f>
        <v>0</v>
      </c>
      <c r="U245" s="2">
        <f>T245 * G245</f>
        <v>0</v>
      </c>
      <c r="V245" s="2">
        <f>I245 + K245 - S245</f>
        <v>0</v>
      </c>
      <c r="W245" s="2">
        <f>M245 - V245</f>
        <v>0</v>
      </c>
      <c r="X245" s="2">
        <f>IFERROR(W245 / M245 * 100, 0)</f>
        <v>0</v>
      </c>
    </row>
    <row r="246" spans="1:24">
      <c r="A246" t="s">
        <v>4390</v>
      </c>
      <c r="B246" t="s">
        <v>513</v>
      </c>
      <c r="C246" t="s">
        <v>5058</v>
      </c>
      <c r="D246" t="s">
        <v>1008</v>
      </c>
      <c r="E246" t="s">
        <v>5482</v>
      </c>
      <c r="F246" t="s">
        <v>5727</v>
      </c>
      <c r="G246">
        <v>1.76</v>
      </c>
      <c r="H246">
        <v>5</v>
      </c>
      <c r="I246">
        <v>7.39</v>
      </c>
      <c r="J246">
        <v>191</v>
      </c>
      <c r="K246">
        <v>269.79</v>
      </c>
      <c r="L246">
        <v>164</v>
      </c>
      <c r="M246">
        <v>492</v>
      </c>
      <c r="N246">
        <v>6</v>
      </c>
      <c r="O246">
        <v>9.25</v>
      </c>
      <c r="P246" s="2">
        <f>(H246 + J246) - (L246 + N246)</f>
        <v>0</v>
      </c>
      <c r="Q246" s="2">
        <f>P246 * G246</f>
        <v>0</v>
      </c>
      <c r="R246">
        <v>0</v>
      </c>
      <c r="S246" s="2">
        <f>R246 * G246</f>
        <v>0</v>
      </c>
      <c r="T246" s="2">
        <f>(H246 + J246) - (L246 + N246) - R246</f>
        <v>0</v>
      </c>
      <c r="U246" s="2">
        <f>T246 * G246</f>
        <v>0</v>
      </c>
      <c r="V246" s="2">
        <f>I246 + K246 - S246</f>
        <v>0</v>
      </c>
      <c r="W246" s="2">
        <f>M246 - V246</f>
        <v>0</v>
      </c>
      <c r="X246" s="2">
        <f>IFERROR(W246 / M246 * 100, 0)</f>
        <v>0</v>
      </c>
    </row>
    <row r="247" spans="1:24">
      <c r="A247" t="s">
        <v>4391</v>
      </c>
      <c r="B247" t="s">
        <v>513</v>
      </c>
      <c r="C247" t="s">
        <v>5059</v>
      </c>
      <c r="D247" t="s">
        <v>1008</v>
      </c>
      <c r="E247" t="s">
        <v>5482</v>
      </c>
      <c r="F247" t="s">
        <v>5728</v>
      </c>
      <c r="G247">
        <v>1.22</v>
      </c>
      <c r="H247">
        <v>0</v>
      </c>
      <c r="I247">
        <v>0</v>
      </c>
      <c r="J247">
        <v>158</v>
      </c>
      <c r="K247">
        <v>189.73</v>
      </c>
      <c r="L247">
        <v>76</v>
      </c>
      <c r="M247">
        <v>266</v>
      </c>
      <c r="N247">
        <v>9</v>
      </c>
      <c r="O247">
        <v>10.59</v>
      </c>
      <c r="P247" s="2">
        <f>(H247 + J247) - (L247 + N247)</f>
        <v>0</v>
      </c>
      <c r="Q247" s="2">
        <f>P247 * G247</f>
        <v>0</v>
      </c>
      <c r="R247">
        <v>0</v>
      </c>
      <c r="S247" s="2">
        <f>R247 * G247</f>
        <v>0</v>
      </c>
      <c r="T247" s="2">
        <f>(H247 + J247) - (L247 + N247) - R247</f>
        <v>0</v>
      </c>
      <c r="U247" s="2">
        <f>T247 * G247</f>
        <v>0</v>
      </c>
      <c r="V247" s="2">
        <f>I247 + K247 - S247</f>
        <v>0</v>
      </c>
      <c r="W247" s="2">
        <f>M247 - V247</f>
        <v>0</v>
      </c>
      <c r="X247" s="2">
        <f>IFERROR(W247 / M247 * 100, 0)</f>
        <v>0</v>
      </c>
    </row>
    <row r="248" spans="1:24">
      <c r="A248" t="s">
        <v>4392</v>
      </c>
      <c r="B248" t="s">
        <v>513</v>
      </c>
      <c r="C248" t="s">
        <v>5060</v>
      </c>
      <c r="D248" t="s">
        <v>1008</v>
      </c>
      <c r="E248" t="s">
        <v>5482</v>
      </c>
      <c r="F248" t="s">
        <v>5729</v>
      </c>
      <c r="G248">
        <v>0.8</v>
      </c>
      <c r="H248">
        <v>1</v>
      </c>
      <c r="I248">
        <v>0.62</v>
      </c>
      <c r="J248">
        <v>82</v>
      </c>
      <c r="K248">
        <v>60.46</v>
      </c>
      <c r="L248">
        <v>34</v>
      </c>
      <c r="M248">
        <v>102</v>
      </c>
      <c r="N248">
        <v>0</v>
      </c>
      <c r="O248">
        <v>0</v>
      </c>
      <c r="P248" s="2">
        <f>(H248 + J248) - (L248 + N248)</f>
        <v>0</v>
      </c>
      <c r="Q248" s="2">
        <f>P248 * G248</f>
        <v>0</v>
      </c>
      <c r="R248">
        <v>0</v>
      </c>
      <c r="S248" s="2">
        <f>R248 * G248</f>
        <v>0</v>
      </c>
      <c r="T248" s="2">
        <f>(H248 + J248) - (L248 + N248) - R248</f>
        <v>0</v>
      </c>
      <c r="U248" s="2">
        <f>T248 * G248</f>
        <v>0</v>
      </c>
      <c r="V248" s="2">
        <f>I248 + K248 - S248</f>
        <v>0</v>
      </c>
      <c r="W248" s="2">
        <f>M248 - V248</f>
        <v>0</v>
      </c>
      <c r="X248" s="2">
        <f>IFERROR(W248 / M248 * 100, 0)</f>
        <v>0</v>
      </c>
    </row>
    <row r="249" spans="1:24">
      <c r="A249" t="s">
        <v>4393</v>
      </c>
      <c r="B249" t="s">
        <v>513</v>
      </c>
      <c r="C249" t="s">
        <v>5061</v>
      </c>
      <c r="D249" t="s">
        <v>1008</v>
      </c>
      <c r="E249" t="s">
        <v>5482</v>
      </c>
      <c r="F249" t="s">
        <v>5730</v>
      </c>
      <c r="G249">
        <v>2.55</v>
      </c>
      <c r="H249">
        <v>39</v>
      </c>
      <c r="I249">
        <v>98.47</v>
      </c>
      <c r="J249">
        <v>94</v>
      </c>
      <c r="K249">
        <v>150.09</v>
      </c>
      <c r="L249">
        <v>64</v>
      </c>
      <c r="M249">
        <v>384</v>
      </c>
      <c r="N249">
        <v>1</v>
      </c>
      <c r="O249">
        <v>2.52</v>
      </c>
      <c r="P249" s="2">
        <f>(H249 + J249) - (L249 + N249)</f>
        <v>0</v>
      </c>
      <c r="Q249" s="2">
        <f>P249 * G249</f>
        <v>0</v>
      </c>
      <c r="R249">
        <v>32</v>
      </c>
      <c r="S249" s="2">
        <f>R249 * G249</f>
        <v>0</v>
      </c>
      <c r="T249" s="2">
        <f>(H249 + J249) - (L249 + N249) - R249</f>
        <v>0</v>
      </c>
      <c r="U249" s="2">
        <f>T249 * G249</f>
        <v>0</v>
      </c>
      <c r="V249" s="2">
        <f>I249 + K249 - S249</f>
        <v>0</v>
      </c>
      <c r="W249" s="2">
        <f>M249 - V249</f>
        <v>0</v>
      </c>
      <c r="X249" s="2">
        <f>IFERROR(W249 / M249 * 100, 0)</f>
        <v>0</v>
      </c>
    </row>
    <row r="250" spans="1:24">
      <c r="A250" t="s">
        <v>4394</v>
      </c>
      <c r="B250" t="s">
        <v>513</v>
      </c>
      <c r="C250" t="s">
        <v>5062</v>
      </c>
      <c r="D250" t="s">
        <v>1008</v>
      </c>
      <c r="E250" t="s">
        <v>5482</v>
      </c>
      <c r="F250" t="s">
        <v>5731</v>
      </c>
      <c r="G250">
        <v>10.8</v>
      </c>
      <c r="H250">
        <v>13</v>
      </c>
      <c r="I250">
        <v>140.41</v>
      </c>
      <c r="J250">
        <v>0</v>
      </c>
      <c r="K250">
        <v>0</v>
      </c>
      <c r="L250">
        <v>10</v>
      </c>
      <c r="M250">
        <v>190</v>
      </c>
      <c r="N250">
        <v>0</v>
      </c>
      <c r="O250">
        <v>0</v>
      </c>
      <c r="P250" s="2">
        <f>(H250 + J250) - (L250 + N250)</f>
        <v>0</v>
      </c>
      <c r="Q250" s="2">
        <f>P250 * G250</f>
        <v>0</v>
      </c>
      <c r="R250">
        <v>8</v>
      </c>
      <c r="S250" s="2">
        <f>R250 * G250</f>
        <v>0</v>
      </c>
      <c r="T250" s="2">
        <f>(H250 + J250) - (L250 + N250) - R250</f>
        <v>0</v>
      </c>
      <c r="U250" s="2">
        <f>T250 * G250</f>
        <v>0</v>
      </c>
      <c r="V250" s="2">
        <f>I250 + K250 - S250</f>
        <v>0</v>
      </c>
      <c r="W250" s="2">
        <f>M250 - V250</f>
        <v>0</v>
      </c>
      <c r="X250" s="2">
        <f>IFERROR(W250 / M250 * 100, 0)</f>
        <v>0</v>
      </c>
    </row>
    <row r="251" spans="1:24">
      <c r="A251" t="s">
        <v>4395</v>
      </c>
      <c r="B251" t="s">
        <v>513</v>
      </c>
      <c r="C251" t="s">
        <v>5063</v>
      </c>
      <c r="D251" t="s">
        <v>1008</v>
      </c>
      <c r="E251" t="s">
        <v>5482</v>
      </c>
      <c r="F251" t="s">
        <v>5732</v>
      </c>
      <c r="G251">
        <v>8.529999999999999</v>
      </c>
      <c r="H251">
        <v>0</v>
      </c>
      <c r="I251">
        <v>0</v>
      </c>
      <c r="J251">
        <v>0</v>
      </c>
      <c r="K251">
        <v>0</v>
      </c>
      <c r="L251">
        <v>62</v>
      </c>
      <c r="M251">
        <v>620</v>
      </c>
      <c r="N251">
        <v>0</v>
      </c>
      <c r="O251">
        <v>0</v>
      </c>
      <c r="P251" s="2">
        <f>(H251 + J251) - (L251 + N251)</f>
        <v>0</v>
      </c>
      <c r="Q251" s="2">
        <f>P251 * G251</f>
        <v>0</v>
      </c>
      <c r="R251">
        <v>0</v>
      </c>
      <c r="S251" s="2">
        <f>R251 * G251</f>
        <v>0</v>
      </c>
      <c r="T251" s="2">
        <f>(H251 + J251) - (L251 + N251) - R251</f>
        <v>0</v>
      </c>
      <c r="U251" s="2">
        <f>T251 * G251</f>
        <v>0</v>
      </c>
      <c r="V251" s="2">
        <f>I251 + K251 - S251</f>
        <v>0</v>
      </c>
      <c r="W251" s="2">
        <f>M251 - V251</f>
        <v>0</v>
      </c>
      <c r="X251" s="2">
        <f>IFERROR(W251 / M251 * 100, 0)</f>
        <v>0</v>
      </c>
    </row>
    <row r="252" spans="1:24">
      <c r="A252" t="s">
        <v>4396</v>
      </c>
      <c r="B252" t="s">
        <v>513</v>
      </c>
      <c r="C252" t="s">
        <v>5064</v>
      </c>
      <c r="D252" t="s">
        <v>1008</v>
      </c>
      <c r="E252" t="s">
        <v>5482</v>
      </c>
      <c r="F252" t="s">
        <v>5733</v>
      </c>
      <c r="G252">
        <v>3.88</v>
      </c>
      <c r="H252">
        <v>0</v>
      </c>
      <c r="I252">
        <v>0</v>
      </c>
      <c r="J252">
        <v>0</v>
      </c>
      <c r="K252">
        <v>0</v>
      </c>
      <c r="L252">
        <v>2</v>
      </c>
      <c r="M252">
        <v>13</v>
      </c>
      <c r="N252">
        <v>0</v>
      </c>
      <c r="O252">
        <v>0</v>
      </c>
      <c r="P252" s="2">
        <f>(H252 + J252) - (L252 + N252)</f>
        <v>0</v>
      </c>
      <c r="Q252" s="2">
        <f>P252 * G252</f>
        <v>0</v>
      </c>
      <c r="R252">
        <v>0</v>
      </c>
      <c r="S252" s="2">
        <f>R252 * G252</f>
        <v>0</v>
      </c>
      <c r="T252" s="2">
        <f>(H252 + J252) - (L252 + N252) - R252</f>
        <v>0</v>
      </c>
      <c r="U252" s="2">
        <f>T252 * G252</f>
        <v>0</v>
      </c>
      <c r="V252" s="2">
        <f>I252 + K252 - S252</f>
        <v>0</v>
      </c>
      <c r="W252" s="2">
        <f>M252 - V252</f>
        <v>0</v>
      </c>
      <c r="X252" s="2">
        <f>IFERROR(W252 / M252 * 100, 0)</f>
        <v>0</v>
      </c>
    </row>
    <row r="253" spans="1:24">
      <c r="A253" t="s">
        <v>4397</v>
      </c>
      <c r="B253" t="s">
        <v>513</v>
      </c>
      <c r="C253" t="s">
        <v>5065</v>
      </c>
      <c r="D253" t="s">
        <v>1008</v>
      </c>
      <c r="E253" t="s">
        <v>5482</v>
      </c>
      <c r="F253" t="s">
        <v>5734</v>
      </c>
      <c r="G253">
        <v>3.68</v>
      </c>
      <c r="H253">
        <v>0</v>
      </c>
      <c r="I253">
        <v>0</v>
      </c>
      <c r="J253">
        <v>72</v>
      </c>
      <c r="K253">
        <v>249.1</v>
      </c>
      <c r="L253">
        <v>43</v>
      </c>
      <c r="M253">
        <v>258</v>
      </c>
      <c r="N253">
        <v>0</v>
      </c>
      <c r="O253">
        <v>0</v>
      </c>
      <c r="P253" s="2">
        <f>(H253 + J253) - (L253 + N253)</f>
        <v>0</v>
      </c>
      <c r="Q253" s="2">
        <f>P253 * G253</f>
        <v>0</v>
      </c>
      <c r="R253">
        <v>10</v>
      </c>
      <c r="S253" s="2">
        <f>R253 * G253</f>
        <v>0</v>
      </c>
      <c r="T253" s="2">
        <f>(H253 + J253) - (L253 + N253) - R253</f>
        <v>0</v>
      </c>
      <c r="U253" s="2">
        <f>T253 * G253</f>
        <v>0</v>
      </c>
      <c r="V253" s="2">
        <f>I253 + K253 - S253</f>
        <v>0</v>
      </c>
      <c r="W253" s="2">
        <f>M253 - V253</f>
        <v>0</v>
      </c>
      <c r="X253" s="2">
        <f>IFERROR(W253 / M253 * 100, 0)</f>
        <v>0</v>
      </c>
    </row>
    <row r="254" spans="1:24">
      <c r="A254" t="s">
        <v>4398</v>
      </c>
      <c r="B254" t="s">
        <v>512</v>
      </c>
      <c r="C254" t="s">
        <v>5066</v>
      </c>
      <c r="D254" t="s">
        <v>1008</v>
      </c>
      <c r="E254" t="s">
        <v>5482</v>
      </c>
      <c r="F254" t="s">
        <v>5735</v>
      </c>
      <c r="G254">
        <v>220</v>
      </c>
      <c r="H254">
        <v>1</v>
      </c>
      <c r="I254">
        <v>220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s="2">
        <f>(H254 + J254) - (L254 + N254)</f>
        <v>0</v>
      </c>
      <c r="Q254" s="2">
        <f>P254 * G254</f>
        <v>0</v>
      </c>
      <c r="R254">
        <v>1</v>
      </c>
      <c r="S254" s="2">
        <f>R254 * G254</f>
        <v>0</v>
      </c>
      <c r="T254" s="2">
        <f>(H254 + J254) - (L254 + N254) - R254</f>
        <v>0</v>
      </c>
      <c r="U254" s="2">
        <f>T254 * G254</f>
        <v>0</v>
      </c>
      <c r="V254" s="2">
        <f>I254 + K254 - S254</f>
        <v>0</v>
      </c>
      <c r="W254" s="2">
        <f>M254 - V254</f>
        <v>0</v>
      </c>
      <c r="X254" s="2">
        <f>IFERROR(W254 / M254 * 100, 0)</f>
        <v>0</v>
      </c>
    </row>
    <row r="255" spans="1:24">
      <c r="A255" t="s">
        <v>4399</v>
      </c>
      <c r="B255" t="s">
        <v>513</v>
      </c>
      <c r="C255" t="s">
        <v>5067</v>
      </c>
      <c r="D255" t="s">
        <v>1007</v>
      </c>
      <c r="E255" t="s">
        <v>5482</v>
      </c>
      <c r="F255" t="s">
        <v>5736</v>
      </c>
      <c r="G255">
        <v>4.22</v>
      </c>
      <c r="H255">
        <v>1.4</v>
      </c>
      <c r="I255">
        <v>5.91</v>
      </c>
      <c r="J255">
        <v>0</v>
      </c>
      <c r="K255">
        <v>0</v>
      </c>
      <c r="L255">
        <v>1.71</v>
      </c>
      <c r="M255">
        <v>47.74</v>
      </c>
      <c r="N255">
        <v>0</v>
      </c>
      <c r="O255">
        <v>0</v>
      </c>
      <c r="P255" s="2">
        <f>(H255 + J255) - (L255 + N255)</f>
        <v>0</v>
      </c>
      <c r="Q255" s="2">
        <f>P255 * G255</f>
        <v>0</v>
      </c>
      <c r="R255">
        <v>1</v>
      </c>
      <c r="S255" s="2">
        <f>R255 * G255</f>
        <v>0</v>
      </c>
      <c r="T255" s="2">
        <f>(H255 + J255) - (L255 + N255) - R255</f>
        <v>0</v>
      </c>
      <c r="U255" s="2">
        <f>T255 * G255</f>
        <v>0</v>
      </c>
      <c r="V255" s="2">
        <f>I255 + K255 - S255</f>
        <v>0</v>
      </c>
      <c r="W255" s="2">
        <f>M255 - V255</f>
        <v>0</v>
      </c>
      <c r="X255" s="2">
        <f>IFERROR(W255 / M255 * 100, 0)</f>
        <v>0</v>
      </c>
    </row>
    <row r="256" spans="1:24">
      <c r="A256" t="s">
        <v>4400</v>
      </c>
      <c r="B256" t="s">
        <v>512</v>
      </c>
      <c r="C256" t="s">
        <v>5068</v>
      </c>
      <c r="D256" t="s">
        <v>1008</v>
      </c>
      <c r="E256" t="s">
        <v>5482</v>
      </c>
      <c r="F256" t="s">
        <v>5737</v>
      </c>
      <c r="G256">
        <v>120</v>
      </c>
      <c r="H256">
        <v>0</v>
      </c>
      <c r="I256">
        <v>0</v>
      </c>
      <c r="J256">
        <v>2</v>
      </c>
      <c r="K256">
        <v>240</v>
      </c>
      <c r="L256">
        <v>0</v>
      </c>
      <c r="M256">
        <v>0</v>
      </c>
      <c r="N256">
        <v>0</v>
      </c>
      <c r="O256">
        <v>0</v>
      </c>
      <c r="P256" s="2">
        <f>(H256 + J256) - (L256 + N256)</f>
        <v>0</v>
      </c>
      <c r="Q256" s="2">
        <f>P256 * G256</f>
        <v>0</v>
      </c>
      <c r="R256">
        <v>0</v>
      </c>
      <c r="S256" s="2">
        <f>R256 * G256</f>
        <v>0</v>
      </c>
      <c r="T256" s="2">
        <f>(H256 + J256) - (L256 + N256) - R256</f>
        <v>0</v>
      </c>
      <c r="U256" s="2">
        <f>T256 * G256</f>
        <v>0</v>
      </c>
      <c r="V256" s="2">
        <f>I256 + K256 - S256</f>
        <v>0</v>
      </c>
      <c r="W256" s="2">
        <f>M256 - V256</f>
        <v>0</v>
      </c>
      <c r="X256" s="2">
        <f>IFERROR(W256 / M256 * 100, 0)</f>
        <v>0</v>
      </c>
    </row>
    <row r="257" spans="1:24">
      <c r="A257" t="s">
        <v>4401</v>
      </c>
      <c r="B257" t="s">
        <v>512</v>
      </c>
      <c r="C257" t="s">
        <v>5069</v>
      </c>
      <c r="D257" t="s">
        <v>1008</v>
      </c>
      <c r="E257" t="s">
        <v>5482</v>
      </c>
      <c r="F257" t="s">
        <v>5738</v>
      </c>
      <c r="G257">
        <v>100</v>
      </c>
      <c r="H257">
        <v>1</v>
      </c>
      <c r="I257">
        <v>100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s="2">
        <f>(H257 + J257) - (L257 + N257)</f>
        <v>0</v>
      </c>
      <c r="Q257" s="2">
        <f>P257 * G257</f>
        <v>0</v>
      </c>
      <c r="R257">
        <v>1</v>
      </c>
      <c r="S257" s="2">
        <f>R257 * G257</f>
        <v>0</v>
      </c>
      <c r="T257" s="2">
        <f>(H257 + J257) - (L257 + N257) - R257</f>
        <v>0</v>
      </c>
      <c r="U257" s="2">
        <f>T257 * G257</f>
        <v>0</v>
      </c>
      <c r="V257" s="2">
        <f>I257 + K257 - S257</f>
        <v>0</v>
      </c>
      <c r="W257" s="2">
        <f>M257 - V257</f>
        <v>0</v>
      </c>
      <c r="X257" s="2">
        <f>IFERROR(W257 / M257 * 100, 0)</f>
        <v>0</v>
      </c>
    </row>
    <row r="258" spans="1:24">
      <c r="A258" t="s">
        <v>4402</v>
      </c>
      <c r="B258" t="s">
        <v>512</v>
      </c>
      <c r="C258" t="s">
        <v>5070</v>
      </c>
      <c r="D258" t="s">
        <v>1008</v>
      </c>
      <c r="E258" t="s">
        <v>5482</v>
      </c>
      <c r="F258" t="s">
        <v>5739</v>
      </c>
      <c r="G258">
        <v>225</v>
      </c>
      <c r="H258">
        <v>0</v>
      </c>
      <c r="I258">
        <v>0</v>
      </c>
      <c r="J258">
        <v>1</v>
      </c>
      <c r="K258">
        <v>225</v>
      </c>
      <c r="L258">
        <v>0</v>
      </c>
      <c r="M258">
        <v>0</v>
      </c>
      <c r="N258">
        <v>0</v>
      </c>
      <c r="O258">
        <v>0</v>
      </c>
      <c r="P258" s="2">
        <f>(H258 + J258) - (L258 + N258)</f>
        <v>0</v>
      </c>
      <c r="Q258" s="2">
        <f>P258 * G258</f>
        <v>0</v>
      </c>
      <c r="R258">
        <v>0</v>
      </c>
      <c r="S258" s="2">
        <f>R258 * G258</f>
        <v>0</v>
      </c>
      <c r="T258" s="2">
        <f>(H258 + J258) - (L258 + N258) - R258</f>
        <v>0</v>
      </c>
      <c r="U258" s="2">
        <f>T258 * G258</f>
        <v>0</v>
      </c>
      <c r="V258" s="2">
        <f>I258 + K258 - S258</f>
        <v>0</v>
      </c>
      <c r="W258" s="2">
        <f>M258 - V258</f>
        <v>0</v>
      </c>
      <c r="X258" s="2">
        <f>IFERROR(W258 / M258 * 100, 0)</f>
        <v>0</v>
      </c>
    </row>
    <row r="259" spans="1:24">
      <c r="A259" t="s">
        <v>4403</v>
      </c>
      <c r="B259" t="s">
        <v>512</v>
      </c>
      <c r="C259" t="s">
        <v>5071</v>
      </c>
      <c r="D259" t="s">
        <v>1008</v>
      </c>
      <c r="E259" t="s">
        <v>5482</v>
      </c>
      <c r="F259" t="s">
        <v>5740</v>
      </c>
      <c r="G259">
        <v>100</v>
      </c>
      <c r="H259">
        <v>0</v>
      </c>
      <c r="I259">
        <v>0</v>
      </c>
      <c r="J259">
        <v>1</v>
      </c>
      <c r="K259">
        <v>100</v>
      </c>
      <c r="L259">
        <v>0</v>
      </c>
      <c r="M259">
        <v>0</v>
      </c>
      <c r="N259">
        <v>0</v>
      </c>
      <c r="O259">
        <v>0</v>
      </c>
      <c r="P259" s="2">
        <f>(H259 + J259) - (L259 + N259)</f>
        <v>0</v>
      </c>
      <c r="Q259" s="2">
        <f>P259 * G259</f>
        <v>0</v>
      </c>
      <c r="R259">
        <v>0</v>
      </c>
      <c r="S259" s="2">
        <f>R259 * G259</f>
        <v>0</v>
      </c>
      <c r="T259" s="2">
        <f>(H259 + J259) - (L259 + N259) - R259</f>
        <v>0</v>
      </c>
      <c r="U259" s="2">
        <f>T259 * G259</f>
        <v>0</v>
      </c>
      <c r="V259" s="2">
        <f>I259 + K259 - S259</f>
        <v>0</v>
      </c>
      <c r="W259" s="2">
        <f>M259 - V259</f>
        <v>0</v>
      </c>
      <c r="X259" s="2">
        <f>IFERROR(W259 / M259 * 100, 0)</f>
        <v>0</v>
      </c>
    </row>
    <row r="260" spans="1:24">
      <c r="A260" t="s">
        <v>4404</v>
      </c>
      <c r="B260" t="s">
        <v>512</v>
      </c>
      <c r="C260" t="s">
        <v>5072</v>
      </c>
      <c r="D260" t="s">
        <v>1007</v>
      </c>
      <c r="E260" t="s">
        <v>5482</v>
      </c>
      <c r="F260" t="s">
        <v>5741</v>
      </c>
      <c r="G260">
        <v>18</v>
      </c>
      <c r="H260">
        <v>0</v>
      </c>
      <c r="I260">
        <v>0</v>
      </c>
      <c r="J260">
        <v>0</v>
      </c>
      <c r="K260">
        <v>0</v>
      </c>
      <c r="L260">
        <v>0.71</v>
      </c>
      <c r="M260">
        <v>17.76</v>
      </c>
      <c r="N260">
        <v>0</v>
      </c>
      <c r="O260">
        <v>0</v>
      </c>
      <c r="P260" s="2">
        <f>(H260 + J260) - (L260 + N260)</f>
        <v>0</v>
      </c>
      <c r="Q260" s="2">
        <f>P260 * G260</f>
        <v>0</v>
      </c>
      <c r="R260">
        <v>0.5</v>
      </c>
      <c r="S260" s="2">
        <f>R260 * G260</f>
        <v>0</v>
      </c>
      <c r="T260" s="2">
        <f>(H260 + J260) - (L260 + N260) - R260</f>
        <v>0</v>
      </c>
      <c r="U260" s="2">
        <f>T260 * G260</f>
        <v>0</v>
      </c>
      <c r="V260" s="2">
        <f>I260 + K260 - S260</f>
        <v>0</v>
      </c>
      <c r="W260" s="2">
        <f>M260 - V260</f>
        <v>0</v>
      </c>
      <c r="X260" s="2">
        <f>IFERROR(W260 / M260 * 100, 0)</f>
        <v>0</v>
      </c>
    </row>
    <row r="261" spans="1:24">
      <c r="A261" t="s">
        <v>4405</v>
      </c>
      <c r="B261" t="s">
        <v>512</v>
      </c>
      <c r="C261" t="s">
        <v>5073</v>
      </c>
      <c r="D261" t="s">
        <v>1008</v>
      </c>
      <c r="E261" t="s">
        <v>5482</v>
      </c>
      <c r="F261" t="s">
        <v>5742</v>
      </c>
      <c r="G261">
        <v>3.2</v>
      </c>
      <c r="H261">
        <v>20</v>
      </c>
      <c r="I261">
        <v>64</v>
      </c>
      <c r="J261">
        <v>0</v>
      </c>
      <c r="K261">
        <v>0</v>
      </c>
      <c r="L261">
        <v>33</v>
      </c>
      <c r="M261">
        <v>132</v>
      </c>
      <c r="N261">
        <v>0</v>
      </c>
      <c r="O261">
        <v>0</v>
      </c>
      <c r="P261" s="2">
        <f>(H261 + J261) - (L261 + N261)</f>
        <v>0</v>
      </c>
      <c r="Q261" s="2">
        <f>P261 * G261</f>
        <v>0</v>
      </c>
      <c r="R261">
        <v>13</v>
      </c>
      <c r="S261" s="2">
        <f>R261 * G261</f>
        <v>0</v>
      </c>
      <c r="T261" s="2">
        <f>(H261 + J261) - (L261 + N261) - R261</f>
        <v>0</v>
      </c>
      <c r="U261" s="2">
        <f>T261 * G261</f>
        <v>0</v>
      </c>
      <c r="V261" s="2">
        <f>I261 + K261 - S261</f>
        <v>0</v>
      </c>
      <c r="W261" s="2">
        <f>M261 - V261</f>
        <v>0</v>
      </c>
      <c r="X261" s="2">
        <f>IFERROR(W261 / M261 * 100, 0)</f>
        <v>0</v>
      </c>
    </row>
    <row r="262" spans="1:24">
      <c r="A262" t="s">
        <v>4406</v>
      </c>
      <c r="B262" t="s">
        <v>512</v>
      </c>
      <c r="C262" t="s">
        <v>5074</v>
      </c>
      <c r="D262" t="s">
        <v>1008</v>
      </c>
      <c r="E262" t="s">
        <v>5482</v>
      </c>
      <c r="F262" t="s">
        <v>5743</v>
      </c>
      <c r="G262">
        <v>2.4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4</v>
      </c>
      <c r="N262">
        <v>0</v>
      </c>
      <c r="O262">
        <v>0</v>
      </c>
      <c r="P262" s="2">
        <f>(H262 + J262) - (L262 + N262)</f>
        <v>0</v>
      </c>
      <c r="Q262" s="2">
        <f>P262 * G262</f>
        <v>0</v>
      </c>
      <c r="R262">
        <v>0</v>
      </c>
      <c r="S262" s="2">
        <f>R262 * G262</f>
        <v>0</v>
      </c>
      <c r="T262" s="2">
        <f>(H262 + J262) - (L262 + N262) - R262</f>
        <v>0</v>
      </c>
      <c r="U262" s="2">
        <f>T262 * G262</f>
        <v>0</v>
      </c>
      <c r="V262" s="2">
        <f>I262 + K262 - S262</f>
        <v>0</v>
      </c>
      <c r="W262" s="2">
        <f>M262 - V262</f>
        <v>0</v>
      </c>
      <c r="X262" s="2">
        <f>IFERROR(W262 / M262 * 100, 0)</f>
        <v>0</v>
      </c>
    </row>
    <row r="263" spans="1:24">
      <c r="A263" t="s">
        <v>4407</v>
      </c>
      <c r="B263" t="s">
        <v>513</v>
      </c>
      <c r="C263" t="s">
        <v>5075</v>
      </c>
      <c r="D263" t="s">
        <v>1008</v>
      </c>
      <c r="E263" t="s">
        <v>5482</v>
      </c>
      <c r="F263" t="s">
        <v>5744</v>
      </c>
      <c r="G263">
        <v>16.83</v>
      </c>
      <c r="H263">
        <v>2</v>
      </c>
      <c r="I263">
        <v>33.12</v>
      </c>
      <c r="J263">
        <v>52</v>
      </c>
      <c r="K263">
        <v>854.33</v>
      </c>
      <c r="L263">
        <v>52</v>
      </c>
      <c r="M263">
        <v>3120</v>
      </c>
      <c r="N263">
        <v>0</v>
      </c>
      <c r="O263">
        <v>0</v>
      </c>
      <c r="P263" s="2">
        <f>(H263 + J263) - (L263 + N263)</f>
        <v>0</v>
      </c>
      <c r="Q263" s="2">
        <f>P263 * G263</f>
        <v>0</v>
      </c>
      <c r="R263">
        <v>2</v>
      </c>
      <c r="S263" s="2">
        <f>R263 * G263</f>
        <v>0</v>
      </c>
      <c r="T263" s="2">
        <f>(H263 + J263) - (L263 + N263) - R263</f>
        <v>0</v>
      </c>
      <c r="U263" s="2">
        <f>T263 * G263</f>
        <v>0</v>
      </c>
      <c r="V263" s="2">
        <f>I263 + K263 - S263</f>
        <v>0</v>
      </c>
      <c r="W263" s="2">
        <f>M263 - V263</f>
        <v>0</v>
      </c>
      <c r="X263" s="2">
        <f>IFERROR(W263 / M263 * 100, 0)</f>
        <v>0</v>
      </c>
    </row>
    <row r="264" spans="1:24">
      <c r="A264" t="s">
        <v>4408</v>
      </c>
      <c r="B264" t="s">
        <v>513</v>
      </c>
      <c r="C264" t="s">
        <v>5076</v>
      </c>
      <c r="D264" t="s">
        <v>1008</v>
      </c>
      <c r="E264" t="s">
        <v>5482</v>
      </c>
      <c r="F264" t="s">
        <v>5745</v>
      </c>
      <c r="G264">
        <v>22.58</v>
      </c>
      <c r="H264">
        <v>2</v>
      </c>
      <c r="I264">
        <v>45.84</v>
      </c>
      <c r="J264">
        <v>5</v>
      </c>
      <c r="K264">
        <v>108.53</v>
      </c>
      <c r="L264">
        <v>6</v>
      </c>
      <c r="M264">
        <v>390</v>
      </c>
      <c r="N264">
        <v>0</v>
      </c>
      <c r="O264">
        <v>0</v>
      </c>
      <c r="P264" s="2">
        <f>(H264 + J264) - (L264 + N264)</f>
        <v>0</v>
      </c>
      <c r="Q264" s="2">
        <f>P264 * G264</f>
        <v>0</v>
      </c>
      <c r="R264">
        <v>2</v>
      </c>
      <c r="S264" s="2">
        <f>R264 * G264</f>
        <v>0</v>
      </c>
      <c r="T264" s="2">
        <f>(H264 + J264) - (L264 + N264) - R264</f>
        <v>0</v>
      </c>
      <c r="U264" s="2">
        <f>T264 * G264</f>
        <v>0</v>
      </c>
      <c r="V264" s="2">
        <f>I264 + K264 - S264</f>
        <v>0</v>
      </c>
      <c r="W264" s="2">
        <f>M264 - V264</f>
        <v>0</v>
      </c>
      <c r="X264" s="2">
        <f>IFERROR(W264 / M264 * 100, 0)</f>
        <v>0</v>
      </c>
    </row>
    <row r="265" spans="1:24">
      <c r="A265" t="s">
        <v>4409</v>
      </c>
      <c r="B265" t="s">
        <v>513</v>
      </c>
      <c r="C265" t="s">
        <v>5077</v>
      </c>
      <c r="D265" t="s">
        <v>1008</v>
      </c>
      <c r="E265" t="s">
        <v>5482</v>
      </c>
      <c r="F265" t="s">
        <v>5746</v>
      </c>
      <c r="G265">
        <v>22.1</v>
      </c>
      <c r="H265">
        <v>0</v>
      </c>
      <c r="I265">
        <v>0</v>
      </c>
      <c r="J265">
        <v>0</v>
      </c>
      <c r="K265">
        <v>-47.91</v>
      </c>
      <c r="L265">
        <v>3</v>
      </c>
      <c r="M265">
        <v>270</v>
      </c>
      <c r="N265">
        <v>0</v>
      </c>
      <c r="O265">
        <v>0</v>
      </c>
      <c r="P265" s="2">
        <f>(H265 + J265) - (L265 + N265)</f>
        <v>0</v>
      </c>
      <c r="Q265" s="2">
        <f>P265 * G265</f>
        <v>0</v>
      </c>
      <c r="R265">
        <v>0</v>
      </c>
      <c r="S265" s="2">
        <f>R265 * G265</f>
        <v>0</v>
      </c>
      <c r="T265" s="2">
        <f>(H265 + J265) - (L265 + N265) - R265</f>
        <v>0</v>
      </c>
      <c r="U265" s="2">
        <f>T265 * G265</f>
        <v>0</v>
      </c>
      <c r="V265" s="2">
        <f>I265 + K265 - S265</f>
        <v>0</v>
      </c>
      <c r="W265" s="2">
        <f>M265 - V265</f>
        <v>0</v>
      </c>
      <c r="X265" s="2">
        <f>IFERROR(W265 / M265 * 100, 0)</f>
        <v>0</v>
      </c>
    </row>
    <row r="266" spans="1:24">
      <c r="A266" t="s">
        <v>4410</v>
      </c>
      <c r="B266" t="s">
        <v>513</v>
      </c>
      <c r="C266" t="s">
        <v>5078</v>
      </c>
      <c r="D266" t="s">
        <v>1008</v>
      </c>
      <c r="E266" t="s">
        <v>5482</v>
      </c>
      <c r="F266" t="s">
        <v>5747</v>
      </c>
      <c r="G266">
        <v>1.24</v>
      </c>
      <c r="H266">
        <v>4</v>
      </c>
      <c r="I266">
        <v>4.95</v>
      </c>
      <c r="J266">
        <v>0</v>
      </c>
      <c r="K266">
        <v>0</v>
      </c>
      <c r="L266">
        <v>7</v>
      </c>
      <c r="M266">
        <v>35</v>
      </c>
      <c r="N266">
        <v>0</v>
      </c>
      <c r="O266">
        <v>0</v>
      </c>
      <c r="P266" s="2">
        <f>(H266 + J266) - (L266 + N266)</f>
        <v>0</v>
      </c>
      <c r="Q266" s="2">
        <f>P266 * G266</f>
        <v>0</v>
      </c>
      <c r="R266">
        <v>0</v>
      </c>
      <c r="S266" s="2">
        <f>R266 * G266</f>
        <v>0</v>
      </c>
      <c r="T266" s="2">
        <f>(H266 + J266) - (L266 + N266) - R266</f>
        <v>0</v>
      </c>
      <c r="U266" s="2">
        <f>T266 * G266</f>
        <v>0</v>
      </c>
      <c r="V266" s="2">
        <f>I266 + K266 - S266</f>
        <v>0</v>
      </c>
      <c r="W266" s="2">
        <f>M266 - V266</f>
        <v>0</v>
      </c>
      <c r="X266" s="2">
        <f>IFERROR(W266 / M266 * 100, 0)</f>
        <v>0</v>
      </c>
    </row>
    <row r="267" spans="1:24">
      <c r="A267" t="s">
        <v>4411</v>
      </c>
      <c r="B267" t="s">
        <v>513</v>
      </c>
      <c r="C267" t="s">
        <v>5079</v>
      </c>
      <c r="D267" t="s">
        <v>1008</v>
      </c>
      <c r="E267" t="s">
        <v>5482</v>
      </c>
      <c r="F267" t="s">
        <v>5748</v>
      </c>
      <c r="G267">
        <v>2.92</v>
      </c>
      <c r="H267">
        <v>71</v>
      </c>
      <c r="I267">
        <v>202.37</v>
      </c>
      <c r="J267">
        <v>205</v>
      </c>
      <c r="K267">
        <v>477.77</v>
      </c>
      <c r="L267">
        <v>191</v>
      </c>
      <c r="M267">
        <v>1050.5</v>
      </c>
      <c r="N267">
        <v>27</v>
      </c>
      <c r="O267">
        <v>80.65000000000001</v>
      </c>
      <c r="P267" s="2">
        <f>(H267 + J267) - (L267 + N267)</f>
        <v>0</v>
      </c>
      <c r="Q267" s="2">
        <f>P267 * G267</f>
        <v>0</v>
      </c>
      <c r="R267">
        <v>70</v>
      </c>
      <c r="S267" s="2">
        <f>R267 * G267</f>
        <v>0</v>
      </c>
      <c r="T267" s="2">
        <f>(H267 + J267) - (L267 + N267) - R267</f>
        <v>0</v>
      </c>
      <c r="U267" s="2">
        <f>T267 * G267</f>
        <v>0</v>
      </c>
      <c r="V267" s="2">
        <f>I267 + K267 - S267</f>
        <v>0</v>
      </c>
      <c r="W267" s="2">
        <f>M267 - V267</f>
        <v>0</v>
      </c>
      <c r="X267" s="2">
        <f>IFERROR(W267 / M267 * 100, 0)</f>
        <v>0</v>
      </c>
    </row>
    <row r="268" spans="1:24">
      <c r="A268" t="s">
        <v>4412</v>
      </c>
      <c r="B268" t="s">
        <v>513</v>
      </c>
      <c r="C268" t="s">
        <v>5080</v>
      </c>
      <c r="D268" t="s">
        <v>1008</v>
      </c>
      <c r="E268" t="s">
        <v>5482</v>
      </c>
      <c r="F268" t="s">
        <v>5749</v>
      </c>
      <c r="G268">
        <v>15.48</v>
      </c>
      <c r="H268">
        <v>0</v>
      </c>
      <c r="I268">
        <v>0</v>
      </c>
      <c r="J268">
        <v>1</v>
      </c>
      <c r="K268">
        <v>15.58</v>
      </c>
      <c r="L268">
        <v>3</v>
      </c>
      <c r="M268">
        <v>375</v>
      </c>
      <c r="N268">
        <v>0</v>
      </c>
      <c r="O268">
        <v>0</v>
      </c>
      <c r="P268" s="2">
        <f>(H268 + J268) - (L268 + N268)</f>
        <v>0</v>
      </c>
      <c r="Q268" s="2">
        <f>P268 * G268</f>
        <v>0</v>
      </c>
      <c r="R268">
        <v>0</v>
      </c>
      <c r="S268" s="2">
        <f>R268 * G268</f>
        <v>0</v>
      </c>
      <c r="T268" s="2">
        <f>(H268 + J268) - (L268 + N268) - R268</f>
        <v>0</v>
      </c>
      <c r="U268" s="2">
        <f>T268 * G268</f>
        <v>0</v>
      </c>
      <c r="V268" s="2">
        <f>I268 + K268 - S268</f>
        <v>0</v>
      </c>
      <c r="W268" s="2">
        <f>M268 - V268</f>
        <v>0</v>
      </c>
      <c r="X268" s="2">
        <f>IFERROR(W268 / M268 * 100, 0)</f>
        <v>0</v>
      </c>
    </row>
    <row r="269" spans="1:24">
      <c r="A269" t="s">
        <v>4413</v>
      </c>
      <c r="B269" t="s">
        <v>513</v>
      </c>
      <c r="C269" t="s">
        <v>5081</v>
      </c>
      <c r="D269" t="s">
        <v>1008</v>
      </c>
      <c r="E269" t="s">
        <v>5482</v>
      </c>
      <c r="F269" t="s">
        <v>5750</v>
      </c>
      <c r="G269">
        <v>2.04</v>
      </c>
      <c r="H269">
        <v>0</v>
      </c>
      <c r="I269">
        <v>0</v>
      </c>
      <c r="J269">
        <v>30</v>
      </c>
      <c r="K269">
        <v>62.85</v>
      </c>
      <c r="L269">
        <v>7</v>
      </c>
      <c r="M269">
        <v>28</v>
      </c>
      <c r="N269">
        <v>1</v>
      </c>
      <c r="O269">
        <v>2.07</v>
      </c>
      <c r="P269" s="2">
        <f>(H269 + J269) - (L269 + N269)</f>
        <v>0</v>
      </c>
      <c r="Q269" s="2">
        <f>P269 * G269</f>
        <v>0</v>
      </c>
      <c r="R269">
        <v>0</v>
      </c>
      <c r="S269" s="2">
        <f>R269 * G269</f>
        <v>0</v>
      </c>
      <c r="T269" s="2">
        <f>(H269 + J269) - (L269 + N269) - R269</f>
        <v>0</v>
      </c>
      <c r="U269" s="2">
        <f>T269 * G269</f>
        <v>0</v>
      </c>
      <c r="V269" s="2">
        <f>I269 + K269 - S269</f>
        <v>0</v>
      </c>
      <c r="W269" s="2">
        <f>M269 - V269</f>
        <v>0</v>
      </c>
      <c r="X269" s="2">
        <f>IFERROR(W269 / M269 * 100, 0)</f>
        <v>0</v>
      </c>
    </row>
    <row r="270" spans="1:24">
      <c r="A270" t="s">
        <v>4414</v>
      </c>
      <c r="B270" t="s">
        <v>513</v>
      </c>
      <c r="C270" t="s">
        <v>5082</v>
      </c>
      <c r="D270" t="s">
        <v>1008</v>
      </c>
      <c r="E270" t="s">
        <v>5482</v>
      </c>
      <c r="F270" t="s">
        <v>5751</v>
      </c>
      <c r="G270">
        <v>1.82</v>
      </c>
      <c r="H270">
        <v>0</v>
      </c>
      <c r="I270">
        <v>0</v>
      </c>
      <c r="J270">
        <v>220</v>
      </c>
      <c r="K270">
        <v>265.11</v>
      </c>
      <c r="L270">
        <v>131</v>
      </c>
      <c r="M270">
        <v>851.5</v>
      </c>
      <c r="N270">
        <v>7</v>
      </c>
      <c r="O270">
        <v>12.35</v>
      </c>
      <c r="P270" s="2">
        <f>(H270 + J270) - (L270 + N270)</f>
        <v>0</v>
      </c>
      <c r="Q270" s="2">
        <f>P270 * G270</f>
        <v>0</v>
      </c>
      <c r="R270">
        <v>0</v>
      </c>
      <c r="S270" s="2">
        <f>R270 * G270</f>
        <v>0</v>
      </c>
      <c r="T270" s="2">
        <f>(H270 + J270) - (L270 + N270) - R270</f>
        <v>0</v>
      </c>
      <c r="U270" s="2">
        <f>T270 * G270</f>
        <v>0</v>
      </c>
      <c r="V270" s="2">
        <f>I270 + K270 - S270</f>
        <v>0</v>
      </c>
      <c r="W270" s="2">
        <f>M270 - V270</f>
        <v>0</v>
      </c>
      <c r="X270" s="2">
        <f>IFERROR(W270 / M270 * 100, 0)</f>
        <v>0</v>
      </c>
    </row>
    <row r="271" spans="1:24">
      <c r="A271" t="s">
        <v>4415</v>
      </c>
      <c r="B271" t="s">
        <v>513</v>
      </c>
      <c r="C271" t="s">
        <v>5083</v>
      </c>
      <c r="D271" t="s">
        <v>1008</v>
      </c>
      <c r="E271" t="s">
        <v>5482</v>
      </c>
      <c r="F271" t="s">
        <v>5752</v>
      </c>
      <c r="G271">
        <v>3.38</v>
      </c>
      <c r="H271">
        <v>0</v>
      </c>
      <c r="I271">
        <v>0</v>
      </c>
      <c r="J271">
        <v>28</v>
      </c>
      <c r="K271">
        <v>95.61</v>
      </c>
      <c r="L271">
        <v>4</v>
      </c>
      <c r="M271">
        <v>20</v>
      </c>
      <c r="N271">
        <v>1</v>
      </c>
      <c r="O271">
        <v>3.38</v>
      </c>
      <c r="P271" s="2">
        <f>(H271 + J271) - (L271 + N271)</f>
        <v>0</v>
      </c>
      <c r="Q271" s="2">
        <f>P271 * G271</f>
        <v>0</v>
      </c>
      <c r="R271">
        <v>0</v>
      </c>
      <c r="S271" s="2">
        <f>R271 * G271</f>
        <v>0</v>
      </c>
      <c r="T271" s="2">
        <f>(H271 + J271) - (L271 + N271) - R271</f>
        <v>0</v>
      </c>
      <c r="U271" s="2">
        <f>T271 * G271</f>
        <v>0</v>
      </c>
      <c r="V271" s="2">
        <f>I271 + K271 - S271</f>
        <v>0</v>
      </c>
      <c r="W271" s="2">
        <f>M271 - V271</f>
        <v>0</v>
      </c>
      <c r="X271" s="2">
        <f>IFERROR(W271 / M271 * 100, 0)</f>
        <v>0</v>
      </c>
    </row>
    <row r="272" spans="1:24">
      <c r="A272" t="s">
        <v>4416</v>
      </c>
      <c r="B272" t="s">
        <v>513</v>
      </c>
      <c r="C272" t="s">
        <v>5084</v>
      </c>
      <c r="D272" t="s">
        <v>1008</v>
      </c>
      <c r="E272" t="s">
        <v>5482</v>
      </c>
      <c r="F272" t="s">
        <v>5753</v>
      </c>
      <c r="G272">
        <v>2.71</v>
      </c>
      <c r="H272">
        <v>18</v>
      </c>
      <c r="I272">
        <v>50.21</v>
      </c>
      <c r="J272">
        <v>85</v>
      </c>
      <c r="K272">
        <v>230.69</v>
      </c>
      <c r="L272">
        <v>84</v>
      </c>
      <c r="M272">
        <v>588</v>
      </c>
      <c r="N272">
        <v>0</v>
      </c>
      <c r="O272">
        <v>0</v>
      </c>
      <c r="P272" s="2">
        <f>(H272 + J272) - (L272 + N272)</f>
        <v>0</v>
      </c>
      <c r="Q272" s="2">
        <f>P272 * G272</f>
        <v>0</v>
      </c>
      <c r="R272">
        <v>21</v>
      </c>
      <c r="S272" s="2">
        <f>R272 * G272</f>
        <v>0</v>
      </c>
      <c r="T272" s="2">
        <f>(H272 + J272) - (L272 + N272) - R272</f>
        <v>0</v>
      </c>
      <c r="U272" s="2">
        <f>T272 * G272</f>
        <v>0</v>
      </c>
      <c r="V272" s="2">
        <f>I272 + K272 - S272</f>
        <v>0</v>
      </c>
      <c r="W272" s="2">
        <f>M272 - V272</f>
        <v>0</v>
      </c>
      <c r="X272" s="2">
        <f>IFERROR(W272 / M272 * 100, 0)</f>
        <v>0</v>
      </c>
    </row>
    <row r="273" spans="1:24">
      <c r="A273" t="s">
        <v>4417</v>
      </c>
      <c r="B273" t="s">
        <v>513</v>
      </c>
      <c r="C273" t="s">
        <v>5085</v>
      </c>
      <c r="D273" t="s">
        <v>1008</v>
      </c>
      <c r="E273" t="s">
        <v>5482</v>
      </c>
      <c r="F273" t="s">
        <v>5754</v>
      </c>
      <c r="G273">
        <v>0.92</v>
      </c>
      <c r="H273">
        <v>6</v>
      </c>
      <c r="I273">
        <v>5.72</v>
      </c>
      <c r="J273">
        <v>136</v>
      </c>
      <c r="K273">
        <v>117.75</v>
      </c>
      <c r="L273">
        <v>103</v>
      </c>
      <c r="M273">
        <v>309</v>
      </c>
      <c r="N273">
        <v>0</v>
      </c>
      <c r="O273">
        <v>0</v>
      </c>
      <c r="P273" s="2">
        <f>(H273 + J273) - (L273 + N273)</f>
        <v>0</v>
      </c>
      <c r="Q273" s="2">
        <f>P273 * G273</f>
        <v>0</v>
      </c>
      <c r="R273">
        <v>80</v>
      </c>
      <c r="S273" s="2">
        <f>R273 * G273</f>
        <v>0</v>
      </c>
      <c r="T273" s="2">
        <f>(H273 + J273) - (L273 + N273) - R273</f>
        <v>0</v>
      </c>
      <c r="U273" s="2">
        <f>T273 * G273</f>
        <v>0</v>
      </c>
      <c r="V273" s="2">
        <f>I273 + K273 - S273</f>
        <v>0</v>
      </c>
      <c r="W273" s="2">
        <f>M273 - V273</f>
        <v>0</v>
      </c>
      <c r="X273" s="2">
        <f>IFERROR(W273 / M273 * 100, 0)</f>
        <v>0</v>
      </c>
    </row>
    <row r="274" spans="1:24">
      <c r="A274" t="s">
        <v>4418</v>
      </c>
      <c r="B274" t="s">
        <v>513</v>
      </c>
      <c r="C274" t="s">
        <v>5086</v>
      </c>
      <c r="D274" t="s">
        <v>1008</v>
      </c>
      <c r="E274" t="s">
        <v>5482</v>
      </c>
      <c r="F274" t="s">
        <v>5755</v>
      </c>
      <c r="G274">
        <v>1.78</v>
      </c>
      <c r="H274">
        <v>0</v>
      </c>
      <c r="I274">
        <v>0</v>
      </c>
      <c r="J274">
        <v>53</v>
      </c>
      <c r="K274">
        <v>97.3</v>
      </c>
      <c r="L274">
        <v>50</v>
      </c>
      <c r="M274">
        <v>175</v>
      </c>
      <c r="N274">
        <v>2</v>
      </c>
      <c r="O274">
        <v>3.67</v>
      </c>
      <c r="P274" s="2">
        <f>(H274 + J274) - (L274 + N274)</f>
        <v>0</v>
      </c>
      <c r="Q274" s="2">
        <f>P274 * G274</f>
        <v>0</v>
      </c>
      <c r="R274">
        <v>0</v>
      </c>
      <c r="S274" s="2">
        <f>R274 * G274</f>
        <v>0</v>
      </c>
      <c r="T274" s="2">
        <f>(H274 + J274) - (L274 + N274) - R274</f>
        <v>0</v>
      </c>
      <c r="U274" s="2">
        <f>T274 * G274</f>
        <v>0</v>
      </c>
      <c r="V274" s="2">
        <f>I274 + K274 - S274</f>
        <v>0</v>
      </c>
      <c r="W274" s="2">
        <f>M274 - V274</f>
        <v>0</v>
      </c>
      <c r="X274" s="2">
        <f>IFERROR(W274 / M274 * 100, 0)</f>
        <v>0</v>
      </c>
    </row>
    <row r="275" spans="1:24">
      <c r="A275" t="s">
        <v>4419</v>
      </c>
      <c r="B275" t="s">
        <v>513</v>
      </c>
      <c r="C275" t="s">
        <v>5087</v>
      </c>
      <c r="D275" t="s">
        <v>1008</v>
      </c>
      <c r="E275" t="s">
        <v>5482</v>
      </c>
      <c r="F275" t="s">
        <v>5756</v>
      </c>
      <c r="G275">
        <v>1.7</v>
      </c>
      <c r="H275">
        <v>60</v>
      </c>
      <c r="I275">
        <v>102.97</v>
      </c>
      <c r="J275">
        <v>76</v>
      </c>
      <c r="K275">
        <v>120.3</v>
      </c>
      <c r="L275">
        <v>76</v>
      </c>
      <c r="M275">
        <v>304</v>
      </c>
      <c r="N275">
        <v>0</v>
      </c>
      <c r="O275">
        <v>0</v>
      </c>
      <c r="P275" s="2">
        <f>(H275 + J275) - (L275 + N275)</f>
        <v>0</v>
      </c>
      <c r="Q275" s="2">
        <f>P275 * G275</f>
        <v>0</v>
      </c>
      <c r="R275">
        <v>5</v>
      </c>
      <c r="S275" s="2">
        <f>R275 * G275</f>
        <v>0</v>
      </c>
      <c r="T275" s="2">
        <f>(H275 + J275) - (L275 + N275) - R275</f>
        <v>0</v>
      </c>
      <c r="U275" s="2">
        <f>T275 * G275</f>
        <v>0</v>
      </c>
      <c r="V275" s="2">
        <f>I275 + K275 - S275</f>
        <v>0</v>
      </c>
      <c r="W275" s="2">
        <f>M275 - V275</f>
        <v>0</v>
      </c>
      <c r="X275" s="2">
        <f>IFERROR(W275 / M275 * 100, 0)</f>
        <v>0</v>
      </c>
    </row>
    <row r="276" spans="1:24">
      <c r="A276" t="s">
        <v>4420</v>
      </c>
      <c r="B276" t="s">
        <v>513</v>
      </c>
      <c r="C276" t="s">
        <v>5088</v>
      </c>
      <c r="D276" t="s">
        <v>1008</v>
      </c>
      <c r="E276" t="s">
        <v>5482</v>
      </c>
      <c r="F276" t="s">
        <v>5757</v>
      </c>
      <c r="G276">
        <v>2.1</v>
      </c>
      <c r="H276">
        <v>0</v>
      </c>
      <c r="I276">
        <v>0</v>
      </c>
      <c r="J276">
        <v>69</v>
      </c>
      <c r="K276">
        <v>143.87</v>
      </c>
      <c r="L276">
        <v>64</v>
      </c>
      <c r="M276">
        <v>320</v>
      </c>
      <c r="N276">
        <v>4</v>
      </c>
      <c r="O276">
        <v>9.17</v>
      </c>
      <c r="P276" s="2">
        <f>(H276 + J276) - (L276 + N276)</f>
        <v>0</v>
      </c>
      <c r="Q276" s="2">
        <f>P276 * G276</f>
        <v>0</v>
      </c>
      <c r="R276">
        <v>0</v>
      </c>
      <c r="S276" s="2">
        <f>R276 * G276</f>
        <v>0</v>
      </c>
      <c r="T276" s="2">
        <f>(H276 + J276) - (L276 + N276) - R276</f>
        <v>0</v>
      </c>
      <c r="U276" s="2">
        <f>T276 * G276</f>
        <v>0</v>
      </c>
      <c r="V276" s="2">
        <f>I276 + K276 - S276</f>
        <v>0</v>
      </c>
      <c r="W276" s="2">
        <f>M276 - V276</f>
        <v>0</v>
      </c>
      <c r="X276" s="2">
        <f>IFERROR(W276 / M276 * 100, 0)</f>
        <v>0</v>
      </c>
    </row>
    <row r="277" spans="1:24">
      <c r="A277" t="s">
        <v>4421</v>
      </c>
      <c r="B277" t="s">
        <v>513</v>
      </c>
      <c r="C277" t="s">
        <v>5089</v>
      </c>
      <c r="D277" t="s">
        <v>1008</v>
      </c>
      <c r="E277" t="s">
        <v>5482</v>
      </c>
      <c r="F277" t="s">
        <v>5758</v>
      </c>
      <c r="G277">
        <v>4.41</v>
      </c>
      <c r="H277">
        <v>3</v>
      </c>
      <c r="I277">
        <v>13.37</v>
      </c>
      <c r="J277">
        <v>16</v>
      </c>
      <c r="K277">
        <v>70.93000000000001</v>
      </c>
      <c r="L277">
        <v>18</v>
      </c>
      <c r="M277">
        <v>126</v>
      </c>
      <c r="N277">
        <v>0</v>
      </c>
      <c r="O277">
        <v>0</v>
      </c>
      <c r="P277" s="2">
        <f>(H277 + J277) - (L277 + N277)</f>
        <v>0</v>
      </c>
      <c r="Q277" s="2">
        <f>P277 * G277</f>
        <v>0</v>
      </c>
      <c r="R277">
        <v>3</v>
      </c>
      <c r="S277" s="2">
        <f>R277 * G277</f>
        <v>0</v>
      </c>
      <c r="T277" s="2">
        <f>(H277 + J277) - (L277 + N277) - R277</f>
        <v>0</v>
      </c>
      <c r="U277" s="2">
        <f>T277 * G277</f>
        <v>0</v>
      </c>
      <c r="V277" s="2">
        <f>I277 + K277 - S277</f>
        <v>0</v>
      </c>
      <c r="W277" s="2">
        <f>M277 - V277</f>
        <v>0</v>
      </c>
      <c r="X277" s="2">
        <f>IFERROR(W277 / M277 * 100, 0)</f>
        <v>0</v>
      </c>
    </row>
    <row r="278" spans="1:24">
      <c r="A278" t="s">
        <v>4422</v>
      </c>
      <c r="B278" t="s">
        <v>513</v>
      </c>
      <c r="C278" t="s">
        <v>5090</v>
      </c>
      <c r="D278" t="s">
        <v>1008</v>
      </c>
      <c r="E278" t="s">
        <v>5482</v>
      </c>
      <c r="F278" t="s">
        <v>5759</v>
      </c>
      <c r="G278">
        <v>1.91</v>
      </c>
      <c r="H278">
        <v>7</v>
      </c>
      <c r="I278">
        <v>12.95</v>
      </c>
      <c r="J278">
        <v>24</v>
      </c>
      <c r="K278">
        <v>46.04</v>
      </c>
      <c r="L278">
        <v>16</v>
      </c>
      <c r="M278">
        <v>80</v>
      </c>
      <c r="N278">
        <v>0</v>
      </c>
      <c r="O278">
        <v>0</v>
      </c>
      <c r="P278" s="2">
        <f>(H278 + J278) - (L278 + N278)</f>
        <v>0</v>
      </c>
      <c r="Q278" s="2">
        <f>P278 * G278</f>
        <v>0</v>
      </c>
      <c r="R278">
        <v>1</v>
      </c>
      <c r="S278" s="2">
        <f>R278 * G278</f>
        <v>0</v>
      </c>
      <c r="T278" s="2">
        <f>(H278 + J278) - (L278 + N278) - R278</f>
        <v>0</v>
      </c>
      <c r="U278" s="2">
        <f>T278 * G278</f>
        <v>0</v>
      </c>
      <c r="V278" s="2">
        <f>I278 + K278 - S278</f>
        <v>0</v>
      </c>
      <c r="W278" s="2">
        <f>M278 - V278</f>
        <v>0</v>
      </c>
      <c r="X278" s="2">
        <f>IFERROR(W278 / M278 * 100, 0)</f>
        <v>0</v>
      </c>
    </row>
    <row r="279" spans="1:24">
      <c r="A279" t="s">
        <v>4423</v>
      </c>
      <c r="B279" t="s">
        <v>513</v>
      </c>
      <c r="C279" t="s">
        <v>5091</v>
      </c>
      <c r="D279" t="s">
        <v>1008</v>
      </c>
      <c r="E279" t="s">
        <v>5482</v>
      </c>
      <c r="F279" t="s">
        <v>5760</v>
      </c>
      <c r="G279">
        <v>1.97</v>
      </c>
      <c r="H279">
        <v>7</v>
      </c>
      <c r="I279">
        <v>15.24</v>
      </c>
      <c r="J279">
        <v>29</v>
      </c>
      <c r="K279">
        <v>57.23</v>
      </c>
      <c r="L279">
        <v>26</v>
      </c>
      <c r="M279">
        <v>130</v>
      </c>
      <c r="N279">
        <v>0</v>
      </c>
      <c r="O279">
        <v>0</v>
      </c>
      <c r="P279" s="2">
        <f>(H279 + J279) - (L279 + N279)</f>
        <v>0</v>
      </c>
      <c r="Q279" s="2">
        <f>P279 * G279</f>
        <v>0</v>
      </c>
      <c r="R279">
        <v>4</v>
      </c>
      <c r="S279" s="2">
        <f>R279 * G279</f>
        <v>0</v>
      </c>
      <c r="T279" s="2">
        <f>(H279 + J279) - (L279 + N279) - R279</f>
        <v>0</v>
      </c>
      <c r="U279" s="2">
        <f>T279 * G279</f>
        <v>0</v>
      </c>
      <c r="V279" s="2">
        <f>I279 + K279 - S279</f>
        <v>0</v>
      </c>
      <c r="W279" s="2">
        <f>M279 - V279</f>
        <v>0</v>
      </c>
      <c r="X279" s="2">
        <f>IFERROR(W279 / M279 * 100, 0)</f>
        <v>0</v>
      </c>
    </row>
    <row r="280" spans="1:24">
      <c r="A280" t="s">
        <v>4424</v>
      </c>
      <c r="B280" t="s">
        <v>513</v>
      </c>
      <c r="C280" t="s">
        <v>5092</v>
      </c>
      <c r="D280" t="s">
        <v>1008</v>
      </c>
      <c r="E280" t="s">
        <v>5482</v>
      </c>
      <c r="F280" t="s">
        <v>5761</v>
      </c>
      <c r="G280">
        <v>4.77</v>
      </c>
      <c r="H280">
        <v>6</v>
      </c>
      <c r="I280">
        <v>26.76</v>
      </c>
      <c r="J280">
        <v>96</v>
      </c>
      <c r="K280">
        <v>457.5</v>
      </c>
      <c r="L280">
        <v>103</v>
      </c>
      <c r="M280">
        <v>566.5</v>
      </c>
      <c r="N280">
        <v>0</v>
      </c>
      <c r="O280">
        <v>0</v>
      </c>
      <c r="P280" s="2">
        <f>(H280 + J280) - (L280 + N280)</f>
        <v>0</v>
      </c>
      <c r="Q280" s="2">
        <f>P280 * G280</f>
        <v>0</v>
      </c>
      <c r="R280">
        <v>7</v>
      </c>
      <c r="S280" s="2">
        <f>R280 * G280</f>
        <v>0</v>
      </c>
      <c r="T280" s="2">
        <f>(H280 + J280) - (L280 + N280) - R280</f>
        <v>0</v>
      </c>
      <c r="U280" s="2">
        <f>T280 * G280</f>
        <v>0</v>
      </c>
      <c r="V280" s="2">
        <f>I280 + K280 - S280</f>
        <v>0</v>
      </c>
      <c r="W280" s="2">
        <f>M280 - V280</f>
        <v>0</v>
      </c>
      <c r="X280" s="2">
        <f>IFERROR(W280 / M280 * 100, 0)</f>
        <v>0</v>
      </c>
    </row>
    <row r="281" spans="1:24">
      <c r="A281" t="s">
        <v>4425</v>
      </c>
      <c r="B281" t="s">
        <v>513</v>
      </c>
      <c r="C281" t="s">
        <v>5093</v>
      </c>
      <c r="D281" t="s">
        <v>1008</v>
      </c>
      <c r="E281" t="s">
        <v>5482</v>
      </c>
      <c r="F281" t="s">
        <v>5762</v>
      </c>
      <c r="G281">
        <v>2.4</v>
      </c>
      <c r="H281">
        <v>97</v>
      </c>
      <c r="I281">
        <v>229.83</v>
      </c>
      <c r="J281">
        <v>301</v>
      </c>
      <c r="K281">
        <v>575.64</v>
      </c>
      <c r="L281">
        <v>315</v>
      </c>
      <c r="M281">
        <v>1732.5</v>
      </c>
      <c r="N281">
        <v>19</v>
      </c>
      <c r="O281">
        <v>45.56</v>
      </c>
      <c r="P281" s="2">
        <f>(H281 + J281) - (L281 + N281)</f>
        <v>0</v>
      </c>
      <c r="Q281" s="2">
        <f>P281 * G281</f>
        <v>0</v>
      </c>
      <c r="R281">
        <v>71</v>
      </c>
      <c r="S281" s="2">
        <f>R281 * G281</f>
        <v>0</v>
      </c>
      <c r="T281" s="2">
        <f>(H281 + J281) - (L281 + N281) - R281</f>
        <v>0</v>
      </c>
      <c r="U281" s="2">
        <f>T281 * G281</f>
        <v>0</v>
      </c>
      <c r="V281" s="2">
        <f>I281 + K281 - S281</f>
        <v>0</v>
      </c>
      <c r="W281" s="2">
        <f>M281 - V281</f>
        <v>0</v>
      </c>
      <c r="X281" s="2">
        <f>IFERROR(W281 / M281 * 100, 0)</f>
        <v>0</v>
      </c>
    </row>
    <row r="282" spans="1:24">
      <c r="A282" t="s">
        <v>4426</v>
      </c>
      <c r="B282" t="s">
        <v>513</v>
      </c>
      <c r="C282" t="s">
        <v>5094</v>
      </c>
      <c r="D282" t="s">
        <v>1008</v>
      </c>
      <c r="E282" t="s">
        <v>5482</v>
      </c>
      <c r="F282" t="s">
        <v>5763</v>
      </c>
      <c r="G282">
        <v>21.99</v>
      </c>
      <c r="H282">
        <v>0</v>
      </c>
      <c r="I282">
        <v>0</v>
      </c>
      <c r="J282">
        <v>25</v>
      </c>
      <c r="K282">
        <v>549.7</v>
      </c>
      <c r="L282">
        <v>28</v>
      </c>
      <c r="M282">
        <v>1680</v>
      </c>
      <c r="N282">
        <v>0</v>
      </c>
      <c r="O282">
        <v>0</v>
      </c>
      <c r="P282" s="2">
        <f>(H282 + J282) - (L282 + N282)</f>
        <v>0</v>
      </c>
      <c r="Q282" s="2">
        <f>P282 * G282</f>
        <v>0</v>
      </c>
      <c r="R282">
        <v>1</v>
      </c>
      <c r="S282" s="2">
        <f>R282 * G282</f>
        <v>0</v>
      </c>
      <c r="T282" s="2">
        <f>(H282 + J282) - (L282 + N282) - R282</f>
        <v>0</v>
      </c>
      <c r="U282" s="2">
        <f>T282 * G282</f>
        <v>0</v>
      </c>
      <c r="V282" s="2">
        <f>I282 + K282 - S282</f>
        <v>0</v>
      </c>
      <c r="W282" s="2">
        <f>M282 - V282</f>
        <v>0</v>
      </c>
      <c r="X282" s="2">
        <f>IFERROR(W282 / M282 * 100, 0)</f>
        <v>0</v>
      </c>
    </row>
    <row r="283" spans="1:24">
      <c r="A283" t="s">
        <v>4427</v>
      </c>
      <c r="B283" t="s">
        <v>513</v>
      </c>
      <c r="C283" t="s">
        <v>5095</v>
      </c>
      <c r="D283" t="s">
        <v>1008</v>
      </c>
      <c r="E283" t="s">
        <v>5482</v>
      </c>
      <c r="F283" t="s">
        <v>5764</v>
      </c>
      <c r="G283">
        <v>34.27</v>
      </c>
      <c r="H283">
        <v>2</v>
      </c>
      <c r="I283">
        <v>65.67</v>
      </c>
      <c r="J283">
        <v>11</v>
      </c>
      <c r="K283">
        <v>376.03</v>
      </c>
      <c r="L283">
        <v>9</v>
      </c>
      <c r="M283">
        <v>585</v>
      </c>
      <c r="N283">
        <v>3</v>
      </c>
      <c r="O283">
        <v>102.81</v>
      </c>
      <c r="P283" s="2">
        <f>(H283 + J283) - (L283 + N283)</f>
        <v>0</v>
      </c>
      <c r="Q283" s="2">
        <f>P283 * G283</f>
        <v>0</v>
      </c>
      <c r="R283">
        <v>1</v>
      </c>
      <c r="S283" s="2">
        <f>R283 * G283</f>
        <v>0</v>
      </c>
      <c r="T283" s="2">
        <f>(H283 + J283) - (L283 + N283) - R283</f>
        <v>0</v>
      </c>
      <c r="U283" s="2">
        <f>T283 * G283</f>
        <v>0</v>
      </c>
      <c r="V283" s="2">
        <f>I283 + K283 - S283</f>
        <v>0</v>
      </c>
      <c r="W283" s="2">
        <f>M283 - V283</f>
        <v>0</v>
      </c>
      <c r="X283" s="2">
        <f>IFERROR(W283 / M283 * 100, 0)</f>
        <v>0</v>
      </c>
    </row>
    <row r="284" spans="1:24">
      <c r="A284" t="s">
        <v>4428</v>
      </c>
      <c r="B284" t="s">
        <v>513</v>
      </c>
      <c r="C284" t="s">
        <v>5096</v>
      </c>
      <c r="D284" t="s">
        <v>1008</v>
      </c>
      <c r="E284" t="s">
        <v>5482</v>
      </c>
      <c r="F284" t="s">
        <v>5765</v>
      </c>
      <c r="G284">
        <v>30.01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65</v>
      </c>
      <c r="N284">
        <v>0</v>
      </c>
      <c r="O284">
        <v>0</v>
      </c>
      <c r="P284" s="2">
        <f>(H284 + J284) - (L284 + N284)</f>
        <v>0</v>
      </c>
      <c r="Q284" s="2">
        <f>P284 * G284</f>
        <v>0</v>
      </c>
      <c r="R284">
        <v>0</v>
      </c>
      <c r="S284" s="2">
        <f>R284 * G284</f>
        <v>0</v>
      </c>
      <c r="T284" s="2">
        <f>(H284 + J284) - (L284 + N284) - R284</f>
        <v>0</v>
      </c>
      <c r="U284" s="2">
        <f>T284 * G284</f>
        <v>0</v>
      </c>
      <c r="V284" s="2">
        <f>I284 + K284 - S284</f>
        <v>0</v>
      </c>
      <c r="W284" s="2">
        <f>M284 - V284</f>
        <v>0</v>
      </c>
      <c r="X284" s="2">
        <f>IFERROR(W284 / M284 * 100, 0)</f>
        <v>0</v>
      </c>
    </row>
    <row r="285" spans="1:24">
      <c r="A285" t="s">
        <v>4429</v>
      </c>
      <c r="B285" t="s">
        <v>513</v>
      </c>
      <c r="C285" t="s">
        <v>5097</v>
      </c>
      <c r="D285" t="s">
        <v>1008</v>
      </c>
      <c r="E285" t="s">
        <v>5482</v>
      </c>
      <c r="F285" t="s">
        <v>5766</v>
      </c>
      <c r="G285">
        <v>16.41</v>
      </c>
      <c r="H285">
        <v>0</v>
      </c>
      <c r="I285">
        <v>0</v>
      </c>
      <c r="J285">
        <v>21</v>
      </c>
      <c r="K285">
        <v>228.65</v>
      </c>
      <c r="L285">
        <v>10</v>
      </c>
      <c r="M285">
        <v>350</v>
      </c>
      <c r="N285">
        <v>6</v>
      </c>
      <c r="O285">
        <v>98.45</v>
      </c>
      <c r="P285" s="2">
        <f>(H285 + J285) - (L285 + N285)</f>
        <v>0</v>
      </c>
      <c r="Q285" s="2">
        <f>P285 * G285</f>
        <v>0</v>
      </c>
      <c r="R285">
        <v>0</v>
      </c>
      <c r="S285" s="2">
        <f>R285 * G285</f>
        <v>0</v>
      </c>
      <c r="T285" s="2">
        <f>(H285 + J285) - (L285 + N285) - R285</f>
        <v>0</v>
      </c>
      <c r="U285" s="2">
        <f>T285 * G285</f>
        <v>0</v>
      </c>
      <c r="V285" s="2">
        <f>I285 + K285 - S285</f>
        <v>0</v>
      </c>
      <c r="W285" s="2">
        <f>M285 - V285</f>
        <v>0</v>
      </c>
      <c r="X285" s="2">
        <f>IFERROR(W285 / M285 * 100, 0)</f>
        <v>0</v>
      </c>
    </row>
    <row r="286" spans="1:24">
      <c r="A286" t="s">
        <v>4430</v>
      </c>
      <c r="B286" t="s">
        <v>513</v>
      </c>
      <c r="C286" t="s">
        <v>5098</v>
      </c>
      <c r="D286" t="s">
        <v>1008</v>
      </c>
      <c r="E286" t="s">
        <v>5482</v>
      </c>
      <c r="F286" t="s">
        <v>5767</v>
      </c>
      <c r="G286">
        <v>24.45</v>
      </c>
      <c r="H286">
        <v>3</v>
      </c>
      <c r="I286">
        <v>72.48999999999999</v>
      </c>
      <c r="J286">
        <v>11</v>
      </c>
      <c r="K286">
        <v>268.95</v>
      </c>
      <c r="L286">
        <v>8</v>
      </c>
      <c r="M286">
        <v>520</v>
      </c>
      <c r="N286">
        <v>0</v>
      </c>
      <c r="O286">
        <v>0</v>
      </c>
      <c r="P286" s="2">
        <f>(H286 + J286) - (L286 + N286)</f>
        <v>0</v>
      </c>
      <c r="Q286" s="2">
        <f>P286 * G286</f>
        <v>0</v>
      </c>
      <c r="R286">
        <v>1</v>
      </c>
      <c r="S286" s="2">
        <f>R286 * G286</f>
        <v>0</v>
      </c>
      <c r="T286" s="2">
        <f>(H286 + J286) - (L286 + N286) - R286</f>
        <v>0</v>
      </c>
      <c r="U286" s="2">
        <f>T286 * G286</f>
        <v>0</v>
      </c>
      <c r="V286" s="2">
        <f>I286 + K286 - S286</f>
        <v>0</v>
      </c>
      <c r="W286" s="2">
        <f>M286 - V286</f>
        <v>0</v>
      </c>
      <c r="X286" s="2">
        <f>IFERROR(W286 / M286 * 100, 0)</f>
        <v>0</v>
      </c>
    </row>
    <row r="287" spans="1:24">
      <c r="A287" t="s">
        <v>4431</v>
      </c>
      <c r="B287" t="s">
        <v>513</v>
      </c>
      <c r="C287" t="s">
        <v>5099</v>
      </c>
      <c r="D287" t="s">
        <v>1008</v>
      </c>
      <c r="E287" t="s">
        <v>5482</v>
      </c>
      <c r="F287" t="s">
        <v>5768</v>
      </c>
      <c r="G287">
        <v>26.1</v>
      </c>
      <c r="H287">
        <v>0</v>
      </c>
      <c r="I287">
        <v>0</v>
      </c>
      <c r="J287">
        <v>5</v>
      </c>
      <c r="K287">
        <v>133.14</v>
      </c>
      <c r="L287">
        <v>8</v>
      </c>
      <c r="M287">
        <v>520</v>
      </c>
      <c r="N287">
        <v>0</v>
      </c>
      <c r="O287">
        <v>0</v>
      </c>
      <c r="P287" s="2">
        <f>(H287 + J287) - (L287 + N287)</f>
        <v>0</v>
      </c>
      <c r="Q287" s="2">
        <f>P287 * G287</f>
        <v>0</v>
      </c>
      <c r="R287">
        <v>0</v>
      </c>
      <c r="S287" s="2">
        <f>R287 * G287</f>
        <v>0</v>
      </c>
      <c r="T287" s="2">
        <f>(H287 + J287) - (L287 + N287) - R287</f>
        <v>0</v>
      </c>
      <c r="U287" s="2">
        <f>T287 * G287</f>
        <v>0</v>
      </c>
      <c r="V287" s="2">
        <f>I287 + K287 - S287</f>
        <v>0</v>
      </c>
      <c r="W287" s="2">
        <f>M287 - V287</f>
        <v>0</v>
      </c>
      <c r="X287" s="2">
        <f>IFERROR(W287 / M287 * 100, 0)</f>
        <v>0</v>
      </c>
    </row>
    <row r="288" spans="1:24">
      <c r="A288" t="s">
        <v>4432</v>
      </c>
      <c r="B288" t="s">
        <v>513</v>
      </c>
      <c r="C288" t="s">
        <v>5100</v>
      </c>
      <c r="D288" t="s">
        <v>1008</v>
      </c>
      <c r="E288" t="s">
        <v>5482</v>
      </c>
      <c r="F288" t="s">
        <v>5769</v>
      </c>
      <c r="G288">
        <v>21.99</v>
      </c>
      <c r="H288">
        <v>1</v>
      </c>
      <c r="I288">
        <v>21.61</v>
      </c>
      <c r="J288">
        <v>25</v>
      </c>
      <c r="K288">
        <v>548.17</v>
      </c>
      <c r="L288">
        <v>7</v>
      </c>
      <c r="M288">
        <v>448</v>
      </c>
      <c r="N288">
        <v>0</v>
      </c>
      <c r="O288">
        <v>0</v>
      </c>
      <c r="P288" s="2">
        <f>(H288 + J288) - (L288 + N288)</f>
        <v>0</v>
      </c>
      <c r="Q288" s="2">
        <f>P288 * G288</f>
        <v>0</v>
      </c>
      <c r="R288">
        <v>2</v>
      </c>
      <c r="S288" s="2">
        <f>R288 * G288</f>
        <v>0</v>
      </c>
      <c r="T288" s="2">
        <f>(H288 + J288) - (L288 + N288) - R288</f>
        <v>0</v>
      </c>
      <c r="U288" s="2">
        <f>T288 * G288</f>
        <v>0</v>
      </c>
      <c r="V288" s="2">
        <f>I288 + K288 - S288</f>
        <v>0</v>
      </c>
      <c r="W288" s="2">
        <f>M288 - V288</f>
        <v>0</v>
      </c>
      <c r="X288" s="2">
        <f>IFERROR(W288 / M288 * 100, 0)</f>
        <v>0</v>
      </c>
    </row>
    <row r="289" spans="1:24">
      <c r="A289" t="s">
        <v>4433</v>
      </c>
      <c r="B289" t="s">
        <v>513</v>
      </c>
      <c r="C289" t="s">
        <v>5101</v>
      </c>
      <c r="D289" t="s">
        <v>1008</v>
      </c>
      <c r="E289" t="s">
        <v>5482</v>
      </c>
      <c r="F289" t="s">
        <v>5770</v>
      </c>
      <c r="G289">
        <v>2.89</v>
      </c>
      <c r="H289">
        <v>16</v>
      </c>
      <c r="I289">
        <v>46.46</v>
      </c>
      <c r="J289">
        <v>20</v>
      </c>
      <c r="K289">
        <v>57.87</v>
      </c>
      <c r="L289">
        <v>67</v>
      </c>
      <c r="M289">
        <v>301.5</v>
      </c>
      <c r="N289">
        <v>0</v>
      </c>
      <c r="O289">
        <v>0</v>
      </c>
      <c r="P289" s="2">
        <f>(H289 + J289) - (L289 + N289)</f>
        <v>0</v>
      </c>
      <c r="Q289" s="2">
        <f>P289 * G289</f>
        <v>0</v>
      </c>
      <c r="R289">
        <v>28</v>
      </c>
      <c r="S289" s="2">
        <f>R289 * G289</f>
        <v>0</v>
      </c>
      <c r="T289" s="2">
        <f>(H289 + J289) - (L289 + N289) - R289</f>
        <v>0</v>
      </c>
      <c r="U289" s="2">
        <f>T289 * G289</f>
        <v>0</v>
      </c>
      <c r="V289" s="2">
        <f>I289 + K289 - S289</f>
        <v>0</v>
      </c>
      <c r="W289" s="2">
        <f>M289 - V289</f>
        <v>0</v>
      </c>
      <c r="X289" s="2">
        <f>IFERROR(W289 / M289 * 100, 0)</f>
        <v>0</v>
      </c>
    </row>
    <row r="290" spans="1:24">
      <c r="A290" t="s">
        <v>4434</v>
      </c>
      <c r="B290" t="s">
        <v>513</v>
      </c>
      <c r="C290" t="s">
        <v>5102</v>
      </c>
      <c r="D290" t="s">
        <v>1008</v>
      </c>
      <c r="E290" t="s">
        <v>5482</v>
      </c>
      <c r="F290" t="s">
        <v>5771</v>
      </c>
      <c r="G290">
        <v>2.46</v>
      </c>
      <c r="H290">
        <v>104</v>
      </c>
      <c r="I290">
        <v>228.95</v>
      </c>
      <c r="J290">
        <v>1229</v>
      </c>
      <c r="K290">
        <v>2939.54</v>
      </c>
      <c r="L290">
        <v>1286</v>
      </c>
      <c r="M290">
        <v>7073</v>
      </c>
      <c r="N290">
        <v>19</v>
      </c>
      <c r="O290">
        <v>44.76</v>
      </c>
      <c r="P290" s="2">
        <f>(H290 + J290) - (L290 + N290)</f>
        <v>0</v>
      </c>
      <c r="Q290" s="2">
        <f>P290 * G290</f>
        <v>0</v>
      </c>
      <c r="R290">
        <v>49</v>
      </c>
      <c r="S290" s="2">
        <f>R290 * G290</f>
        <v>0</v>
      </c>
      <c r="T290" s="2">
        <f>(H290 + J290) - (L290 + N290) - R290</f>
        <v>0</v>
      </c>
      <c r="U290" s="2">
        <f>T290 * G290</f>
        <v>0</v>
      </c>
      <c r="V290" s="2">
        <f>I290 + K290 - S290</f>
        <v>0</v>
      </c>
      <c r="W290" s="2">
        <f>M290 - V290</f>
        <v>0</v>
      </c>
      <c r="X290" s="2">
        <f>IFERROR(W290 / M290 * 100, 0)</f>
        <v>0</v>
      </c>
    </row>
    <row r="291" spans="1:24">
      <c r="A291" t="s">
        <v>4435</v>
      </c>
      <c r="B291" t="s">
        <v>513</v>
      </c>
      <c r="C291" t="s">
        <v>5103</v>
      </c>
      <c r="D291" t="s">
        <v>1008</v>
      </c>
      <c r="E291" t="s">
        <v>5482</v>
      </c>
      <c r="F291" t="s">
        <v>5772</v>
      </c>
      <c r="G291">
        <v>2.42</v>
      </c>
      <c r="H291">
        <v>6</v>
      </c>
      <c r="I291">
        <v>11.37</v>
      </c>
      <c r="J291">
        <v>196</v>
      </c>
      <c r="K291">
        <v>390.35</v>
      </c>
      <c r="L291">
        <v>192</v>
      </c>
      <c r="M291">
        <v>576</v>
      </c>
      <c r="N291">
        <v>11</v>
      </c>
      <c r="O291">
        <v>24.04</v>
      </c>
      <c r="P291" s="2">
        <f>(H291 + J291) - (L291 + N291)</f>
        <v>0</v>
      </c>
      <c r="Q291" s="2">
        <f>P291 * G291</f>
        <v>0</v>
      </c>
      <c r="R291">
        <v>9</v>
      </c>
      <c r="S291" s="2">
        <f>R291 * G291</f>
        <v>0</v>
      </c>
      <c r="T291" s="2">
        <f>(H291 + J291) - (L291 + N291) - R291</f>
        <v>0</v>
      </c>
      <c r="U291" s="2">
        <f>T291 * G291</f>
        <v>0</v>
      </c>
      <c r="V291" s="2">
        <f>I291 + K291 - S291</f>
        <v>0</v>
      </c>
      <c r="W291" s="2">
        <f>M291 - V291</f>
        <v>0</v>
      </c>
      <c r="X291" s="2">
        <f>IFERROR(W291 / M291 * 100, 0)</f>
        <v>0</v>
      </c>
    </row>
    <row r="292" spans="1:24">
      <c r="A292" t="s">
        <v>4436</v>
      </c>
      <c r="B292" t="s">
        <v>512</v>
      </c>
      <c r="C292" t="s">
        <v>5104</v>
      </c>
      <c r="D292" t="s">
        <v>1008</v>
      </c>
      <c r="E292" t="s">
        <v>5482</v>
      </c>
      <c r="F292" t="s">
        <v>5773</v>
      </c>
      <c r="G292">
        <v>0.67</v>
      </c>
      <c r="H292">
        <v>0</v>
      </c>
      <c r="I292">
        <v>0</v>
      </c>
      <c r="J292">
        <v>36</v>
      </c>
      <c r="K292">
        <v>24</v>
      </c>
      <c r="L292">
        <v>0</v>
      </c>
      <c r="M292">
        <v>0</v>
      </c>
      <c r="N292">
        <v>0</v>
      </c>
      <c r="O292">
        <v>0</v>
      </c>
      <c r="P292" s="2">
        <f>(H292 + J292) - (L292 + N292)</f>
        <v>0</v>
      </c>
      <c r="Q292" s="2">
        <f>P292 * G292</f>
        <v>0</v>
      </c>
      <c r="R292">
        <v>0</v>
      </c>
      <c r="S292" s="2">
        <f>R292 * G292</f>
        <v>0</v>
      </c>
      <c r="T292" s="2">
        <f>(H292 + J292) - (L292 + N292) - R292</f>
        <v>0</v>
      </c>
      <c r="U292" s="2">
        <f>T292 * G292</f>
        <v>0</v>
      </c>
      <c r="V292" s="2">
        <f>I292 + K292 - S292</f>
        <v>0</v>
      </c>
      <c r="W292" s="2">
        <f>M292 - V292</f>
        <v>0</v>
      </c>
      <c r="X292" s="2">
        <f>IFERROR(W292 / M292 * 100, 0)</f>
        <v>0</v>
      </c>
    </row>
    <row r="293" spans="1:24">
      <c r="A293" t="s">
        <v>4437</v>
      </c>
      <c r="B293" t="s">
        <v>512</v>
      </c>
      <c r="C293" t="s">
        <v>5105</v>
      </c>
      <c r="D293" t="s">
        <v>1008</v>
      </c>
      <c r="E293" t="s">
        <v>5482</v>
      </c>
      <c r="F293" t="s">
        <v>5774</v>
      </c>
      <c r="G293">
        <v>100</v>
      </c>
      <c r="H293">
        <v>1</v>
      </c>
      <c r="I293">
        <v>100</v>
      </c>
      <c r="J293">
        <v>1</v>
      </c>
      <c r="K293">
        <v>100</v>
      </c>
      <c r="L293">
        <v>0</v>
      </c>
      <c r="M293">
        <v>0</v>
      </c>
      <c r="N293">
        <v>0</v>
      </c>
      <c r="O293">
        <v>0</v>
      </c>
      <c r="P293" s="2">
        <f>(H293 + J293) - (L293 + N293)</f>
        <v>0</v>
      </c>
      <c r="Q293" s="2">
        <f>P293 * G293</f>
        <v>0</v>
      </c>
      <c r="R293">
        <v>1</v>
      </c>
      <c r="S293" s="2">
        <f>R293 * G293</f>
        <v>0</v>
      </c>
      <c r="T293" s="2">
        <f>(H293 + J293) - (L293 + N293) - R293</f>
        <v>0</v>
      </c>
      <c r="U293" s="2">
        <f>T293 * G293</f>
        <v>0</v>
      </c>
      <c r="V293" s="2">
        <f>I293 + K293 - S293</f>
        <v>0</v>
      </c>
      <c r="W293" s="2">
        <f>M293 - V293</f>
        <v>0</v>
      </c>
      <c r="X293" s="2">
        <f>IFERROR(W293 / M293 * 100, 0)</f>
        <v>0</v>
      </c>
    </row>
    <row r="294" spans="1:24">
      <c r="A294" t="s">
        <v>4438</v>
      </c>
      <c r="B294" t="s">
        <v>513</v>
      </c>
      <c r="C294" t="s">
        <v>5106</v>
      </c>
      <c r="D294" t="s">
        <v>1008</v>
      </c>
      <c r="E294" t="s">
        <v>5482</v>
      </c>
      <c r="F294" t="s">
        <v>5775</v>
      </c>
      <c r="G294">
        <v>3.64</v>
      </c>
      <c r="H294">
        <v>0</v>
      </c>
      <c r="I294">
        <v>0</v>
      </c>
      <c r="J294">
        <v>18</v>
      </c>
      <c r="K294">
        <v>63.73</v>
      </c>
      <c r="L294">
        <v>13</v>
      </c>
      <c r="M294">
        <v>71.5</v>
      </c>
      <c r="N294">
        <v>0</v>
      </c>
      <c r="O294">
        <v>0</v>
      </c>
      <c r="P294" s="2">
        <f>(H294 + J294) - (L294 + N294)</f>
        <v>0</v>
      </c>
      <c r="Q294" s="2">
        <f>P294 * G294</f>
        <v>0</v>
      </c>
      <c r="R294">
        <v>3</v>
      </c>
      <c r="S294" s="2">
        <f>R294 * G294</f>
        <v>0</v>
      </c>
      <c r="T294" s="2">
        <f>(H294 + J294) - (L294 + N294) - R294</f>
        <v>0</v>
      </c>
      <c r="U294" s="2">
        <f>T294 * G294</f>
        <v>0</v>
      </c>
      <c r="V294" s="2">
        <f>I294 + K294 - S294</f>
        <v>0</v>
      </c>
      <c r="W294" s="2">
        <f>M294 - V294</f>
        <v>0</v>
      </c>
      <c r="X294" s="2">
        <f>IFERROR(W294 / M294 * 100, 0)</f>
        <v>0</v>
      </c>
    </row>
    <row r="295" spans="1:24">
      <c r="A295" t="s">
        <v>4439</v>
      </c>
      <c r="B295" t="s">
        <v>513</v>
      </c>
      <c r="C295" t="s">
        <v>5107</v>
      </c>
      <c r="D295" t="s">
        <v>1008</v>
      </c>
      <c r="E295" t="s">
        <v>5482</v>
      </c>
      <c r="F295" t="s">
        <v>5776</v>
      </c>
      <c r="G295">
        <v>2.45</v>
      </c>
      <c r="H295">
        <v>0</v>
      </c>
      <c r="I295">
        <v>0</v>
      </c>
      <c r="J295">
        <v>12</v>
      </c>
      <c r="K295">
        <v>27.49</v>
      </c>
      <c r="L295">
        <v>3</v>
      </c>
      <c r="M295">
        <v>16.5</v>
      </c>
      <c r="N295">
        <v>0</v>
      </c>
      <c r="O295">
        <v>0</v>
      </c>
      <c r="P295" s="2">
        <f>(H295 + J295) - (L295 + N295)</f>
        <v>0</v>
      </c>
      <c r="Q295" s="2">
        <f>P295 * G295</f>
        <v>0</v>
      </c>
      <c r="R295">
        <v>0</v>
      </c>
      <c r="S295" s="2">
        <f>R295 * G295</f>
        <v>0</v>
      </c>
      <c r="T295" s="2">
        <f>(H295 + J295) - (L295 + N295) - R295</f>
        <v>0</v>
      </c>
      <c r="U295" s="2">
        <f>T295 * G295</f>
        <v>0</v>
      </c>
      <c r="V295" s="2">
        <f>I295 + K295 - S295</f>
        <v>0</v>
      </c>
      <c r="W295" s="2">
        <f>M295 - V295</f>
        <v>0</v>
      </c>
      <c r="X295" s="2">
        <f>IFERROR(W295 / M295 * 100, 0)</f>
        <v>0</v>
      </c>
    </row>
    <row r="296" spans="1:24">
      <c r="A296" t="s">
        <v>4440</v>
      </c>
      <c r="B296" t="s">
        <v>513</v>
      </c>
      <c r="C296" t="s">
        <v>5108</v>
      </c>
      <c r="D296" t="s">
        <v>1008</v>
      </c>
      <c r="E296" t="s">
        <v>5482</v>
      </c>
      <c r="F296" t="s">
        <v>5777</v>
      </c>
      <c r="G296">
        <v>1.32</v>
      </c>
      <c r="H296">
        <v>0</v>
      </c>
      <c r="I296">
        <v>0</v>
      </c>
      <c r="J296">
        <v>517</v>
      </c>
      <c r="K296">
        <v>198.32</v>
      </c>
      <c r="L296">
        <v>466</v>
      </c>
      <c r="M296">
        <v>815.5</v>
      </c>
      <c r="N296">
        <v>0</v>
      </c>
      <c r="O296">
        <v>0</v>
      </c>
      <c r="P296" s="2">
        <f>(H296 + J296) - (L296 + N296)</f>
        <v>0</v>
      </c>
      <c r="Q296" s="2">
        <f>P296 * G296</f>
        <v>0</v>
      </c>
      <c r="R296">
        <v>0</v>
      </c>
      <c r="S296" s="2">
        <f>R296 * G296</f>
        <v>0</v>
      </c>
      <c r="T296" s="2">
        <f>(H296 + J296) - (L296 + N296) - R296</f>
        <v>0</v>
      </c>
      <c r="U296" s="2">
        <f>T296 * G296</f>
        <v>0</v>
      </c>
      <c r="V296" s="2">
        <f>I296 + K296 - S296</f>
        <v>0</v>
      </c>
      <c r="W296" s="2">
        <f>M296 - V296</f>
        <v>0</v>
      </c>
      <c r="X296" s="2">
        <f>IFERROR(W296 / M296 * 100, 0)</f>
        <v>0</v>
      </c>
    </row>
    <row r="297" spans="1:24">
      <c r="A297" t="s">
        <v>4441</v>
      </c>
      <c r="B297" t="s">
        <v>513</v>
      </c>
      <c r="C297" t="s">
        <v>5109</v>
      </c>
      <c r="D297" t="s">
        <v>1008</v>
      </c>
      <c r="E297" t="s">
        <v>5482</v>
      </c>
      <c r="F297" t="s">
        <v>5778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6</v>
      </c>
      <c r="N297">
        <v>0</v>
      </c>
      <c r="O297">
        <v>0</v>
      </c>
      <c r="P297" s="2">
        <f>(H297 + J297) - (L297 + N297)</f>
        <v>0</v>
      </c>
      <c r="Q297" s="2">
        <f>P297 * G297</f>
        <v>0</v>
      </c>
      <c r="R297">
        <v>0</v>
      </c>
      <c r="S297" s="2">
        <f>R297 * G297</f>
        <v>0</v>
      </c>
      <c r="T297" s="2">
        <f>(H297 + J297) - (L297 + N297) - R297</f>
        <v>0</v>
      </c>
      <c r="U297" s="2">
        <f>T297 * G297</f>
        <v>0</v>
      </c>
      <c r="V297" s="2">
        <f>I297 + K297 - S297</f>
        <v>0</v>
      </c>
      <c r="W297" s="2">
        <f>M297 - V297</f>
        <v>0</v>
      </c>
      <c r="X297" s="2">
        <f>IFERROR(W297 / M297 * 100, 0)</f>
        <v>0</v>
      </c>
    </row>
    <row r="298" spans="1:24">
      <c r="A298" t="s">
        <v>4442</v>
      </c>
      <c r="B298" t="s">
        <v>512</v>
      </c>
      <c r="C298" t="s">
        <v>5110</v>
      </c>
      <c r="D298" t="s">
        <v>1007</v>
      </c>
      <c r="E298" t="s">
        <v>5482</v>
      </c>
      <c r="F298" t="s">
        <v>5779</v>
      </c>
      <c r="G298">
        <v>1.59</v>
      </c>
      <c r="H298">
        <v>0</v>
      </c>
      <c r="I298">
        <v>0</v>
      </c>
      <c r="J298">
        <v>6.14</v>
      </c>
      <c r="K298">
        <v>9.75</v>
      </c>
      <c r="L298">
        <v>0</v>
      </c>
      <c r="M298">
        <v>0</v>
      </c>
      <c r="N298">
        <v>0</v>
      </c>
      <c r="O298">
        <v>0</v>
      </c>
      <c r="P298" s="2">
        <f>(H298 + J298) - (L298 + N298)</f>
        <v>0</v>
      </c>
      <c r="Q298" s="2">
        <f>P298 * G298</f>
        <v>0</v>
      </c>
      <c r="R298">
        <v>0</v>
      </c>
      <c r="S298" s="2">
        <f>R298 * G298</f>
        <v>0</v>
      </c>
      <c r="T298" s="2">
        <f>(H298 + J298) - (L298 + N298) - R298</f>
        <v>0</v>
      </c>
      <c r="U298" s="2">
        <f>T298 * G298</f>
        <v>0</v>
      </c>
      <c r="V298" s="2">
        <f>I298 + K298 - S298</f>
        <v>0</v>
      </c>
      <c r="W298" s="2">
        <f>M298 - V298</f>
        <v>0</v>
      </c>
      <c r="X298" s="2">
        <f>IFERROR(W298 / M298 * 100, 0)</f>
        <v>0</v>
      </c>
    </row>
    <row r="299" spans="1:24">
      <c r="A299" t="s">
        <v>4443</v>
      </c>
      <c r="B299" t="s">
        <v>512</v>
      </c>
      <c r="C299" t="s">
        <v>5111</v>
      </c>
      <c r="D299" t="s">
        <v>1008</v>
      </c>
      <c r="E299" t="s">
        <v>5482</v>
      </c>
      <c r="F299" t="s">
        <v>5780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5.5</v>
      </c>
      <c r="N299">
        <v>0</v>
      </c>
      <c r="O299">
        <v>0</v>
      </c>
      <c r="P299" s="2">
        <f>(H299 + J299) - (L299 + N299)</f>
        <v>0</v>
      </c>
      <c r="Q299" s="2">
        <f>P299 * G299</f>
        <v>0</v>
      </c>
      <c r="R299">
        <v>0</v>
      </c>
      <c r="S299" s="2">
        <f>R299 * G299</f>
        <v>0</v>
      </c>
      <c r="T299" s="2">
        <f>(H299 + J299) - (L299 + N299) - R299</f>
        <v>0</v>
      </c>
      <c r="U299" s="2">
        <f>T299 * G299</f>
        <v>0</v>
      </c>
      <c r="V299" s="2">
        <f>I299 + K299 - S299</f>
        <v>0</v>
      </c>
      <c r="W299" s="2">
        <f>M299 - V299</f>
        <v>0</v>
      </c>
      <c r="X299" s="2">
        <f>IFERROR(W299 / M299 * 100, 0)</f>
        <v>0</v>
      </c>
    </row>
    <row r="300" spans="1:24">
      <c r="A300" t="s">
        <v>4444</v>
      </c>
      <c r="B300" t="s">
        <v>512</v>
      </c>
      <c r="C300" t="s">
        <v>5112</v>
      </c>
      <c r="D300" t="s">
        <v>1007</v>
      </c>
      <c r="E300" t="s">
        <v>5482</v>
      </c>
      <c r="F300" t="s">
        <v>5781</v>
      </c>
      <c r="G300">
        <v>57.5</v>
      </c>
      <c r="H300">
        <v>0</v>
      </c>
      <c r="I300">
        <v>0</v>
      </c>
      <c r="J300">
        <v>0.6</v>
      </c>
      <c r="K300">
        <v>34.5</v>
      </c>
      <c r="L300">
        <v>0</v>
      </c>
      <c r="M300">
        <v>0</v>
      </c>
      <c r="N300">
        <v>0</v>
      </c>
      <c r="O300">
        <v>0</v>
      </c>
      <c r="P300" s="2">
        <f>(H300 + J300) - (L300 + N300)</f>
        <v>0</v>
      </c>
      <c r="Q300" s="2">
        <f>P300 * G300</f>
        <v>0</v>
      </c>
      <c r="R300">
        <v>0</v>
      </c>
      <c r="S300" s="2">
        <f>R300 * G300</f>
        <v>0</v>
      </c>
      <c r="T300" s="2">
        <f>(H300 + J300) - (L300 + N300) - R300</f>
        <v>0</v>
      </c>
      <c r="U300" s="2">
        <f>T300 * G300</f>
        <v>0</v>
      </c>
      <c r="V300" s="2">
        <f>I300 + K300 - S300</f>
        <v>0</v>
      </c>
      <c r="W300" s="2">
        <f>M300 - V300</f>
        <v>0</v>
      </c>
      <c r="X300" s="2">
        <f>IFERROR(W300 / M300 * 100, 0)</f>
        <v>0</v>
      </c>
    </row>
    <row r="301" spans="1:24">
      <c r="A301" t="s">
        <v>4445</v>
      </c>
      <c r="B301" t="s">
        <v>512</v>
      </c>
      <c r="C301" t="s">
        <v>5113</v>
      </c>
      <c r="D301" t="s">
        <v>1008</v>
      </c>
      <c r="E301" t="s">
        <v>5482</v>
      </c>
      <c r="F301" t="s">
        <v>5782</v>
      </c>
      <c r="G301">
        <v>8.4</v>
      </c>
      <c r="H301">
        <v>0</v>
      </c>
      <c r="I301">
        <v>0</v>
      </c>
      <c r="J301">
        <v>2</v>
      </c>
      <c r="K301">
        <v>16.79</v>
      </c>
      <c r="L301">
        <v>0</v>
      </c>
      <c r="M301">
        <v>0</v>
      </c>
      <c r="N301">
        <v>0</v>
      </c>
      <c r="O301">
        <v>0</v>
      </c>
      <c r="P301" s="2">
        <f>(H301 + J301) - (L301 + N301)</f>
        <v>0</v>
      </c>
      <c r="Q301" s="2">
        <f>P301 * G301</f>
        <v>0</v>
      </c>
      <c r="R301">
        <v>0</v>
      </c>
      <c r="S301" s="2">
        <f>R301 * G301</f>
        <v>0</v>
      </c>
      <c r="T301" s="2">
        <f>(H301 + J301) - (L301 + N301) - R301</f>
        <v>0</v>
      </c>
      <c r="U301" s="2">
        <f>T301 * G301</f>
        <v>0</v>
      </c>
      <c r="V301" s="2">
        <f>I301 + K301 - S301</f>
        <v>0</v>
      </c>
      <c r="W301" s="2">
        <f>M301 - V301</f>
        <v>0</v>
      </c>
      <c r="X301" s="2">
        <f>IFERROR(W301 / M301 * 100, 0)</f>
        <v>0</v>
      </c>
    </row>
    <row r="302" spans="1:24">
      <c r="A302" t="s">
        <v>4446</v>
      </c>
      <c r="B302" t="s">
        <v>512</v>
      </c>
      <c r="C302" t="s">
        <v>5114</v>
      </c>
      <c r="D302" t="s">
        <v>1008</v>
      </c>
      <c r="E302" t="s">
        <v>5482</v>
      </c>
      <c r="F302" t="s">
        <v>5783</v>
      </c>
      <c r="G302">
        <v>135</v>
      </c>
      <c r="H302">
        <v>0</v>
      </c>
      <c r="I302">
        <v>0</v>
      </c>
      <c r="J302">
        <v>3</v>
      </c>
      <c r="K302">
        <v>405</v>
      </c>
      <c r="L302">
        <v>0</v>
      </c>
      <c r="M302">
        <v>0</v>
      </c>
      <c r="N302">
        <v>0</v>
      </c>
      <c r="O302">
        <v>0</v>
      </c>
      <c r="P302" s="2">
        <f>(H302 + J302) - (L302 + N302)</f>
        <v>0</v>
      </c>
      <c r="Q302" s="2">
        <f>P302 * G302</f>
        <v>0</v>
      </c>
      <c r="R302">
        <v>0</v>
      </c>
      <c r="S302" s="2">
        <f>R302 * G302</f>
        <v>0</v>
      </c>
      <c r="T302" s="2">
        <f>(H302 + J302) - (L302 + N302) - R302</f>
        <v>0</v>
      </c>
      <c r="U302" s="2">
        <f>T302 * G302</f>
        <v>0</v>
      </c>
      <c r="V302" s="2">
        <f>I302 + K302 - S302</f>
        <v>0</v>
      </c>
      <c r="W302" s="2">
        <f>M302 - V302</f>
        <v>0</v>
      </c>
      <c r="X302" s="2">
        <f>IFERROR(W302 / M302 * 100, 0)</f>
        <v>0</v>
      </c>
    </row>
    <row r="303" spans="1:24">
      <c r="A303" t="s">
        <v>4447</v>
      </c>
      <c r="B303" t="s">
        <v>513</v>
      </c>
      <c r="C303" t="s">
        <v>5115</v>
      </c>
      <c r="D303" t="s">
        <v>1008</v>
      </c>
      <c r="E303" t="s">
        <v>5482</v>
      </c>
      <c r="F303" t="s">
        <v>5784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4</v>
      </c>
      <c r="M303">
        <v>16</v>
      </c>
      <c r="N303">
        <v>0</v>
      </c>
      <c r="O303">
        <v>0</v>
      </c>
      <c r="P303" s="2">
        <f>(H303 + J303) - (L303 + N303)</f>
        <v>0</v>
      </c>
      <c r="Q303" s="2">
        <f>P303 * G303</f>
        <v>0</v>
      </c>
      <c r="R303">
        <v>0</v>
      </c>
      <c r="S303" s="2">
        <f>R303 * G303</f>
        <v>0</v>
      </c>
      <c r="T303" s="2">
        <f>(H303 + J303) - (L303 + N303) - R303</f>
        <v>0</v>
      </c>
      <c r="U303" s="2">
        <f>T303 * G303</f>
        <v>0</v>
      </c>
      <c r="V303" s="2">
        <f>I303 + K303 - S303</f>
        <v>0</v>
      </c>
      <c r="W303" s="2">
        <f>M303 - V303</f>
        <v>0</v>
      </c>
      <c r="X303" s="2">
        <f>IFERROR(W303 / M303 * 100, 0)</f>
        <v>0</v>
      </c>
    </row>
    <row r="304" spans="1:24">
      <c r="A304" t="s">
        <v>4448</v>
      </c>
      <c r="B304" t="s">
        <v>513</v>
      </c>
      <c r="C304" t="s">
        <v>5116</v>
      </c>
      <c r="D304" t="s">
        <v>1008</v>
      </c>
      <c r="E304" t="s">
        <v>5482</v>
      </c>
      <c r="F304" t="s">
        <v>5785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14</v>
      </c>
      <c r="M304">
        <v>56</v>
      </c>
      <c r="N304">
        <v>0</v>
      </c>
      <c r="O304">
        <v>0</v>
      </c>
      <c r="P304" s="2">
        <f>(H304 + J304) - (L304 + N304)</f>
        <v>0</v>
      </c>
      <c r="Q304" s="2">
        <f>P304 * G304</f>
        <v>0</v>
      </c>
      <c r="R304">
        <v>17</v>
      </c>
      <c r="S304" s="2">
        <f>R304 * G304</f>
        <v>0</v>
      </c>
      <c r="T304" s="2">
        <f>(H304 + J304) - (L304 + N304) - R304</f>
        <v>0</v>
      </c>
      <c r="U304" s="2">
        <f>T304 * G304</f>
        <v>0</v>
      </c>
      <c r="V304" s="2">
        <f>I304 + K304 - S304</f>
        <v>0</v>
      </c>
      <c r="W304" s="2">
        <f>M304 - V304</f>
        <v>0</v>
      </c>
      <c r="X304" s="2">
        <f>IFERROR(W304 / M304 * 100, 0)</f>
        <v>0</v>
      </c>
    </row>
    <row r="305" spans="1:24">
      <c r="A305" t="s">
        <v>4449</v>
      </c>
      <c r="B305" t="s">
        <v>513</v>
      </c>
      <c r="C305" t="s">
        <v>5117</v>
      </c>
      <c r="D305" t="s">
        <v>1008</v>
      </c>
      <c r="E305" t="s">
        <v>5482</v>
      </c>
      <c r="F305" t="s">
        <v>5786</v>
      </c>
      <c r="G305">
        <v>1.01</v>
      </c>
      <c r="H305">
        <v>0</v>
      </c>
      <c r="I305">
        <v>0</v>
      </c>
      <c r="J305">
        <v>51</v>
      </c>
      <c r="K305">
        <v>59.91</v>
      </c>
      <c r="L305">
        <v>44</v>
      </c>
      <c r="M305">
        <v>154</v>
      </c>
      <c r="N305">
        <v>0</v>
      </c>
      <c r="O305">
        <v>0</v>
      </c>
      <c r="P305" s="2">
        <f>(H305 + J305) - (L305 + N305)</f>
        <v>0</v>
      </c>
      <c r="Q305" s="2">
        <f>P305 * G305</f>
        <v>0</v>
      </c>
      <c r="R305">
        <v>3</v>
      </c>
      <c r="S305" s="2">
        <f>R305 * G305</f>
        <v>0</v>
      </c>
      <c r="T305" s="2">
        <f>(H305 + J305) - (L305 + N305) - R305</f>
        <v>0</v>
      </c>
      <c r="U305" s="2">
        <f>T305 * G305</f>
        <v>0</v>
      </c>
      <c r="V305" s="2">
        <f>I305 + K305 - S305</f>
        <v>0</v>
      </c>
      <c r="W305" s="2">
        <f>M305 - V305</f>
        <v>0</v>
      </c>
      <c r="X305" s="2">
        <f>IFERROR(W305 / M305 * 100, 0)</f>
        <v>0</v>
      </c>
    </row>
    <row r="306" spans="1:24">
      <c r="A306" t="s">
        <v>4450</v>
      </c>
      <c r="B306" t="s">
        <v>512</v>
      </c>
      <c r="C306" t="s">
        <v>5118</v>
      </c>
      <c r="D306" t="s">
        <v>1007</v>
      </c>
      <c r="E306" t="s">
        <v>5482</v>
      </c>
      <c r="F306" t="s">
        <v>5787</v>
      </c>
      <c r="G306">
        <v>9.85</v>
      </c>
      <c r="H306">
        <v>40</v>
      </c>
      <c r="I306">
        <v>400.87</v>
      </c>
      <c r="J306">
        <v>202.18</v>
      </c>
      <c r="K306">
        <v>2134.33</v>
      </c>
      <c r="L306">
        <v>0</v>
      </c>
      <c r="M306">
        <v>0</v>
      </c>
      <c r="N306">
        <v>0</v>
      </c>
      <c r="O306">
        <v>0</v>
      </c>
      <c r="P306" s="2">
        <f>(H306 + J306) - (L306 + N306)</f>
        <v>0</v>
      </c>
      <c r="Q306" s="2">
        <f>P306 * G306</f>
        <v>0</v>
      </c>
      <c r="R306">
        <v>60</v>
      </c>
      <c r="S306" s="2">
        <f>R306 * G306</f>
        <v>0</v>
      </c>
      <c r="T306" s="2">
        <f>(H306 + J306) - (L306 + N306) - R306</f>
        <v>0</v>
      </c>
      <c r="U306" s="2">
        <f>T306 * G306</f>
        <v>0</v>
      </c>
      <c r="V306" s="2">
        <f>I306 + K306 - S306</f>
        <v>0</v>
      </c>
      <c r="W306" s="2">
        <f>M306 - V306</f>
        <v>0</v>
      </c>
      <c r="X306" s="2">
        <f>IFERROR(W306 / M306 * 100, 0)</f>
        <v>0</v>
      </c>
    </row>
    <row r="307" spans="1:24">
      <c r="A307" t="s">
        <v>4451</v>
      </c>
      <c r="B307" t="s">
        <v>512</v>
      </c>
      <c r="C307" t="s">
        <v>5119</v>
      </c>
      <c r="D307" t="s">
        <v>1008</v>
      </c>
      <c r="E307" t="s">
        <v>5482</v>
      </c>
      <c r="F307" t="s">
        <v>5788</v>
      </c>
      <c r="G307">
        <v>4.14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s="2">
        <f>(H307 + J307) - (L307 + N307)</f>
        <v>0</v>
      </c>
      <c r="Q307" s="2">
        <f>P307 * G307</f>
        <v>0</v>
      </c>
      <c r="R307">
        <v>30</v>
      </c>
      <c r="S307" s="2">
        <f>R307 * G307</f>
        <v>0</v>
      </c>
      <c r="T307" s="2">
        <f>(H307 + J307) - (L307 + N307) - R307</f>
        <v>0</v>
      </c>
      <c r="U307" s="2">
        <f>T307 * G307</f>
        <v>0</v>
      </c>
      <c r="V307" s="2">
        <f>I307 + K307 - S307</f>
        <v>0</v>
      </c>
      <c r="W307" s="2">
        <f>M307 - V307</f>
        <v>0</v>
      </c>
      <c r="X307" s="2">
        <f>IFERROR(W307 / M307 * 100, 0)</f>
        <v>0</v>
      </c>
    </row>
    <row r="308" spans="1:24">
      <c r="A308" t="s">
        <v>4452</v>
      </c>
      <c r="B308" t="s">
        <v>512</v>
      </c>
      <c r="C308" t="s">
        <v>5120</v>
      </c>
      <c r="D308" t="s">
        <v>1007</v>
      </c>
      <c r="E308" t="s">
        <v>5482</v>
      </c>
      <c r="F308" t="s">
        <v>5789</v>
      </c>
      <c r="G308">
        <v>27.78</v>
      </c>
      <c r="H308">
        <v>12</v>
      </c>
      <c r="I308">
        <v>333.33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s="2">
        <f>(H308 + J308) - (L308 + N308)</f>
        <v>0</v>
      </c>
      <c r="Q308" s="2">
        <f>P308 * G308</f>
        <v>0</v>
      </c>
      <c r="R308">
        <v>11</v>
      </c>
      <c r="S308" s="2">
        <f>R308 * G308</f>
        <v>0</v>
      </c>
      <c r="T308" s="2">
        <f>(H308 + J308) - (L308 + N308) - R308</f>
        <v>0</v>
      </c>
      <c r="U308" s="2">
        <f>T308 * G308</f>
        <v>0</v>
      </c>
      <c r="V308" s="2">
        <f>I308 + K308 - S308</f>
        <v>0</v>
      </c>
      <c r="W308" s="2">
        <f>M308 - V308</f>
        <v>0</v>
      </c>
      <c r="X308" s="2">
        <f>IFERROR(W308 / M308 * 100, 0)</f>
        <v>0</v>
      </c>
    </row>
    <row r="309" spans="1:24">
      <c r="A309" t="s">
        <v>4453</v>
      </c>
      <c r="B309" t="s">
        <v>512</v>
      </c>
      <c r="C309" t="s">
        <v>5121</v>
      </c>
      <c r="D309" t="s">
        <v>1008</v>
      </c>
      <c r="E309" t="s">
        <v>5482</v>
      </c>
      <c r="F309" t="s">
        <v>5790</v>
      </c>
      <c r="G309">
        <v>2</v>
      </c>
      <c r="H309">
        <v>0</v>
      </c>
      <c r="I309">
        <v>0</v>
      </c>
      <c r="J309">
        <v>0</v>
      </c>
      <c r="K309">
        <v>0</v>
      </c>
      <c r="L309">
        <v>100</v>
      </c>
      <c r="M309">
        <v>300</v>
      </c>
      <c r="N309">
        <v>0</v>
      </c>
      <c r="O309">
        <v>0</v>
      </c>
      <c r="P309" s="2">
        <f>(H309 + J309) - (L309 + N309)</f>
        <v>0</v>
      </c>
      <c r="Q309" s="2">
        <f>P309 * G309</f>
        <v>0</v>
      </c>
      <c r="R309">
        <v>0</v>
      </c>
      <c r="S309" s="2">
        <f>R309 * G309</f>
        <v>0</v>
      </c>
      <c r="T309" s="2">
        <f>(H309 + J309) - (L309 + N309) - R309</f>
        <v>0</v>
      </c>
      <c r="U309" s="2">
        <f>T309 * G309</f>
        <v>0</v>
      </c>
      <c r="V309" s="2">
        <f>I309 + K309 - S309</f>
        <v>0</v>
      </c>
      <c r="W309" s="2">
        <f>M309 - V309</f>
        <v>0</v>
      </c>
      <c r="X309" s="2">
        <f>IFERROR(W309 / M309 * 100, 0)</f>
        <v>0</v>
      </c>
    </row>
    <row r="310" spans="1:24">
      <c r="A310" t="s">
        <v>4454</v>
      </c>
      <c r="B310" t="s">
        <v>512</v>
      </c>
      <c r="C310" t="s">
        <v>5122</v>
      </c>
      <c r="D310" t="s">
        <v>1008</v>
      </c>
      <c r="E310" t="s">
        <v>5482</v>
      </c>
      <c r="F310" t="s">
        <v>5791</v>
      </c>
      <c r="G310">
        <v>44</v>
      </c>
      <c r="H310">
        <v>0</v>
      </c>
      <c r="I310">
        <v>0</v>
      </c>
      <c r="J310">
        <v>8</v>
      </c>
      <c r="K310">
        <v>352</v>
      </c>
      <c r="L310">
        <v>0</v>
      </c>
      <c r="M310">
        <v>0</v>
      </c>
      <c r="N310">
        <v>0</v>
      </c>
      <c r="O310">
        <v>0</v>
      </c>
      <c r="P310" s="2">
        <f>(H310 + J310) - (L310 + N310)</f>
        <v>0</v>
      </c>
      <c r="Q310" s="2">
        <f>P310 * G310</f>
        <v>0</v>
      </c>
      <c r="R310">
        <v>0</v>
      </c>
      <c r="S310" s="2">
        <f>R310 * G310</f>
        <v>0</v>
      </c>
      <c r="T310" s="2">
        <f>(H310 + J310) - (L310 + N310) - R310</f>
        <v>0</v>
      </c>
      <c r="U310" s="2">
        <f>T310 * G310</f>
        <v>0</v>
      </c>
      <c r="V310" s="2">
        <f>I310 + K310 - S310</f>
        <v>0</v>
      </c>
      <c r="W310" s="2">
        <f>M310 - V310</f>
        <v>0</v>
      </c>
      <c r="X310" s="2">
        <f>IFERROR(W310 / M310 * 100, 0)</f>
        <v>0</v>
      </c>
    </row>
    <row r="311" spans="1:24">
      <c r="A311" t="s">
        <v>4455</v>
      </c>
      <c r="B311" t="s">
        <v>512</v>
      </c>
      <c r="C311" t="s">
        <v>5123</v>
      </c>
      <c r="D311" t="s">
        <v>1008</v>
      </c>
      <c r="E311" t="s">
        <v>5482</v>
      </c>
      <c r="F311" t="s">
        <v>5792</v>
      </c>
      <c r="G311">
        <v>2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2.5</v>
      </c>
      <c r="N311">
        <v>0</v>
      </c>
      <c r="O311">
        <v>0</v>
      </c>
      <c r="P311" s="2">
        <f>(H311 + J311) - (L311 + N311)</f>
        <v>0</v>
      </c>
      <c r="Q311" s="2">
        <f>P311 * G311</f>
        <v>0</v>
      </c>
      <c r="R311">
        <v>0</v>
      </c>
      <c r="S311" s="2">
        <f>R311 * G311</f>
        <v>0</v>
      </c>
      <c r="T311" s="2">
        <f>(H311 + J311) - (L311 + N311) - R311</f>
        <v>0</v>
      </c>
      <c r="U311" s="2">
        <f>T311 * G311</f>
        <v>0</v>
      </c>
      <c r="V311" s="2">
        <f>I311 + K311 - S311</f>
        <v>0</v>
      </c>
      <c r="W311" s="2">
        <f>M311 - V311</f>
        <v>0</v>
      </c>
      <c r="X311" s="2">
        <f>IFERROR(W311 / M311 * 100, 0)</f>
        <v>0</v>
      </c>
    </row>
    <row r="312" spans="1:24">
      <c r="A312" t="s">
        <v>4456</v>
      </c>
      <c r="B312" t="s">
        <v>512</v>
      </c>
      <c r="C312" t="s">
        <v>5124</v>
      </c>
      <c r="D312" t="s">
        <v>1007</v>
      </c>
      <c r="E312" t="s">
        <v>5482</v>
      </c>
      <c r="F312" t="s">
        <v>5793</v>
      </c>
      <c r="G312">
        <v>40</v>
      </c>
      <c r="H312">
        <v>18</v>
      </c>
      <c r="I312">
        <v>720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s="2">
        <f>(H312 + J312) - (L312 + N312)</f>
        <v>0</v>
      </c>
      <c r="Q312" s="2">
        <f>P312 * G312</f>
        <v>0</v>
      </c>
      <c r="R312">
        <v>10</v>
      </c>
      <c r="S312" s="2">
        <f>R312 * G312</f>
        <v>0</v>
      </c>
      <c r="T312" s="2">
        <f>(H312 + J312) - (L312 + N312) - R312</f>
        <v>0</v>
      </c>
      <c r="U312" s="2">
        <f>T312 * G312</f>
        <v>0</v>
      </c>
      <c r="V312" s="2">
        <f>I312 + K312 - S312</f>
        <v>0</v>
      </c>
      <c r="W312" s="2">
        <f>M312 - V312</f>
        <v>0</v>
      </c>
      <c r="X312" s="2">
        <f>IFERROR(W312 / M312 * 100, 0)</f>
        <v>0</v>
      </c>
    </row>
    <row r="313" spans="1:24">
      <c r="A313" t="s">
        <v>4457</v>
      </c>
      <c r="B313" t="s">
        <v>512</v>
      </c>
      <c r="C313" t="s">
        <v>5125</v>
      </c>
      <c r="D313" t="s">
        <v>1008</v>
      </c>
      <c r="E313" t="s">
        <v>5482</v>
      </c>
      <c r="F313" t="s">
        <v>5794</v>
      </c>
      <c r="G313">
        <v>63.89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 s="2">
        <f>(H313 + J313) - (L313 + N313)</f>
        <v>0</v>
      </c>
      <c r="Q313" s="2">
        <f>P313 * G313</f>
        <v>0</v>
      </c>
      <c r="R313">
        <v>1</v>
      </c>
      <c r="S313" s="2">
        <f>R313 * G313</f>
        <v>0</v>
      </c>
      <c r="T313" s="2">
        <f>(H313 + J313) - (L313 + N313) - R313</f>
        <v>0</v>
      </c>
      <c r="U313" s="2">
        <f>T313 * G313</f>
        <v>0</v>
      </c>
      <c r="V313" s="2">
        <f>I313 + K313 - S313</f>
        <v>0</v>
      </c>
      <c r="W313" s="2">
        <f>M313 - V313</f>
        <v>0</v>
      </c>
      <c r="X313" s="2">
        <f>IFERROR(W313 / M313 * 100, 0)</f>
        <v>0</v>
      </c>
    </row>
    <row r="314" spans="1:24">
      <c r="A314" t="s">
        <v>4458</v>
      </c>
      <c r="B314" t="s">
        <v>512</v>
      </c>
      <c r="C314" t="s">
        <v>5126</v>
      </c>
      <c r="D314" t="s">
        <v>1008</v>
      </c>
      <c r="E314" t="s">
        <v>5482</v>
      </c>
      <c r="F314" t="s">
        <v>5795</v>
      </c>
      <c r="G314">
        <v>0.42</v>
      </c>
      <c r="H314">
        <v>0</v>
      </c>
      <c r="I314">
        <v>0</v>
      </c>
      <c r="J314">
        <v>-140</v>
      </c>
      <c r="K314">
        <v>-58.75</v>
      </c>
      <c r="L314">
        <v>0</v>
      </c>
      <c r="M314">
        <v>0</v>
      </c>
      <c r="N314">
        <v>0</v>
      </c>
      <c r="O314">
        <v>0</v>
      </c>
      <c r="P314" s="2">
        <f>(H314 + J314) - (L314 + N314)</f>
        <v>0</v>
      </c>
      <c r="Q314" s="2">
        <f>P314 * G314</f>
        <v>0</v>
      </c>
      <c r="R314">
        <v>0</v>
      </c>
      <c r="S314" s="2">
        <f>R314 * G314</f>
        <v>0</v>
      </c>
      <c r="T314" s="2">
        <f>(H314 + J314) - (L314 + N314) - R314</f>
        <v>0</v>
      </c>
      <c r="U314" s="2">
        <f>T314 * G314</f>
        <v>0</v>
      </c>
      <c r="V314" s="2">
        <f>I314 + K314 - S314</f>
        <v>0</v>
      </c>
      <c r="W314" s="2">
        <f>M314 - V314</f>
        <v>0</v>
      </c>
      <c r="X314" s="2">
        <f>IFERROR(W314 / M314 * 100, 0)</f>
        <v>0</v>
      </c>
    </row>
    <row r="315" spans="1:24">
      <c r="A315" t="s">
        <v>4459</v>
      </c>
      <c r="B315" t="s">
        <v>512</v>
      </c>
      <c r="C315" t="s">
        <v>5127</v>
      </c>
      <c r="D315" t="s">
        <v>1008</v>
      </c>
      <c r="E315" t="s">
        <v>5482</v>
      </c>
      <c r="F315" t="s">
        <v>5796</v>
      </c>
      <c r="G315">
        <v>11.15</v>
      </c>
      <c r="H315">
        <v>60</v>
      </c>
      <c r="I315">
        <v>663.13</v>
      </c>
      <c r="J315">
        <v>17</v>
      </c>
      <c r="K315">
        <v>195.5</v>
      </c>
      <c r="L315">
        <v>0</v>
      </c>
      <c r="M315">
        <v>0</v>
      </c>
      <c r="N315">
        <v>0</v>
      </c>
      <c r="O315">
        <v>0</v>
      </c>
      <c r="P315" s="2">
        <f>(H315 + J315) - (L315 + N315)</f>
        <v>0</v>
      </c>
      <c r="Q315" s="2">
        <f>P315 * G315</f>
        <v>0</v>
      </c>
      <c r="R315">
        <v>70</v>
      </c>
      <c r="S315" s="2">
        <f>R315 * G315</f>
        <v>0</v>
      </c>
      <c r="T315" s="2">
        <f>(H315 + J315) - (L315 + N315) - R315</f>
        <v>0</v>
      </c>
      <c r="U315" s="2">
        <f>T315 * G315</f>
        <v>0</v>
      </c>
      <c r="V315" s="2">
        <f>I315 + K315 - S315</f>
        <v>0</v>
      </c>
      <c r="W315" s="2">
        <f>M315 - V315</f>
        <v>0</v>
      </c>
      <c r="X315" s="2">
        <f>IFERROR(W315 / M315 * 100, 0)</f>
        <v>0</v>
      </c>
    </row>
    <row r="316" spans="1:24">
      <c r="A316" t="s">
        <v>4460</v>
      </c>
      <c r="B316" t="s">
        <v>512</v>
      </c>
      <c r="C316" t="s">
        <v>5128</v>
      </c>
      <c r="D316" t="s">
        <v>1008</v>
      </c>
      <c r="E316" t="s">
        <v>5482</v>
      </c>
      <c r="F316" t="s">
        <v>5797</v>
      </c>
      <c r="G316">
        <v>82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s="2">
        <f>(H316 + J316) - (L316 + N316)</f>
        <v>0</v>
      </c>
      <c r="Q316" s="2">
        <f>P316 * G316</f>
        <v>0</v>
      </c>
      <c r="R316">
        <v>4</v>
      </c>
      <c r="S316" s="2">
        <f>R316 * G316</f>
        <v>0</v>
      </c>
      <c r="T316" s="2">
        <f>(H316 + J316) - (L316 + N316) - R316</f>
        <v>0</v>
      </c>
      <c r="U316" s="2">
        <f>T316 * G316</f>
        <v>0</v>
      </c>
      <c r="V316" s="2">
        <f>I316 + K316 - S316</f>
        <v>0</v>
      </c>
      <c r="W316" s="2">
        <f>M316 - V316</f>
        <v>0</v>
      </c>
      <c r="X316" s="2">
        <f>IFERROR(W316 / M316 * 100, 0)</f>
        <v>0</v>
      </c>
    </row>
    <row r="317" spans="1:24">
      <c r="A317" t="s">
        <v>4461</v>
      </c>
      <c r="B317" t="s">
        <v>512</v>
      </c>
      <c r="C317" t="s">
        <v>5129</v>
      </c>
      <c r="D317" t="s">
        <v>1008</v>
      </c>
      <c r="E317" t="s">
        <v>5482</v>
      </c>
      <c r="F317" t="s">
        <v>5798</v>
      </c>
      <c r="G317">
        <v>9.1</v>
      </c>
      <c r="H317">
        <v>2</v>
      </c>
      <c r="I317">
        <v>18.21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s="2">
        <f>(H317 + J317) - (L317 + N317)</f>
        <v>0</v>
      </c>
      <c r="Q317" s="2">
        <f>P317 * G317</f>
        <v>0</v>
      </c>
      <c r="R317">
        <v>1</v>
      </c>
      <c r="S317" s="2">
        <f>R317 * G317</f>
        <v>0</v>
      </c>
      <c r="T317" s="2">
        <f>(H317 + J317) - (L317 + N317) - R317</f>
        <v>0</v>
      </c>
      <c r="U317" s="2">
        <f>T317 * G317</f>
        <v>0</v>
      </c>
      <c r="V317" s="2">
        <f>I317 + K317 - S317</f>
        <v>0</v>
      </c>
      <c r="W317" s="2">
        <f>M317 - V317</f>
        <v>0</v>
      </c>
      <c r="X317" s="2">
        <f>IFERROR(W317 / M317 * 100, 0)</f>
        <v>0</v>
      </c>
    </row>
    <row r="318" spans="1:24">
      <c r="A318" t="s">
        <v>4462</v>
      </c>
      <c r="B318" t="s">
        <v>512</v>
      </c>
      <c r="C318" t="s">
        <v>5130</v>
      </c>
      <c r="D318" t="s">
        <v>1008</v>
      </c>
      <c r="E318" t="s">
        <v>5482</v>
      </c>
      <c r="F318" t="s">
        <v>5799</v>
      </c>
      <c r="G318">
        <v>3.6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4.5</v>
      </c>
      <c r="N318">
        <v>0</v>
      </c>
      <c r="O318">
        <v>0</v>
      </c>
      <c r="P318" s="2">
        <f>(H318 + J318) - (L318 + N318)</f>
        <v>0</v>
      </c>
      <c r="Q318" s="2">
        <f>P318 * G318</f>
        <v>0</v>
      </c>
      <c r="R318">
        <v>0</v>
      </c>
      <c r="S318" s="2">
        <f>R318 * G318</f>
        <v>0</v>
      </c>
      <c r="T318" s="2">
        <f>(H318 + J318) - (L318 + N318) - R318</f>
        <v>0</v>
      </c>
      <c r="U318" s="2">
        <f>T318 * G318</f>
        <v>0</v>
      </c>
      <c r="V318" s="2">
        <f>I318 + K318 - S318</f>
        <v>0</v>
      </c>
      <c r="W318" s="2">
        <f>M318 - V318</f>
        <v>0</v>
      </c>
      <c r="X318" s="2">
        <f>IFERROR(W318 / M318 * 100, 0)</f>
        <v>0</v>
      </c>
    </row>
    <row r="319" spans="1:24">
      <c r="A319" t="s">
        <v>4463</v>
      </c>
      <c r="B319" t="s">
        <v>512</v>
      </c>
      <c r="C319" t="s">
        <v>5131</v>
      </c>
      <c r="D319" t="s">
        <v>1008</v>
      </c>
      <c r="E319" t="s">
        <v>5482</v>
      </c>
      <c r="F319" t="s">
        <v>5800</v>
      </c>
      <c r="G319">
        <v>7.5</v>
      </c>
      <c r="H319">
        <v>0</v>
      </c>
      <c r="I319">
        <v>0</v>
      </c>
      <c r="J319">
        <v>5</v>
      </c>
      <c r="K319">
        <v>37.5</v>
      </c>
      <c r="L319">
        <v>0</v>
      </c>
      <c r="M319">
        <v>0</v>
      </c>
      <c r="N319">
        <v>0</v>
      </c>
      <c r="O319">
        <v>0</v>
      </c>
      <c r="P319" s="2">
        <f>(H319 + J319) - (L319 + N319)</f>
        <v>0</v>
      </c>
      <c r="Q319" s="2">
        <f>P319 * G319</f>
        <v>0</v>
      </c>
      <c r="R319">
        <v>0</v>
      </c>
      <c r="S319" s="2">
        <f>R319 * G319</f>
        <v>0</v>
      </c>
      <c r="T319" s="2">
        <f>(H319 + J319) - (L319 + N319) - R319</f>
        <v>0</v>
      </c>
      <c r="U319" s="2">
        <f>T319 * G319</f>
        <v>0</v>
      </c>
      <c r="V319" s="2">
        <f>I319 + K319 - S319</f>
        <v>0</v>
      </c>
      <c r="W319" s="2">
        <f>M319 - V319</f>
        <v>0</v>
      </c>
      <c r="X319" s="2">
        <f>IFERROR(W319 / M319 * 100, 0)</f>
        <v>0</v>
      </c>
    </row>
    <row r="320" spans="1:24">
      <c r="A320" t="s">
        <v>4464</v>
      </c>
      <c r="B320" t="s">
        <v>512</v>
      </c>
      <c r="C320" t="s">
        <v>5132</v>
      </c>
      <c r="D320" t="s">
        <v>1007</v>
      </c>
      <c r="E320" t="s">
        <v>5482</v>
      </c>
      <c r="F320" t="s">
        <v>5801</v>
      </c>
      <c r="G320">
        <v>14</v>
      </c>
      <c r="H320">
        <v>0</v>
      </c>
      <c r="I320">
        <v>0</v>
      </c>
      <c r="J320">
        <v>0</v>
      </c>
      <c r="K320">
        <v>0</v>
      </c>
      <c r="L320">
        <v>0.17</v>
      </c>
      <c r="M320">
        <v>2.72</v>
      </c>
      <c r="N320">
        <v>0</v>
      </c>
      <c r="O320">
        <v>0</v>
      </c>
      <c r="P320" s="2">
        <f>(H320 + J320) - (L320 + N320)</f>
        <v>0</v>
      </c>
      <c r="Q320" s="2">
        <f>P320 * G320</f>
        <v>0</v>
      </c>
      <c r="R320">
        <v>0</v>
      </c>
      <c r="S320" s="2">
        <f>R320 * G320</f>
        <v>0</v>
      </c>
      <c r="T320" s="2">
        <f>(H320 + J320) - (L320 + N320) - R320</f>
        <v>0</v>
      </c>
      <c r="U320" s="2">
        <f>T320 * G320</f>
        <v>0</v>
      </c>
      <c r="V320" s="2">
        <f>I320 + K320 - S320</f>
        <v>0</v>
      </c>
      <c r="W320" s="2">
        <f>M320 - V320</f>
        <v>0</v>
      </c>
      <c r="X320" s="2">
        <f>IFERROR(W320 / M320 * 100, 0)</f>
        <v>0</v>
      </c>
    </row>
    <row r="321" spans="1:24">
      <c r="A321" t="s">
        <v>4465</v>
      </c>
      <c r="B321" t="s">
        <v>512</v>
      </c>
      <c r="C321" t="s">
        <v>5133</v>
      </c>
      <c r="D321" t="s">
        <v>1007</v>
      </c>
      <c r="E321" t="s">
        <v>5482</v>
      </c>
      <c r="F321" t="s">
        <v>5802</v>
      </c>
      <c r="G321">
        <v>75.17</v>
      </c>
      <c r="H321">
        <v>0</v>
      </c>
      <c r="I321">
        <v>0</v>
      </c>
      <c r="J321">
        <v>0.29</v>
      </c>
      <c r="K321">
        <v>21.5</v>
      </c>
      <c r="L321">
        <v>0</v>
      </c>
      <c r="M321">
        <v>0</v>
      </c>
      <c r="N321">
        <v>0</v>
      </c>
      <c r="O321">
        <v>0</v>
      </c>
      <c r="P321" s="2">
        <f>(H321 + J321) - (L321 + N321)</f>
        <v>0</v>
      </c>
      <c r="Q321" s="2">
        <f>P321 * G321</f>
        <v>0</v>
      </c>
      <c r="R321">
        <v>0</v>
      </c>
      <c r="S321" s="2">
        <f>R321 * G321</f>
        <v>0</v>
      </c>
      <c r="T321" s="2">
        <f>(H321 + J321) - (L321 + N321) - R321</f>
        <v>0</v>
      </c>
      <c r="U321" s="2">
        <f>T321 * G321</f>
        <v>0</v>
      </c>
      <c r="V321" s="2">
        <f>I321 + K321 - S321</f>
        <v>0</v>
      </c>
      <c r="W321" s="2">
        <f>M321 - V321</f>
        <v>0</v>
      </c>
      <c r="X321" s="2">
        <f>IFERROR(W321 / M321 * 100, 0)</f>
        <v>0</v>
      </c>
    </row>
    <row r="322" spans="1:24">
      <c r="A322" t="s">
        <v>4466</v>
      </c>
      <c r="B322" t="s">
        <v>512</v>
      </c>
      <c r="C322" t="s">
        <v>5134</v>
      </c>
      <c r="D322" t="s">
        <v>1008</v>
      </c>
      <c r="E322" t="s">
        <v>5482</v>
      </c>
      <c r="F322" t="s">
        <v>5803</v>
      </c>
      <c r="G322">
        <v>175</v>
      </c>
      <c r="H322">
        <v>0</v>
      </c>
      <c r="I322">
        <v>0</v>
      </c>
      <c r="J322">
        <v>2</v>
      </c>
      <c r="K322">
        <v>350</v>
      </c>
      <c r="L322">
        <v>0</v>
      </c>
      <c r="M322">
        <v>0</v>
      </c>
      <c r="N322">
        <v>0</v>
      </c>
      <c r="O322">
        <v>0</v>
      </c>
      <c r="P322" s="2">
        <f>(H322 + J322) - (L322 + N322)</f>
        <v>0</v>
      </c>
      <c r="Q322" s="2">
        <f>P322 * G322</f>
        <v>0</v>
      </c>
      <c r="R322">
        <v>0</v>
      </c>
      <c r="S322" s="2">
        <f>R322 * G322</f>
        <v>0</v>
      </c>
      <c r="T322" s="2">
        <f>(H322 + J322) - (L322 + N322) - R322</f>
        <v>0</v>
      </c>
      <c r="U322" s="2">
        <f>T322 * G322</f>
        <v>0</v>
      </c>
      <c r="V322" s="2">
        <f>I322 + K322 - S322</f>
        <v>0</v>
      </c>
      <c r="W322" s="2">
        <f>M322 - V322</f>
        <v>0</v>
      </c>
      <c r="X322" s="2">
        <f>IFERROR(W322 / M322 * 100, 0)</f>
        <v>0</v>
      </c>
    </row>
    <row r="323" spans="1:24">
      <c r="A323" t="s">
        <v>4467</v>
      </c>
      <c r="B323" t="s">
        <v>512</v>
      </c>
      <c r="C323" t="s">
        <v>5135</v>
      </c>
      <c r="D323" t="s">
        <v>1007</v>
      </c>
      <c r="E323" t="s">
        <v>5482</v>
      </c>
      <c r="F323" t="s">
        <v>5804</v>
      </c>
      <c r="G323">
        <v>30</v>
      </c>
      <c r="H323">
        <v>10</v>
      </c>
      <c r="I323">
        <v>300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 s="2">
        <f>(H323 + J323) - (L323 + N323)</f>
        <v>0</v>
      </c>
      <c r="Q323" s="2">
        <f>P323 * G323</f>
        <v>0</v>
      </c>
      <c r="R323">
        <v>5</v>
      </c>
      <c r="S323" s="2">
        <f>R323 * G323</f>
        <v>0</v>
      </c>
      <c r="T323" s="2">
        <f>(H323 + J323) - (L323 + N323) - R323</f>
        <v>0</v>
      </c>
      <c r="U323" s="2">
        <f>T323 * G323</f>
        <v>0</v>
      </c>
      <c r="V323" s="2">
        <f>I323 + K323 - S323</f>
        <v>0</v>
      </c>
      <c r="W323" s="2">
        <f>M323 - V323</f>
        <v>0</v>
      </c>
      <c r="X323" s="2">
        <f>IFERROR(W323 / M323 * 100, 0)</f>
        <v>0</v>
      </c>
    </row>
    <row r="324" spans="1:24">
      <c r="A324" t="s">
        <v>4468</v>
      </c>
      <c r="B324" t="s">
        <v>512</v>
      </c>
      <c r="C324" t="s">
        <v>5136</v>
      </c>
      <c r="D324" t="s">
        <v>1008</v>
      </c>
      <c r="E324" t="s">
        <v>5482</v>
      </c>
      <c r="F324" t="s">
        <v>5805</v>
      </c>
      <c r="G324">
        <v>6.2</v>
      </c>
      <c r="H324">
        <v>30</v>
      </c>
      <c r="I324">
        <v>186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s="2">
        <f>(H324 + J324) - (L324 + N324)</f>
        <v>0</v>
      </c>
      <c r="Q324" s="2">
        <f>P324 * G324</f>
        <v>0</v>
      </c>
      <c r="R324">
        <v>20</v>
      </c>
      <c r="S324" s="2">
        <f>R324 * G324</f>
        <v>0</v>
      </c>
      <c r="T324" s="2">
        <f>(H324 + J324) - (L324 + N324) - R324</f>
        <v>0</v>
      </c>
      <c r="U324" s="2">
        <f>T324 * G324</f>
        <v>0</v>
      </c>
      <c r="V324" s="2">
        <f>I324 + K324 - S324</f>
        <v>0</v>
      </c>
      <c r="W324" s="2">
        <f>M324 - V324</f>
        <v>0</v>
      </c>
      <c r="X324" s="2">
        <f>IFERROR(W324 / M324 * 100, 0)</f>
        <v>0</v>
      </c>
    </row>
    <row r="325" spans="1:24">
      <c r="A325" t="s">
        <v>4469</v>
      </c>
      <c r="B325" t="s">
        <v>512</v>
      </c>
      <c r="C325" t="s">
        <v>5137</v>
      </c>
      <c r="D325" t="s">
        <v>1008</v>
      </c>
      <c r="E325" t="s">
        <v>5482</v>
      </c>
      <c r="F325" t="s">
        <v>5806</v>
      </c>
      <c r="G325">
        <v>215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 s="2">
        <f>(H325 + J325) - (L325 + N325)</f>
        <v>0</v>
      </c>
      <c r="Q325" s="2">
        <f>P325 * G325</f>
        <v>0</v>
      </c>
      <c r="R325">
        <v>1</v>
      </c>
      <c r="S325" s="2">
        <f>R325 * G325</f>
        <v>0</v>
      </c>
      <c r="T325" s="2">
        <f>(H325 + J325) - (L325 + N325) - R325</f>
        <v>0</v>
      </c>
      <c r="U325" s="2">
        <f>T325 * G325</f>
        <v>0</v>
      </c>
      <c r="V325" s="2">
        <f>I325 + K325 - S325</f>
        <v>0</v>
      </c>
      <c r="W325" s="2">
        <f>M325 - V325</f>
        <v>0</v>
      </c>
      <c r="X325" s="2">
        <f>IFERROR(W325 / M325 * 100, 0)</f>
        <v>0</v>
      </c>
    </row>
    <row r="326" spans="1:24">
      <c r="A326" t="s">
        <v>4470</v>
      </c>
      <c r="B326" t="s">
        <v>512</v>
      </c>
      <c r="C326" t="s">
        <v>5138</v>
      </c>
      <c r="D326" t="s">
        <v>1008</v>
      </c>
      <c r="E326" t="s">
        <v>5482</v>
      </c>
      <c r="F326" t="s">
        <v>5807</v>
      </c>
      <c r="G326">
        <v>220</v>
      </c>
      <c r="H326">
        <v>0</v>
      </c>
      <c r="I326">
        <v>0</v>
      </c>
      <c r="J326">
        <v>1</v>
      </c>
      <c r="K326">
        <v>220</v>
      </c>
      <c r="L326">
        <v>0</v>
      </c>
      <c r="M326">
        <v>0</v>
      </c>
      <c r="N326">
        <v>0</v>
      </c>
      <c r="O326">
        <v>0</v>
      </c>
      <c r="P326" s="2">
        <f>(H326 + J326) - (L326 + N326)</f>
        <v>0</v>
      </c>
      <c r="Q326" s="2">
        <f>P326 * G326</f>
        <v>0</v>
      </c>
      <c r="R326">
        <v>0</v>
      </c>
      <c r="S326" s="2">
        <f>R326 * G326</f>
        <v>0</v>
      </c>
      <c r="T326" s="2">
        <f>(H326 + J326) - (L326 + N326) - R326</f>
        <v>0</v>
      </c>
      <c r="U326" s="2">
        <f>T326 * G326</f>
        <v>0</v>
      </c>
      <c r="V326" s="2">
        <f>I326 + K326 - S326</f>
        <v>0</v>
      </c>
      <c r="W326" s="2">
        <f>M326 - V326</f>
        <v>0</v>
      </c>
      <c r="X326" s="2">
        <f>IFERROR(W326 / M326 * 100, 0)</f>
        <v>0</v>
      </c>
    </row>
    <row r="327" spans="1:24">
      <c r="A327" t="s">
        <v>4471</v>
      </c>
      <c r="B327" t="s">
        <v>512</v>
      </c>
      <c r="C327" t="s">
        <v>5139</v>
      </c>
      <c r="D327" t="s">
        <v>1007</v>
      </c>
      <c r="E327" t="s">
        <v>5482</v>
      </c>
      <c r="F327" t="s">
        <v>5808</v>
      </c>
      <c r="G327">
        <v>6.25</v>
      </c>
      <c r="H327">
        <v>0</v>
      </c>
      <c r="I327">
        <v>0</v>
      </c>
      <c r="J327">
        <v>216</v>
      </c>
      <c r="K327">
        <v>1349.57</v>
      </c>
      <c r="L327">
        <v>0</v>
      </c>
      <c r="M327">
        <v>0</v>
      </c>
      <c r="N327">
        <v>0</v>
      </c>
      <c r="O327">
        <v>0</v>
      </c>
      <c r="P327" s="2">
        <f>(H327 + J327) - (L327 + N327)</f>
        <v>0</v>
      </c>
      <c r="Q327" s="2">
        <f>P327 * G327</f>
        <v>0</v>
      </c>
      <c r="R327">
        <v>0</v>
      </c>
      <c r="S327" s="2">
        <f>R327 * G327</f>
        <v>0</v>
      </c>
      <c r="T327" s="2">
        <f>(H327 + J327) - (L327 + N327) - R327</f>
        <v>0</v>
      </c>
      <c r="U327" s="2">
        <f>T327 * G327</f>
        <v>0</v>
      </c>
      <c r="V327" s="2">
        <f>I327 + K327 - S327</f>
        <v>0</v>
      </c>
      <c r="W327" s="2">
        <f>M327 - V327</f>
        <v>0</v>
      </c>
      <c r="X327" s="2">
        <f>IFERROR(W327 / M327 * 100, 0)</f>
        <v>0</v>
      </c>
    </row>
    <row r="328" spans="1:24">
      <c r="A328" t="s">
        <v>4472</v>
      </c>
      <c r="B328" t="s">
        <v>512</v>
      </c>
      <c r="C328" t="s">
        <v>5140</v>
      </c>
      <c r="D328" t="s">
        <v>1008</v>
      </c>
      <c r="E328" t="s">
        <v>5482</v>
      </c>
      <c r="F328" t="s">
        <v>5809</v>
      </c>
      <c r="G328">
        <v>4.4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5.5</v>
      </c>
      <c r="N328">
        <v>0</v>
      </c>
      <c r="O328">
        <v>0</v>
      </c>
      <c r="P328" s="2">
        <f>(H328 + J328) - (L328 + N328)</f>
        <v>0</v>
      </c>
      <c r="Q328" s="2">
        <f>P328 * G328</f>
        <v>0</v>
      </c>
      <c r="R328">
        <v>0</v>
      </c>
      <c r="S328" s="2">
        <f>R328 * G328</f>
        <v>0</v>
      </c>
      <c r="T328" s="2">
        <f>(H328 + J328) - (L328 + N328) - R328</f>
        <v>0</v>
      </c>
      <c r="U328" s="2">
        <f>T328 * G328</f>
        <v>0</v>
      </c>
      <c r="V328" s="2">
        <f>I328 + K328 - S328</f>
        <v>0</v>
      </c>
      <c r="W328" s="2">
        <f>M328 - V328</f>
        <v>0</v>
      </c>
      <c r="X328" s="2">
        <f>IFERROR(W328 / M328 * 100, 0)</f>
        <v>0</v>
      </c>
    </row>
    <row r="329" spans="1:24">
      <c r="A329" t="s">
        <v>4473</v>
      </c>
      <c r="B329" t="s">
        <v>512</v>
      </c>
      <c r="C329" t="s">
        <v>5141</v>
      </c>
      <c r="D329" t="s">
        <v>1008</v>
      </c>
      <c r="E329" t="s">
        <v>5482</v>
      </c>
      <c r="F329" t="s">
        <v>5810</v>
      </c>
      <c r="G329">
        <v>4</v>
      </c>
      <c r="H329">
        <v>0</v>
      </c>
      <c r="I329">
        <v>0</v>
      </c>
      <c r="J329">
        <v>0</v>
      </c>
      <c r="K329">
        <v>0</v>
      </c>
      <c r="L329">
        <v>8</v>
      </c>
      <c r="M329">
        <v>32</v>
      </c>
      <c r="N329">
        <v>0</v>
      </c>
      <c r="O329">
        <v>0</v>
      </c>
      <c r="P329" s="2">
        <f>(H329 + J329) - (L329 + N329)</f>
        <v>0</v>
      </c>
      <c r="Q329" s="2">
        <f>P329 * G329</f>
        <v>0</v>
      </c>
      <c r="R329">
        <v>13</v>
      </c>
      <c r="S329" s="2">
        <f>R329 * G329</f>
        <v>0</v>
      </c>
      <c r="T329" s="2">
        <f>(H329 + J329) - (L329 + N329) - R329</f>
        <v>0</v>
      </c>
      <c r="U329" s="2">
        <f>T329 * G329</f>
        <v>0</v>
      </c>
      <c r="V329" s="2">
        <f>I329 + K329 - S329</f>
        <v>0</v>
      </c>
      <c r="W329" s="2">
        <f>M329 - V329</f>
        <v>0</v>
      </c>
      <c r="X329" s="2">
        <f>IFERROR(W329 / M329 * 100, 0)</f>
        <v>0</v>
      </c>
    </row>
    <row r="330" spans="1:24">
      <c r="A330" t="s">
        <v>4474</v>
      </c>
      <c r="B330" t="s">
        <v>512</v>
      </c>
      <c r="C330" t="s">
        <v>5142</v>
      </c>
      <c r="D330" t="s">
        <v>1007</v>
      </c>
      <c r="E330" t="s">
        <v>5482</v>
      </c>
      <c r="F330" t="s">
        <v>5811</v>
      </c>
      <c r="G330">
        <v>80</v>
      </c>
      <c r="H330">
        <v>0</v>
      </c>
      <c r="I330">
        <v>0</v>
      </c>
      <c r="J330">
        <v>0</v>
      </c>
      <c r="K330">
        <v>0</v>
      </c>
      <c r="L330">
        <v>0.85</v>
      </c>
      <c r="M330">
        <v>85</v>
      </c>
      <c r="N330">
        <v>0</v>
      </c>
      <c r="O330">
        <v>0</v>
      </c>
      <c r="P330" s="2">
        <f>(H330 + J330) - (L330 + N330)</f>
        <v>0</v>
      </c>
      <c r="Q330" s="2">
        <f>P330 * G330</f>
        <v>0</v>
      </c>
      <c r="R330">
        <v>0</v>
      </c>
      <c r="S330" s="2">
        <f>R330 * G330</f>
        <v>0</v>
      </c>
      <c r="T330" s="2">
        <f>(H330 + J330) - (L330 + N330) - R330</f>
        <v>0</v>
      </c>
      <c r="U330" s="2">
        <f>T330 * G330</f>
        <v>0</v>
      </c>
      <c r="V330" s="2">
        <f>I330 + K330 - S330</f>
        <v>0</v>
      </c>
      <c r="W330" s="2">
        <f>M330 - V330</f>
        <v>0</v>
      </c>
      <c r="X330" s="2">
        <f>IFERROR(W330 / M330 * 100, 0)</f>
        <v>0</v>
      </c>
    </row>
    <row r="331" spans="1:24">
      <c r="A331" t="s">
        <v>4475</v>
      </c>
      <c r="B331" t="s">
        <v>512</v>
      </c>
      <c r="C331" t="s">
        <v>5143</v>
      </c>
      <c r="D331" t="s">
        <v>1007</v>
      </c>
      <c r="E331" t="s">
        <v>5482</v>
      </c>
      <c r="F331" t="s">
        <v>5812</v>
      </c>
      <c r="G331">
        <v>13</v>
      </c>
      <c r="H331">
        <v>0</v>
      </c>
      <c r="I331">
        <v>0</v>
      </c>
      <c r="J331">
        <v>0</v>
      </c>
      <c r="K331">
        <v>0</v>
      </c>
      <c r="L331">
        <v>4.28</v>
      </c>
      <c r="M331">
        <v>111.28</v>
      </c>
      <c r="N331">
        <v>0</v>
      </c>
      <c r="O331">
        <v>0</v>
      </c>
      <c r="P331" s="2">
        <f>(H331 + J331) - (L331 + N331)</f>
        <v>0</v>
      </c>
      <c r="Q331" s="2">
        <f>P331 * G331</f>
        <v>0</v>
      </c>
      <c r="R331">
        <v>4.03</v>
      </c>
      <c r="S331" s="2">
        <f>R331 * G331</f>
        <v>0</v>
      </c>
      <c r="T331" s="2">
        <f>(H331 + J331) - (L331 + N331) - R331</f>
        <v>0</v>
      </c>
      <c r="U331" s="2">
        <f>T331 * G331</f>
        <v>0</v>
      </c>
      <c r="V331" s="2">
        <f>I331 + K331 - S331</f>
        <v>0</v>
      </c>
      <c r="W331" s="2">
        <f>M331 - V331</f>
        <v>0</v>
      </c>
      <c r="X331" s="2">
        <f>IFERROR(W331 / M331 * 100, 0)</f>
        <v>0</v>
      </c>
    </row>
    <row r="332" spans="1:24">
      <c r="A332" t="s">
        <v>4476</v>
      </c>
      <c r="B332" t="s">
        <v>512</v>
      </c>
      <c r="C332" t="s">
        <v>5144</v>
      </c>
      <c r="D332" t="s">
        <v>1007</v>
      </c>
      <c r="E332" t="s">
        <v>5482</v>
      </c>
      <c r="F332" t="s">
        <v>5813</v>
      </c>
      <c r="G332">
        <v>23</v>
      </c>
      <c r="H332">
        <v>0</v>
      </c>
      <c r="I332">
        <v>0</v>
      </c>
      <c r="J332">
        <v>5</v>
      </c>
      <c r="K332">
        <v>115</v>
      </c>
      <c r="L332">
        <v>4.06</v>
      </c>
      <c r="M332">
        <v>105.56</v>
      </c>
      <c r="N332">
        <v>0</v>
      </c>
      <c r="O332">
        <v>0</v>
      </c>
      <c r="P332" s="2">
        <f>(H332 + J332) - (L332 + N332)</f>
        <v>0</v>
      </c>
      <c r="Q332" s="2">
        <f>P332 * G332</f>
        <v>0</v>
      </c>
      <c r="R332">
        <v>0</v>
      </c>
      <c r="S332" s="2">
        <f>R332 * G332</f>
        <v>0</v>
      </c>
      <c r="T332" s="2">
        <f>(H332 + J332) - (L332 + N332) - R332</f>
        <v>0</v>
      </c>
      <c r="U332" s="2">
        <f>T332 * G332</f>
        <v>0</v>
      </c>
      <c r="V332" s="2">
        <f>I332 + K332 - S332</f>
        <v>0</v>
      </c>
      <c r="W332" s="2">
        <f>M332 - V332</f>
        <v>0</v>
      </c>
      <c r="X332" s="2">
        <f>IFERROR(W332 / M332 * 100, 0)</f>
        <v>0</v>
      </c>
    </row>
    <row r="333" spans="1:24">
      <c r="A333" t="s">
        <v>4477</v>
      </c>
      <c r="B333" t="s">
        <v>512</v>
      </c>
      <c r="C333" t="s">
        <v>5145</v>
      </c>
      <c r="D333" t="s">
        <v>1008</v>
      </c>
      <c r="E333" t="s">
        <v>5482</v>
      </c>
      <c r="F333" t="s">
        <v>5814</v>
      </c>
      <c r="G333">
        <v>72.5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 s="2">
        <f>(H333 + J333) - (L333 + N333)</f>
        <v>0</v>
      </c>
      <c r="Q333" s="2">
        <f>P333 * G333</f>
        <v>0</v>
      </c>
      <c r="R333">
        <v>2</v>
      </c>
      <c r="S333" s="2">
        <f>R333 * G333</f>
        <v>0</v>
      </c>
      <c r="T333" s="2">
        <f>(H333 + J333) - (L333 + N333) - R333</f>
        <v>0</v>
      </c>
      <c r="U333" s="2">
        <f>T333 * G333</f>
        <v>0</v>
      </c>
      <c r="V333" s="2">
        <f>I333 + K333 - S333</f>
        <v>0</v>
      </c>
      <c r="W333" s="2">
        <f>M333 - V333</f>
        <v>0</v>
      </c>
      <c r="X333" s="2">
        <f>IFERROR(W333 / M333 * 100, 0)</f>
        <v>0</v>
      </c>
    </row>
    <row r="334" spans="1:24">
      <c r="A334" t="s">
        <v>4478</v>
      </c>
      <c r="B334" t="s">
        <v>512</v>
      </c>
      <c r="C334" t="s">
        <v>5146</v>
      </c>
      <c r="D334" t="s">
        <v>1008</v>
      </c>
      <c r="E334" t="s">
        <v>5482</v>
      </c>
      <c r="F334" t="s">
        <v>5815</v>
      </c>
      <c r="G334">
        <v>42</v>
      </c>
      <c r="H334">
        <v>0</v>
      </c>
      <c r="I334">
        <v>0</v>
      </c>
      <c r="J334">
        <v>2</v>
      </c>
      <c r="K334">
        <v>84</v>
      </c>
      <c r="L334">
        <v>0</v>
      </c>
      <c r="M334">
        <v>0</v>
      </c>
      <c r="N334">
        <v>0</v>
      </c>
      <c r="O334">
        <v>0</v>
      </c>
      <c r="P334" s="2">
        <f>(H334 + J334) - (L334 + N334)</f>
        <v>0</v>
      </c>
      <c r="Q334" s="2">
        <f>P334 * G334</f>
        <v>0</v>
      </c>
      <c r="R334">
        <v>0</v>
      </c>
      <c r="S334" s="2">
        <f>R334 * G334</f>
        <v>0</v>
      </c>
      <c r="T334" s="2">
        <f>(H334 + J334) - (L334 + N334) - R334</f>
        <v>0</v>
      </c>
      <c r="U334" s="2">
        <f>T334 * G334</f>
        <v>0</v>
      </c>
      <c r="V334" s="2">
        <f>I334 + K334 - S334</f>
        <v>0</v>
      </c>
      <c r="W334" s="2">
        <f>M334 - V334</f>
        <v>0</v>
      </c>
      <c r="X334" s="2">
        <f>IFERROR(W334 / M334 * 100, 0)</f>
        <v>0</v>
      </c>
    </row>
    <row r="335" spans="1:24">
      <c r="A335" t="s">
        <v>4479</v>
      </c>
      <c r="B335" t="s">
        <v>512</v>
      </c>
      <c r="C335" t="s">
        <v>5147</v>
      </c>
      <c r="D335" t="s">
        <v>1007</v>
      </c>
      <c r="E335" t="s">
        <v>5482</v>
      </c>
      <c r="F335" t="s">
        <v>5816</v>
      </c>
      <c r="G335">
        <v>8.800000000000001</v>
      </c>
      <c r="H335">
        <v>0</v>
      </c>
      <c r="I335">
        <v>0</v>
      </c>
      <c r="J335">
        <v>-221.68</v>
      </c>
      <c r="K335">
        <v>-1950.78</v>
      </c>
      <c r="L335">
        <v>0</v>
      </c>
      <c r="M335">
        <v>0</v>
      </c>
      <c r="N335">
        <v>0</v>
      </c>
      <c r="O335">
        <v>0</v>
      </c>
      <c r="P335" s="2">
        <f>(H335 + J335) - (L335 + N335)</f>
        <v>0</v>
      </c>
      <c r="Q335" s="2">
        <f>P335 * G335</f>
        <v>0</v>
      </c>
      <c r="R335">
        <v>0</v>
      </c>
      <c r="S335" s="2">
        <f>R335 * G335</f>
        <v>0</v>
      </c>
      <c r="T335" s="2">
        <f>(H335 + J335) - (L335 + N335) - R335</f>
        <v>0</v>
      </c>
      <c r="U335" s="2">
        <f>T335 * G335</f>
        <v>0</v>
      </c>
      <c r="V335" s="2">
        <f>I335 + K335 - S335</f>
        <v>0</v>
      </c>
      <c r="W335" s="2">
        <f>M335 - V335</f>
        <v>0</v>
      </c>
      <c r="X335" s="2">
        <f>IFERROR(W335 / M335 * 100, 0)</f>
        <v>0</v>
      </c>
    </row>
    <row r="336" spans="1:24">
      <c r="A336" t="s">
        <v>4480</v>
      </c>
      <c r="B336" t="s">
        <v>512</v>
      </c>
      <c r="C336" t="s">
        <v>5148</v>
      </c>
      <c r="D336" t="s">
        <v>1007</v>
      </c>
      <c r="E336" t="s">
        <v>5482</v>
      </c>
      <c r="F336" t="s">
        <v>5817</v>
      </c>
      <c r="G336">
        <v>0</v>
      </c>
      <c r="H336">
        <v>0</v>
      </c>
      <c r="I336">
        <v>0</v>
      </c>
      <c r="J336">
        <v>-30.48</v>
      </c>
      <c r="K336">
        <v>0</v>
      </c>
      <c r="L336">
        <v>0</v>
      </c>
      <c r="M336">
        <v>0</v>
      </c>
      <c r="N336">
        <v>0</v>
      </c>
      <c r="O336">
        <v>0</v>
      </c>
      <c r="P336" s="2">
        <f>(H336 + J336) - (L336 + N336)</f>
        <v>0</v>
      </c>
      <c r="Q336" s="2">
        <f>P336 * G336</f>
        <v>0</v>
      </c>
      <c r="R336">
        <v>0</v>
      </c>
      <c r="S336" s="2">
        <f>R336 * G336</f>
        <v>0</v>
      </c>
      <c r="T336" s="2">
        <f>(H336 + J336) - (L336 + N336) - R336</f>
        <v>0</v>
      </c>
      <c r="U336" s="2">
        <f>T336 * G336</f>
        <v>0</v>
      </c>
      <c r="V336" s="2">
        <f>I336 + K336 - S336</f>
        <v>0</v>
      </c>
      <c r="W336" s="2">
        <f>M336 - V336</f>
        <v>0</v>
      </c>
      <c r="X336" s="2">
        <f>IFERROR(W336 / M336 * 100, 0)</f>
        <v>0</v>
      </c>
    </row>
    <row r="337" spans="1:24">
      <c r="A337" t="s">
        <v>4481</v>
      </c>
      <c r="B337" t="s">
        <v>512</v>
      </c>
      <c r="C337" t="s">
        <v>5149</v>
      </c>
      <c r="D337" t="s">
        <v>1007</v>
      </c>
      <c r="E337" t="s">
        <v>5482</v>
      </c>
      <c r="F337" t="s">
        <v>5818</v>
      </c>
      <c r="G337">
        <v>31.48</v>
      </c>
      <c r="H337">
        <v>0</v>
      </c>
      <c r="I337">
        <v>0</v>
      </c>
      <c r="J337">
        <v>-6.55</v>
      </c>
      <c r="K337">
        <v>-206.2</v>
      </c>
      <c r="L337">
        <v>0</v>
      </c>
      <c r="M337">
        <v>0</v>
      </c>
      <c r="N337">
        <v>0</v>
      </c>
      <c r="O337">
        <v>0</v>
      </c>
      <c r="P337" s="2">
        <f>(H337 + J337) - (L337 + N337)</f>
        <v>0</v>
      </c>
      <c r="Q337" s="2">
        <f>P337 * G337</f>
        <v>0</v>
      </c>
      <c r="R337">
        <v>0</v>
      </c>
      <c r="S337" s="2">
        <f>R337 * G337</f>
        <v>0</v>
      </c>
      <c r="T337" s="2">
        <f>(H337 + J337) - (L337 + N337) - R337</f>
        <v>0</v>
      </c>
      <c r="U337" s="2">
        <f>T337 * G337</f>
        <v>0</v>
      </c>
      <c r="V337" s="2">
        <f>I337 + K337 - S337</f>
        <v>0</v>
      </c>
      <c r="W337" s="2">
        <f>M337 - V337</f>
        <v>0</v>
      </c>
      <c r="X337" s="2">
        <f>IFERROR(W337 / M337 * 100, 0)</f>
        <v>0</v>
      </c>
    </row>
    <row r="338" spans="1:24">
      <c r="A338" t="s">
        <v>4482</v>
      </c>
      <c r="B338" t="s">
        <v>512</v>
      </c>
      <c r="C338" t="s">
        <v>5150</v>
      </c>
      <c r="D338" t="s">
        <v>1007</v>
      </c>
      <c r="E338" t="s">
        <v>5482</v>
      </c>
      <c r="F338" t="s">
        <v>5819</v>
      </c>
      <c r="G338">
        <v>31.48</v>
      </c>
      <c r="H338">
        <v>0</v>
      </c>
      <c r="I338">
        <v>0</v>
      </c>
      <c r="J338">
        <v>-12.16</v>
      </c>
      <c r="K338">
        <v>-382.82</v>
      </c>
      <c r="L338">
        <v>0</v>
      </c>
      <c r="M338">
        <v>0</v>
      </c>
      <c r="N338">
        <v>0</v>
      </c>
      <c r="O338">
        <v>0</v>
      </c>
      <c r="P338" s="2">
        <f>(H338 + J338) - (L338 + N338)</f>
        <v>0</v>
      </c>
      <c r="Q338" s="2">
        <f>P338 * G338</f>
        <v>0</v>
      </c>
      <c r="R338">
        <v>0</v>
      </c>
      <c r="S338" s="2">
        <f>R338 * G338</f>
        <v>0</v>
      </c>
      <c r="T338" s="2">
        <f>(H338 + J338) - (L338 + N338) - R338</f>
        <v>0</v>
      </c>
      <c r="U338" s="2">
        <f>T338 * G338</f>
        <v>0</v>
      </c>
      <c r="V338" s="2">
        <f>I338 + K338 - S338</f>
        <v>0</v>
      </c>
      <c r="W338" s="2">
        <f>M338 - V338</f>
        <v>0</v>
      </c>
      <c r="X338" s="2">
        <f>IFERROR(W338 / M338 * 100, 0)</f>
        <v>0</v>
      </c>
    </row>
    <row r="339" spans="1:24">
      <c r="A339" t="s">
        <v>4483</v>
      </c>
      <c r="B339" t="s">
        <v>512</v>
      </c>
      <c r="C339" t="s">
        <v>5151</v>
      </c>
      <c r="D339" t="s">
        <v>1007</v>
      </c>
      <c r="E339" t="s">
        <v>5482</v>
      </c>
      <c r="F339" t="s">
        <v>5820</v>
      </c>
      <c r="G339">
        <v>14.64</v>
      </c>
      <c r="H339">
        <v>0</v>
      </c>
      <c r="I339">
        <v>0</v>
      </c>
      <c r="J339">
        <v>0.42</v>
      </c>
      <c r="K339">
        <v>6.15</v>
      </c>
      <c r="L339">
        <v>0</v>
      </c>
      <c r="M339">
        <v>0</v>
      </c>
      <c r="N339">
        <v>0</v>
      </c>
      <c r="O339">
        <v>0</v>
      </c>
      <c r="P339" s="2">
        <f>(H339 + J339) - (L339 + N339)</f>
        <v>0</v>
      </c>
      <c r="Q339" s="2">
        <f>P339 * G339</f>
        <v>0</v>
      </c>
      <c r="R339">
        <v>0</v>
      </c>
      <c r="S339" s="2">
        <f>R339 * G339</f>
        <v>0</v>
      </c>
      <c r="T339" s="2">
        <f>(H339 + J339) - (L339 + N339) - R339</f>
        <v>0</v>
      </c>
      <c r="U339" s="2">
        <f>T339 * G339</f>
        <v>0</v>
      </c>
      <c r="V339" s="2">
        <f>I339 + K339 - S339</f>
        <v>0</v>
      </c>
      <c r="W339" s="2">
        <f>M339 - V339</f>
        <v>0</v>
      </c>
      <c r="X339" s="2">
        <f>IFERROR(W339 / M339 * 100, 0)</f>
        <v>0</v>
      </c>
    </row>
    <row r="340" spans="1:24">
      <c r="A340" t="s">
        <v>4484</v>
      </c>
      <c r="B340" t="s">
        <v>512</v>
      </c>
      <c r="C340" t="s">
        <v>5152</v>
      </c>
      <c r="D340" t="s">
        <v>1007</v>
      </c>
      <c r="E340" t="s">
        <v>5482</v>
      </c>
      <c r="F340" t="s">
        <v>5821</v>
      </c>
      <c r="G340">
        <v>16.04</v>
      </c>
      <c r="H340">
        <v>0</v>
      </c>
      <c r="I340">
        <v>0</v>
      </c>
      <c r="J340">
        <v>-1.48</v>
      </c>
      <c r="K340">
        <v>-23.7</v>
      </c>
      <c r="L340">
        <v>0</v>
      </c>
      <c r="M340">
        <v>0</v>
      </c>
      <c r="N340">
        <v>0</v>
      </c>
      <c r="O340">
        <v>0</v>
      </c>
      <c r="P340" s="2">
        <f>(H340 + J340) - (L340 + N340)</f>
        <v>0</v>
      </c>
      <c r="Q340" s="2">
        <f>P340 * G340</f>
        <v>0</v>
      </c>
      <c r="R340">
        <v>0</v>
      </c>
      <c r="S340" s="2">
        <f>R340 * G340</f>
        <v>0</v>
      </c>
      <c r="T340" s="2">
        <f>(H340 + J340) - (L340 + N340) - R340</f>
        <v>0</v>
      </c>
      <c r="U340" s="2">
        <f>T340 * G340</f>
        <v>0</v>
      </c>
      <c r="V340" s="2">
        <f>I340 + K340 - S340</f>
        <v>0</v>
      </c>
      <c r="W340" s="2">
        <f>M340 - V340</f>
        <v>0</v>
      </c>
      <c r="X340" s="2">
        <f>IFERROR(W340 / M340 * 100, 0)</f>
        <v>0</v>
      </c>
    </row>
    <row r="341" spans="1:24">
      <c r="A341" t="s">
        <v>4485</v>
      </c>
      <c r="B341" t="s">
        <v>512</v>
      </c>
      <c r="C341" t="s">
        <v>5153</v>
      </c>
      <c r="D341" t="s">
        <v>1007</v>
      </c>
      <c r="E341" t="s">
        <v>5482</v>
      </c>
      <c r="F341" t="s">
        <v>5822</v>
      </c>
      <c r="G341">
        <v>50</v>
      </c>
      <c r="H341">
        <v>1</v>
      </c>
      <c r="I341">
        <v>50.18</v>
      </c>
      <c r="J341">
        <v>4.61</v>
      </c>
      <c r="K341">
        <v>229.98</v>
      </c>
      <c r="L341">
        <v>0</v>
      </c>
      <c r="M341">
        <v>0</v>
      </c>
      <c r="N341">
        <v>0</v>
      </c>
      <c r="O341">
        <v>0</v>
      </c>
      <c r="P341" s="2">
        <f>(H341 + J341) - (L341 + N341)</f>
        <v>0</v>
      </c>
      <c r="Q341" s="2">
        <f>P341 * G341</f>
        <v>0</v>
      </c>
      <c r="R341">
        <v>1</v>
      </c>
      <c r="S341" s="2">
        <f>R341 * G341</f>
        <v>0</v>
      </c>
      <c r="T341" s="2">
        <f>(H341 + J341) - (L341 + N341) - R341</f>
        <v>0</v>
      </c>
      <c r="U341" s="2">
        <f>T341 * G341</f>
        <v>0</v>
      </c>
      <c r="V341" s="2">
        <f>I341 + K341 - S341</f>
        <v>0</v>
      </c>
      <c r="W341" s="2">
        <f>M341 - V341</f>
        <v>0</v>
      </c>
      <c r="X341" s="2">
        <f>IFERROR(W341 / M341 * 100, 0)</f>
        <v>0</v>
      </c>
    </row>
    <row r="342" spans="1:24">
      <c r="A342" t="s">
        <v>4486</v>
      </c>
      <c r="B342" t="s">
        <v>512</v>
      </c>
      <c r="C342" t="s">
        <v>5154</v>
      </c>
      <c r="D342" t="s">
        <v>1007</v>
      </c>
      <c r="E342" t="s">
        <v>5482</v>
      </c>
      <c r="F342" t="s">
        <v>5823</v>
      </c>
      <c r="G342">
        <v>30</v>
      </c>
      <c r="H342">
        <v>0</v>
      </c>
      <c r="I342">
        <v>0</v>
      </c>
      <c r="J342">
        <v>-12.87</v>
      </c>
      <c r="K342">
        <v>-386.1</v>
      </c>
      <c r="L342">
        <v>0</v>
      </c>
      <c r="M342">
        <v>0</v>
      </c>
      <c r="N342">
        <v>0</v>
      </c>
      <c r="O342">
        <v>0</v>
      </c>
      <c r="P342" s="2">
        <f>(H342 + J342) - (L342 + N342)</f>
        <v>0</v>
      </c>
      <c r="Q342" s="2">
        <f>P342 * G342</f>
        <v>0</v>
      </c>
      <c r="R342">
        <v>0</v>
      </c>
      <c r="S342" s="2">
        <f>R342 * G342</f>
        <v>0</v>
      </c>
      <c r="T342" s="2">
        <f>(H342 + J342) - (L342 + N342) - R342</f>
        <v>0</v>
      </c>
      <c r="U342" s="2">
        <f>T342 * G342</f>
        <v>0</v>
      </c>
      <c r="V342" s="2">
        <f>I342 + K342 - S342</f>
        <v>0</v>
      </c>
      <c r="W342" s="2">
        <f>M342 - V342</f>
        <v>0</v>
      </c>
      <c r="X342" s="2">
        <f>IFERROR(W342 / M342 * 100, 0)</f>
        <v>0</v>
      </c>
    </row>
    <row r="343" spans="1:24">
      <c r="A343" t="s">
        <v>4487</v>
      </c>
      <c r="B343" t="s">
        <v>512</v>
      </c>
      <c r="C343" t="s">
        <v>5155</v>
      </c>
      <c r="D343" t="s">
        <v>1007</v>
      </c>
      <c r="E343" t="s">
        <v>5482</v>
      </c>
      <c r="F343" t="s">
        <v>5824</v>
      </c>
      <c r="G343">
        <v>52.65</v>
      </c>
      <c r="H343">
        <v>0</v>
      </c>
      <c r="I343">
        <v>0</v>
      </c>
      <c r="J343">
        <v>-6.58</v>
      </c>
      <c r="K343">
        <v>-346.45</v>
      </c>
      <c r="L343">
        <v>0</v>
      </c>
      <c r="M343">
        <v>0</v>
      </c>
      <c r="N343">
        <v>0</v>
      </c>
      <c r="O343">
        <v>0</v>
      </c>
      <c r="P343" s="2">
        <f>(H343 + J343) - (L343 + N343)</f>
        <v>0</v>
      </c>
      <c r="Q343" s="2">
        <f>P343 * G343</f>
        <v>0</v>
      </c>
      <c r="R343">
        <v>0</v>
      </c>
      <c r="S343" s="2">
        <f>R343 * G343</f>
        <v>0</v>
      </c>
      <c r="T343" s="2">
        <f>(H343 + J343) - (L343 + N343) - R343</f>
        <v>0</v>
      </c>
      <c r="U343" s="2">
        <f>T343 * G343</f>
        <v>0</v>
      </c>
      <c r="V343" s="2">
        <f>I343 + K343 - S343</f>
        <v>0</v>
      </c>
      <c r="W343" s="2">
        <f>M343 - V343</f>
        <v>0</v>
      </c>
      <c r="X343" s="2">
        <f>IFERROR(W343 / M343 * 100, 0)</f>
        <v>0</v>
      </c>
    </row>
    <row r="344" spans="1:24">
      <c r="A344" t="s">
        <v>4488</v>
      </c>
      <c r="B344" t="s">
        <v>512</v>
      </c>
      <c r="C344" t="s">
        <v>5156</v>
      </c>
      <c r="D344" t="s">
        <v>1007</v>
      </c>
      <c r="E344" t="s">
        <v>5482</v>
      </c>
      <c r="F344" t="s">
        <v>5825</v>
      </c>
      <c r="G344">
        <v>20</v>
      </c>
      <c r="H344">
        <v>0</v>
      </c>
      <c r="I344">
        <v>0</v>
      </c>
      <c r="J344">
        <v>-7.9</v>
      </c>
      <c r="K344">
        <v>-158</v>
      </c>
      <c r="L344">
        <v>0</v>
      </c>
      <c r="M344">
        <v>0</v>
      </c>
      <c r="N344">
        <v>0</v>
      </c>
      <c r="O344">
        <v>0</v>
      </c>
      <c r="P344" s="2">
        <f>(H344 + J344) - (L344 + N344)</f>
        <v>0</v>
      </c>
      <c r="Q344" s="2">
        <f>P344 * G344</f>
        <v>0</v>
      </c>
      <c r="R344">
        <v>0</v>
      </c>
      <c r="S344" s="2">
        <f>R344 * G344</f>
        <v>0</v>
      </c>
      <c r="T344" s="2">
        <f>(H344 + J344) - (L344 + N344) - R344</f>
        <v>0</v>
      </c>
      <c r="U344" s="2">
        <f>T344 * G344</f>
        <v>0</v>
      </c>
      <c r="V344" s="2">
        <f>I344 + K344 - S344</f>
        <v>0</v>
      </c>
      <c r="W344" s="2">
        <f>M344 - V344</f>
        <v>0</v>
      </c>
      <c r="X344" s="2">
        <f>IFERROR(W344 / M344 * 100, 0)</f>
        <v>0</v>
      </c>
    </row>
    <row r="345" spans="1:24">
      <c r="A345" t="s">
        <v>4489</v>
      </c>
      <c r="B345" t="s">
        <v>512</v>
      </c>
      <c r="C345" t="s">
        <v>5157</v>
      </c>
      <c r="D345" t="s">
        <v>1007</v>
      </c>
      <c r="E345" t="s">
        <v>5482</v>
      </c>
      <c r="F345" t="s">
        <v>5826</v>
      </c>
      <c r="G345">
        <v>1.05</v>
      </c>
      <c r="H345">
        <v>4</v>
      </c>
      <c r="I345">
        <v>6.58</v>
      </c>
      <c r="J345">
        <v>39.64</v>
      </c>
      <c r="K345">
        <v>35.86</v>
      </c>
      <c r="L345">
        <v>0</v>
      </c>
      <c r="M345">
        <v>0</v>
      </c>
      <c r="N345">
        <v>0</v>
      </c>
      <c r="O345">
        <v>0</v>
      </c>
      <c r="P345" s="2">
        <f>(H345 + J345) - (L345 + N345)</f>
        <v>0</v>
      </c>
      <c r="Q345" s="2">
        <f>P345 * G345</f>
        <v>0</v>
      </c>
      <c r="R345">
        <v>3</v>
      </c>
      <c r="S345" s="2">
        <f>R345 * G345</f>
        <v>0</v>
      </c>
      <c r="T345" s="2">
        <f>(H345 + J345) - (L345 + N345) - R345</f>
        <v>0</v>
      </c>
      <c r="U345" s="2">
        <f>T345 * G345</f>
        <v>0</v>
      </c>
      <c r="V345" s="2">
        <f>I345 + K345 - S345</f>
        <v>0</v>
      </c>
      <c r="W345" s="2">
        <f>M345 - V345</f>
        <v>0</v>
      </c>
      <c r="X345" s="2">
        <f>IFERROR(W345 / M345 * 100, 0)</f>
        <v>0</v>
      </c>
    </row>
    <row r="346" spans="1:24">
      <c r="A346" t="s">
        <v>4490</v>
      </c>
      <c r="B346" t="s">
        <v>512</v>
      </c>
      <c r="C346" t="s">
        <v>5158</v>
      </c>
      <c r="D346" t="s">
        <v>1007</v>
      </c>
      <c r="E346" t="s">
        <v>5482</v>
      </c>
      <c r="F346" t="s">
        <v>5827</v>
      </c>
      <c r="G346">
        <v>30</v>
      </c>
      <c r="H346">
        <v>5</v>
      </c>
      <c r="I346">
        <v>150</v>
      </c>
      <c r="J346">
        <v>-3.6</v>
      </c>
      <c r="K346">
        <v>-108</v>
      </c>
      <c r="L346">
        <v>0</v>
      </c>
      <c r="M346">
        <v>0</v>
      </c>
      <c r="N346">
        <v>0</v>
      </c>
      <c r="O346">
        <v>0</v>
      </c>
      <c r="P346" s="2">
        <f>(H346 + J346) - (L346 + N346)</f>
        <v>0</v>
      </c>
      <c r="Q346" s="2">
        <f>P346 * G346</f>
        <v>0</v>
      </c>
      <c r="R346">
        <v>5</v>
      </c>
      <c r="S346" s="2">
        <f>R346 * G346</f>
        <v>0</v>
      </c>
      <c r="T346" s="2">
        <f>(H346 + J346) - (L346 + N346) - R346</f>
        <v>0</v>
      </c>
      <c r="U346" s="2">
        <f>T346 * G346</f>
        <v>0</v>
      </c>
      <c r="V346" s="2">
        <f>I346 + K346 - S346</f>
        <v>0</v>
      </c>
      <c r="W346" s="2">
        <f>M346 - V346</f>
        <v>0</v>
      </c>
      <c r="X346" s="2">
        <f>IFERROR(W346 / M346 * 100, 0)</f>
        <v>0</v>
      </c>
    </row>
    <row r="347" spans="1:24">
      <c r="A347" t="s">
        <v>4491</v>
      </c>
      <c r="B347" t="s">
        <v>512</v>
      </c>
      <c r="C347" t="s">
        <v>5159</v>
      </c>
      <c r="D347" t="s">
        <v>1007</v>
      </c>
      <c r="E347" t="s">
        <v>5482</v>
      </c>
      <c r="F347" t="s">
        <v>5828</v>
      </c>
      <c r="G347">
        <v>7.53</v>
      </c>
      <c r="H347">
        <v>10</v>
      </c>
      <c r="I347">
        <v>88.66</v>
      </c>
      <c r="J347">
        <v>12.12</v>
      </c>
      <c r="K347">
        <v>74.04000000000001</v>
      </c>
      <c r="L347">
        <v>0</v>
      </c>
      <c r="M347">
        <v>0</v>
      </c>
      <c r="N347">
        <v>0</v>
      </c>
      <c r="O347">
        <v>0</v>
      </c>
      <c r="P347" s="2">
        <f>(H347 + J347) - (L347 + N347)</f>
        <v>0</v>
      </c>
      <c r="Q347" s="2">
        <f>P347 * G347</f>
        <v>0</v>
      </c>
      <c r="R347">
        <v>20</v>
      </c>
      <c r="S347" s="2">
        <f>R347 * G347</f>
        <v>0</v>
      </c>
      <c r="T347" s="2">
        <f>(H347 + J347) - (L347 + N347) - R347</f>
        <v>0</v>
      </c>
      <c r="U347" s="2">
        <f>T347 * G347</f>
        <v>0</v>
      </c>
      <c r="V347" s="2">
        <f>I347 + K347 - S347</f>
        <v>0</v>
      </c>
      <c r="W347" s="2">
        <f>M347 - V347</f>
        <v>0</v>
      </c>
      <c r="X347" s="2">
        <f>IFERROR(W347 / M347 * 100, 0)</f>
        <v>0</v>
      </c>
    </row>
    <row r="348" spans="1:24">
      <c r="A348" t="s">
        <v>4492</v>
      </c>
      <c r="B348" t="s">
        <v>512</v>
      </c>
      <c r="C348" t="s">
        <v>5160</v>
      </c>
      <c r="D348" t="s">
        <v>1007</v>
      </c>
      <c r="E348" t="s">
        <v>5482</v>
      </c>
      <c r="F348" t="s">
        <v>5829</v>
      </c>
      <c r="G348">
        <v>40.91</v>
      </c>
      <c r="H348">
        <v>0</v>
      </c>
      <c r="I348">
        <v>0</v>
      </c>
      <c r="J348">
        <v>-26.78</v>
      </c>
      <c r="K348">
        <v>-1095.46</v>
      </c>
      <c r="L348">
        <v>0</v>
      </c>
      <c r="M348">
        <v>0</v>
      </c>
      <c r="N348">
        <v>0</v>
      </c>
      <c r="O348">
        <v>0</v>
      </c>
      <c r="P348" s="2">
        <f>(H348 + J348) - (L348 + N348)</f>
        <v>0</v>
      </c>
      <c r="Q348" s="2">
        <f>P348 * G348</f>
        <v>0</v>
      </c>
      <c r="R348">
        <v>0</v>
      </c>
      <c r="S348" s="2">
        <f>R348 * G348</f>
        <v>0</v>
      </c>
      <c r="T348" s="2">
        <f>(H348 + J348) - (L348 + N348) - R348</f>
        <v>0</v>
      </c>
      <c r="U348" s="2">
        <f>T348 * G348</f>
        <v>0</v>
      </c>
      <c r="V348" s="2">
        <f>I348 + K348 - S348</f>
        <v>0</v>
      </c>
      <c r="W348" s="2">
        <f>M348 - V348</f>
        <v>0</v>
      </c>
      <c r="X348" s="2">
        <f>IFERROR(W348 / M348 * 100, 0)</f>
        <v>0</v>
      </c>
    </row>
    <row r="349" spans="1:24">
      <c r="A349" t="s">
        <v>4493</v>
      </c>
      <c r="B349" t="s">
        <v>512</v>
      </c>
      <c r="C349" t="s">
        <v>5161</v>
      </c>
      <c r="D349" t="s">
        <v>1007</v>
      </c>
      <c r="E349" t="s">
        <v>5482</v>
      </c>
      <c r="F349" t="s">
        <v>5830</v>
      </c>
      <c r="G349">
        <v>15.43</v>
      </c>
      <c r="H349">
        <v>0</v>
      </c>
      <c r="I349">
        <v>0</v>
      </c>
      <c r="J349">
        <v>1.7</v>
      </c>
      <c r="K349">
        <v>26.54</v>
      </c>
      <c r="L349">
        <v>0</v>
      </c>
      <c r="M349">
        <v>0</v>
      </c>
      <c r="N349">
        <v>0</v>
      </c>
      <c r="O349">
        <v>0</v>
      </c>
      <c r="P349" s="2">
        <f>(H349 + J349) - (L349 + N349)</f>
        <v>0</v>
      </c>
      <c r="Q349" s="2">
        <f>P349 * G349</f>
        <v>0</v>
      </c>
      <c r="R349">
        <v>0</v>
      </c>
      <c r="S349" s="2">
        <f>R349 * G349</f>
        <v>0</v>
      </c>
      <c r="T349" s="2">
        <f>(H349 + J349) - (L349 + N349) - R349</f>
        <v>0</v>
      </c>
      <c r="U349" s="2">
        <f>T349 * G349</f>
        <v>0</v>
      </c>
      <c r="V349" s="2">
        <f>I349 + K349 - S349</f>
        <v>0</v>
      </c>
      <c r="W349" s="2">
        <f>M349 - V349</f>
        <v>0</v>
      </c>
      <c r="X349" s="2">
        <f>IFERROR(W349 / M349 * 100, 0)</f>
        <v>0</v>
      </c>
    </row>
    <row r="350" spans="1:24">
      <c r="A350" t="s">
        <v>4494</v>
      </c>
      <c r="B350" t="s">
        <v>512</v>
      </c>
      <c r="C350" t="s">
        <v>5162</v>
      </c>
      <c r="D350" t="s">
        <v>1007</v>
      </c>
      <c r="E350" t="s">
        <v>5482</v>
      </c>
      <c r="F350" t="s">
        <v>5831</v>
      </c>
      <c r="G350">
        <v>7.2</v>
      </c>
      <c r="H350">
        <v>0</v>
      </c>
      <c r="I350">
        <v>0</v>
      </c>
      <c r="J350">
        <v>-9.24</v>
      </c>
      <c r="K350">
        <v>-70.76000000000001</v>
      </c>
      <c r="L350">
        <v>0</v>
      </c>
      <c r="M350">
        <v>0</v>
      </c>
      <c r="N350">
        <v>0</v>
      </c>
      <c r="O350">
        <v>0</v>
      </c>
      <c r="P350" s="2">
        <f>(H350 + J350) - (L350 + N350)</f>
        <v>0</v>
      </c>
      <c r="Q350" s="2">
        <f>P350 * G350</f>
        <v>0</v>
      </c>
      <c r="R350">
        <v>0</v>
      </c>
      <c r="S350" s="2">
        <f>R350 * G350</f>
        <v>0</v>
      </c>
      <c r="T350" s="2">
        <f>(H350 + J350) - (L350 + N350) - R350</f>
        <v>0</v>
      </c>
      <c r="U350" s="2">
        <f>T350 * G350</f>
        <v>0</v>
      </c>
      <c r="V350" s="2">
        <f>I350 + K350 - S350</f>
        <v>0</v>
      </c>
      <c r="W350" s="2">
        <f>M350 - V350</f>
        <v>0</v>
      </c>
      <c r="X350" s="2">
        <f>IFERROR(W350 / M350 * 100, 0)</f>
        <v>0</v>
      </c>
    </row>
    <row r="351" spans="1:24">
      <c r="A351" t="s">
        <v>4495</v>
      </c>
      <c r="B351" t="s">
        <v>512</v>
      </c>
      <c r="C351" t="s">
        <v>5163</v>
      </c>
      <c r="D351" t="s">
        <v>1007</v>
      </c>
      <c r="E351" t="s">
        <v>5482</v>
      </c>
      <c r="F351" t="s">
        <v>5832</v>
      </c>
      <c r="G351">
        <v>24.26</v>
      </c>
      <c r="H351">
        <v>7</v>
      </c>
      <c r="I351">
        <v>169.79</v>
      </c>
      <c r="J351">
        <v>-3.12</v>
      </c>
      <c r="K351">
        <v>-75.68000000000001</v>
      </c>
      <c r="L351">
        <v>0</v>
      </c>
      <c r="M351">
        <v>0</v>
      </c>
      <c r="N351">
        <v>0</v>
      </c>
      <c r="O351">
        <v>0</v>
      </c>
      <c r="P351" s="2">
        <f>(H351 + J351) - (L351 + N351)</f>
        <v>0</v>
      </c>
      <c r="Q351" s="2">
        <f>P351 * G351</f>
        <v>0</v>
      </c>
      <c r="R351">
        <v>10</v>
      </c>
      <c r="S351" s="2">
        <f>R351 * G351</f>
        <v>0</v>
      </c>
      <c r="T351" s="2">
        <f>(H351 + J351) - (L351 + N351) - R351</f>
        <v>0</v>
      </c>
      <c r="U351" s="2">
        <f>T351 * G351</f>
        <v>0</v>
      </c>
      <c r="V351" s="2">
        <f>I351 + K351 - S351</f>
        <v>0</v>
      </c>
      <c r="W351" s="2">
        <f>M351 - V351</f>
        <v>0</v>
      </c>
      <c r="X351" s="2">
        <f>IFERROR(W351 / M351 * 100, 0)</f>
        <v>0</v>
      </c>
    </row>
    <row r="352" spans="1:24">
      <c r="A352" t="s">
        <v>4496</v>
      </c>
      <c r="B352" t="s">
        <v>512</v>
      </c>
      <c r="C352" t="s">
        <v>5164</v>
      </c>
      <c r="D352" t="s">
        <v>1007</v>
      </c>
      <c r="E352" t="s">
        <v>5482</v>
      </c>
      <c r="F352" t="s">
        <v>5833</v>
      </c>
      <c r="G352">
        <v>11.6</v>
      </c>
      <c r="H352">
        <v>0</v>
      </c>
      <c r="I352">
        <v>0</v>
      </c>
      <c r="J352">
        <v>1.79</v>
      </c>
      <c r="K352">
        <v>20.78</v>
      </c>
      <c r="L352">
        <v>0</v>
      </c>
      <c r="M352">
        <v>0</v>
      </c>
      <c r="N352">
        <v>0</v>
      </c>
      <c r="O352">
        <v>0</v>
      </c>
      <c r="P352" s="2">
        <f>(H352 + J352) - (L352 + N352)</f>
        <v>0</v>
      </c>
      <c r="Q352" s="2">
        <f>P352 * G352</f>
        <v>0</v>
      </c>
      <c r="R352">
        <v>0</v>
      </c>
      <c r="S352" s="2">
        <f>R352 * G352</f>
        <v>0</v>
      </c>
      <c r="T352" s="2">
        <f>(H352 + J352) - (L352 + N352) - R352</f>
        <v>0</v>
      </c>
      <c r="U352" s="2">
        <f>T352 * G352</f>
        <v>0</v>
      </c>
      <c r="V352" s="2">
        <f>I352 + K352 - S352</f>
        <v>0</v>
      </c>
      <c r="W352" s="2">
        <f>M352 - V352</f>
        <v>0</v>
      </c>
      <c r="X352" s="2">
        <f>IFERROR(W352 / M352 * 100, 0)</f>
        <v>0</v>
      </c>
    </row>
    <row r="353" spans="1:24">
      <c r="A353" t="s">
        <v>4497</v>
      </c>
      <c r="B353" t="s">
        <v>512</v>
      </c>
      <c r="C353" t="s">
        <v>5165</v>
      </c>
      <c r="D353" t="s">
        <v>1007</v>
      </c>
      <c r="E353" t="s">
        <v>5482</v>
      </c>
      <c r="F353" t="s">
        <v>5834</v>
      </c>
      <c r="G353">
        <v>7.34</v>
      </c>
      <c r="H353">
        <v>0</v>
      </c>
      <c r="I353">
        <v>0</v>
      </c>
      <c r="J353">
        <v>9.640000000000001</v>
      </c>
      <c r="K353">
        <v>75.05</v>
      </c>
      <c r="L353">
        <v>0</v>
      </c>
      <c r="M353">
        <v>0</v>
      </c>
      <c r="N353">
        <v>0</v>
      </c>
      <c r="O353">
        <v>0</v>
      </c>
      <c r="P353" s="2">
        <f>(H353 + J353) - (L353 + N353)</f>
        <v>0</v>
      </c>
      <c r="Q353" s="2">
        <f>P353 * G353</f>
        <v>0</v>
      </c>
      <c r="R353">
        <v>0</v>
      </c>
      <c r="S353" s="2">
        <f>R353 * G353</f>
        <v>0</v>
      </c>
      <c r="T353" s="2">
        <f>(H353 + J353) - (L353 + N353) - R353</f>
        <v>0</v>
      </c>
      <c r="U353" s="2">
        <f>T353 * G353</f>
        <v>0</v>
      </c>
      <c r="V353" s="2">
        <f>I353 + K353 - S353</f>
        <v>0</v>
      </c>
      <c r="W353" s="2">
        <f>M353 - V353</f>
        <v>0</v>
      </c>
      <c r="X353" s="2">
        <f>IFERROR(W353 / M353 * 100, 0)</f>
        <v>0</v>
      </c>
    </row>
    <row r="354" spans="1:24">
      <c r="A354" t="s">
        <v>4498</v>
      </c>
      <c r="B354" t="s">
        <v>512</v>
      </c>
      <c r="C354" t="s">
        <v>5166</v>
      </c>
      <c r="D354" t="s">
        <v>1007</v>
      </c>
      <c r="E354" t="s">
        <v>5482</v>
      </c>
      <c r="F354" t="s">
        <v>5835</v>
      </c>
      <c r="G354">
        <v>122.67</v>
      </c>
      <c r="H354">
        <v>0.2</v>
      </c>
      <c r="I354">
        <v>22.15</v>
      </c>
      <c r="J354">
        <v>-1.39</v>
      </c>
      <c r="K354">
        <v>-151.14</v>
      </c>
      <c r="L354">
        <v>0</v>
      </c>
      <c r="M354">
        <v>0</v>
      </c>
      <c r="N354">
        <v>0</v>
      </c>
      <c r="O354">
        <v>0</v>
      </c>
      <c r="P354" s="2">
        <f>(H354 + J354) - (L354 + N354)</f>
        <v>0</v>
      </c>
      <c r="Q354" s="2">
        <f>P354 * G354</f>
        <v>0</v>
      </c>
      <c r="R354">
        <v>0.2</v>
      </c>
      <c r="S354" s="2">
        <f>R354 * G354</f>
        <v>0</v>
      </c>
      <c r="T354" s="2">
        <f>(H354 + J354) - (L354 + N354) - R354</f>
        <v>0</v>
      </c>
      <c r="U354" s="2">
        <f>T354 * G354</f>
        <v>0</v>
      </c>
      <c r="V354" s="2">
        <f>I354 + K354 - S354</f>
        <v>0</v>
      </c>
      <c r="W354" s="2">
        <f>M354 - V354</f>
        <v>0</v>
      </c>
      <c r="X354" s="2">
        <f>IFERROR(W354 / M354 * 100, 0)</f>
        <v>0</v>
      </c>
    </row>
    <row r="355" spans="1:24">
      <c r="A355" t="s">
        <v>4499</v>
      </c>
      <c r="B355" t="s">
        <v>512</v>
      </c>
      <c r="C355" t="s">
        <v>5167</v>
      </c>
      <c r="D355" t="s">
        <v>1007</v>
      </c>
      <c r="E355" t="s">
        <v>5482</v>
      </c>
      <c r="F355" t="s">
        <v>5836</v>
      </c>
      <c r="G355">
        <v>13.78</v>
      </c>
      <c r="H355">
        <v>0</v>
      </c>
      <c r="I355">
        <v>0</v>
      </c>
      <c r="J355">
        <v>2.3</v>
      </c>
      <c r="K355">
        <v>32.95</v>
      </c>
      <c r="L355">
        <v>0</v>
      </c>
      <c r="M355">
        <v>0</v>
      </c>
      <c r="N355">
        <v>0</v>
      </c>
      <c r="O355">
        <v>0</v>
      </c>
      <c r="P355" s="2">
        <f>(H355 + J355) - (L355 + N355)</f>
        <v>0</v>
      </c>
      <c r="Q355" s="2">
        <f>P355 * G355</f>
        <v>0</v>
      </c>
      <c r="R355">
        <v>0</v>
      </c>
      <c r="S355" s="2">
        <f>R355 * G355</f>
        <v>0</v>
      </c>
      <c r="T355" s="2">
        <f>(H355 + J355) - (L355 + N355) - R355</f>
        <v>0</v>
      </c>
      <c r="U355" s="2">
        <f>T355 * G355</f>
        <v>0</v>
      </c>
      <c r="V355" s="2">
        <f>I355 + K355 - S355</f>
        <v>0</v>
      </c>
      <c r="W355" s="2">
        <f>M355 - V355</f>
        <v>0</v>
      </c>
      <c r="X355" s="2">
        <f>IFERROR(W355 / M355 * 100, 0)</f>
        <v>0</v>
      </c>
    </row>
    <row r="356" spans="1:24">
      <c r="A356" t="s">
        <v>4500</v>
      </c>
      <c r="B356" t="s">
        <v>512</v>
      </c>
      <c r="C356" t="s">
        <v>5168</v>
      </c>
      <c r="D356" t="s">
        <v>1007</v>
      </c>
      <c r="E356" t="s">
        <v>5482</v>
      </c>
      <c r="F356" t="s">
        <v>5837</v>
      </c>
      <c r="G356">
        <v>3.81</v>
      </c>
      <c r="H356">
        <v>0.5</v>
      </c>
      <c r="I356">
        <v>1.96</v>
      </c>
      <c r="J356">
        <v>21.9</v>
      </c>
      <c r="K356">
        <v>86.7</v>
      </c>
      <c r="L356">
        <v>0</v>
      </c>
      <c r="M356">
        <v>0</v>
      </c>
      <c r="N356">
        <v>0</v>
      </c>
      <c r="O356">
        <v>0</v>
      </c>
      <c r="P356" s="2">
        <f>(H356 + J356) - (L356 + N356)</f>
        <v>0</v>
      </c>
      <c r="Q356" s="2">
        <f>P356 * G356</f>
        <v>0</v>
      </c>
      <c r="R356">
        <v>0.5</v>
      </c>
      <c r="S356" s="2">
        <f>R356 * G356</f>
        <v>0</v>
      </c>
      <c r="T356" s="2">
        <f>(H356 + J356) - (L356 + N356) - R356</f>
        <v>0</v>
      </c>
      <c r="U356" s="2">
        <f>T356 * G356</f>
        <v>0</v>
      </c>
      <c r="V356" s="2">
        <f>I356 + K356 - S356</f>
        <v>0</v>
      </c>
      <c r="W356" s="2">
        <f>M356 - V356</f>
        <v>0</v>
      </c>
      <c r="X356" s="2">
        <f>IFERROR(W356 / M356 * 100, 0)</f>
        <v>0</v>
      </c>
    </row>
    <row r="357" spans="1:24">
      <c r="A357" t="s">
        <v>4501</v>
      </c>
      <c r="B357" t="s">
        <v>512</v>
      </c>
      <c r="C357" t="s">
        <v>5169</v>
      </c>
      <c r="D357" t="s">
        <v>1007</v>
      </c>
      <c r="E357" t="s">
        <v>5482</v>
      </c>
      <c r="F357" t="s">
        <v>5838</v>
      </c>
      <c r="G357">
        <v>8.279999999999999</v>
      </c>
      <c r="H357">
        <v>5</v>
      </c>
      <c r="I357">
        <v>32</v>
      </c>
      <c r="J357">
        <v>24.81</v>
      </c>
      <c r="K357">
        <v>214.78</v>
      </c>
      <c r="L357">
        <v>0</v>
      </c>
      <c r="M357">
        <v>0</v>
      </c>
      <c r="N357">
        <v>0</v>
      </c>
      <c r="O357">
        <v>0</v>
      </c>
      <c r="P357" s="2">
        <f>(H357 + J357) - (L357 + N357)</f>
        <v>0</v>
      </c>
      <c r="Q357" s="2">
        <f>P357 * G357</f>
        <v>0</v>
      </c>
      <c r="R357">
        <v>24</v>
      </c>
      <c r="S357" s="2">
        <f>R357 * G357</f>
        <v>0</v>
      </c>
      <c r="T357" s="2">
        <f>(H357 + J357) - (L357 + N357) - R357</f>
        <v>0</v>
      </c>
      <c r="U357" s="2">
        <f>T357 * G357</f>
        <v>0</v>
      </c>
      <c r="V357" s="2">
        <f>I357 + K357 - S357</f>
        <v>0</v>
      </c>
      <c r="W357" s="2">
        <f>M357 - V357</f>
        <v>0</v>
      </c>
      <c r="X357" s="2">
        <f>IFERROR(W357 / M357 * 100, 0)</f>
        <v>0</v>
      </c>
    </row>
    <row r="358" spans="1:24">
      <c r="A358" t="s">
        <v>4502</v>
      </c>
      <c r="B358" t="s">
        <v>512</v>
      </c>
      <c r="C358" t="s">
        <v>5170</v>
      </c>
      <c r="D358" t="s">
        <v>1007</v>
      </c>
      <c r="E358" t="s">
        <v>5482</v>
      </c>
      <c r="F358" t="s">
        <v>5839</v>
      </c>
      <c r="G358">
        <v>0</v>
      </c>
      <c r="H358">
        <v>0</v>
      </c>
      <c r="I358">
        <v>0</v>
      </c>
      <c r="J358">
        <v>-3.3</v>
      </c>
      <c r="K358">
        <v>0</v>
      </c>
      <c r="L358">
        <v>0</v>
      </c>
      <c r="M358">
        <v>0</v>
      </c>
      <c r="N358">
        <v>0</v>
      </c>
      <c r="O358">
        <v>0</v>
      </c>
      <c r="P358" s="2">
        <f>(H358 + J358) - (L358 + N358)</f>
        <v>0</v>
      </c>
      <c r="Q358" s="2">
        <f>P358 * G358</f>
        <v>0</v>
      </c>
      <c r="R358">
        <v>0</v>
      </c>
      <c r="S358" s="2">
        <f>R358 * G358</f>
        <v>0</v>
      </c>
      <c r="T358" s="2">
        <f>(H358 + J358) - (L358 + N358) - R358</f>
        <v>0</v>
      </c>
      <c r="U358" s="2">
        <f>T358 * G358</f>
        <v>0</v>
      </c>
      <c r="V358" s="2">
        <f>I358 + K358 - S358</f>
        <v>0</v>
      </c>
      <c r="W358" s="2">
        <f>M358 - V358</f>
        <v>0</v>
      </c>
      <c r="X358" s="2">
        <f>IFERROR(W358 / M358 * 100, 0)</f>
        <v>0</v>
      </c>
    </row>
    <row r="359" spans="1:24">
      <c r="A359" t="s">
        <v>4503</v>
      </c>
      <c r="B359" t="s">
        <v>512</v>
      </c>
      <c r="C359" t="s">
        <v>5171</v>
      </c>
      <c r="D359" t="s">
        <v>1007</v>
      </c>
      <c r="E359" t="s">
        <v>5482</v>
      </c>
      <c r="F359" t="s">
        <v>5840</v>
      </c>
      <c r="G359">
        <v>29.17</v>
      </c>
      <c r="H359">
        <v>0</v>
      </c>
      <c r="I359">
        <v>0</v>
      </c>
      <c r="J359">
        <v>-5.96</v>
      </c>
      <c r="K359">
        <v>-173.81</v>
      </c>
      <c r="L359">
        <v>0</v>
      </c>
      <c r="M359">
        <v>0</v>
      </c>
      <c r="N359">
        <v>0</v>
      </c>
      <c r="O359">
        <v>0</v>
      </c>
      <c r="P359" s="2">
        <f>(H359 + J359) - (L359 + N359)</f>
        <v>0</v>
      </c>
      <c r="Q359" s="2">
        <f>P359 * G359</f>
        <v>0</v>
      </c>
      <c r="R359">
        <v>0</v>
      </c>
      <c r="S359" s="2">
        <f>R359 * G359</f>
        <v>0</v>
      </c>
      <c r="T359" s="2">
        <f>(H359 + J359) - (L359 + N359) - R359</f>
        <v>0</v>
      </c>
      <c r="U359" s="2">
        <f>T359 * G359</f>
        <v>0</v>
      </c>
      <c r="V359" s="2">
        <f>I359 + K359 - S359</f>
        <v>0</v>
      </c>
      <c r="W359" s="2">
        <f>M359 - V359</f>
        <v>0</v>
      </c>
      <c r="X359" s="2">
        <f>IFERROR(W359 / M359 * 100, 0)</f>
        <v>0</v>
      </c>
    </row>
    <row r="360" spans="1:24">
      <c r="A360" t="s">
        <v>4504</v>
      </c>
      <c r="B360" t="s">
        <v>512</v>
      </c>
      <c r="C360" t="s">
        <v>5172</v>
      </c>
      <c r="D360" t="s">
        <v>1007</v>
      </c>
      <c r="E360" t="s">
        <v>5482</v>
      </c>
      <c r="F360" t="s">
        <v>5841</v>
      </c>
      <c r="G360">
        <v>65</v>
      </c>
      <c r="H360">
        <v>0</v>
      </c>
      <c r="I360">
        <v>0</v>
      </c>
      <c r="J360">
        <v>-3.23</v>
      </c>
      <c r="K360">
        <v>-186.44</v>
      </c>
      <c r="L360">
        <v>0</v>
      </c>
      <c r="M360">
        <v>0</v>
      </c>
      <c r="N360">
        <v>0</v>
      </c>
      <c r="O360">
        <v>0</v>
      </c>
      <c r="P360" s="2">
        <f>(H360 + J360) - (L360 + N360)</f>
        <v>0</v>
      </c>
      <c r="Q360" s="2">
        <f>P360 * G360</f>
        <v>0</v>
      </c>
      <c r="R360">
        <v>0</v>
      </c>
      <c r="S360" s="2">
        <f>R360 * G360</f>
        <v>0</v>
      </c>
      <c r="T360" s="2">
        <f>(H360 + J360) - (L360 + N360) - R360</f>
        <v>0</v>
      </c>
      <c r="U360" s="2">
        <f>T360 * G360</f>
        <v>0</v>
      </c>
      <c r="V360" s="2">
        <f>I360 + K360 - S360</f>
        <v>0</v>
      </c>
      <c r="W360" s="2">
        <f>M360 - V360</f>
        <v>0</v>
      </c>
      <c r="X360" s="2">
        <f>IFERROR(W360 / M360 * 100, 0)</f>
        <v>0</v>
      </c>
    </row>
    <row r="361" spans="1:24">
      <c r="A361" t="s">
        <v>4505</v>
      </c>
      <c r="B361" t="s">
        <v>512</v>
      </c>
      <c r="C361" t="s">
        <v>5173</v>
      </c>
      <c r="D361" t="s">
        <v>1007</v>
      </c>
      <c r="E361" t="s">
        <v>5482</v>
      </c>
      <c r="F361" t="s">
        <v>5842</v>
      </c>
      <c r="G361">
        <v>10.73</v>
      </c>
      <c r="H361">
        <v>0.25</v>
      </c>
      <c r="I361">
        <v>2.68</v>
      </c>
      <c r="J361">
        <v>-0.88</v>
      </c>
      <c r="K361">
        <v>-9.48</v>
      </c>
      <c r="L361">
        <v>0</v>
      </c>
      <c r="M361">
        <v>0</v>
      </c>
      <c r="N361">
        <v>0</v>
      </c>
      <c r="O361">
        <v>0</v>
      </c>
      <c r="P361" s="2">
        <f>(H361 + J361) - (L361 + N361)</f>
        <v>0</v>
      </c>
      <c r="Q361" s="2">
        <f>P361 * G361</f>
        <v>0</v>
      </c>
      <c r="R361">
        <v>0</v>
      </c>
      <c r="S361" s="2">
        <f>R361 * G361</f>
        <v>0</v>
      </c>
      <c r="T361" s="2">
        <f>(H361 + J361) - (L361 + N361) - R361</f>
        <v>0</v>
      </c>
      <c r="U361" s="2">
        <f>T361 * G361</f>
        <v>0</v>
      </c>
      <c r="V361" s="2">
        <f>I361 + K361 - S361</f>
        <v>0</v>
      </c>
      <c r="W361" s="2">
        <f>M361 - V361</f>
        <v>0</v>
      </c>
      <c r="X361" s="2">
        <f>IFERROR(W361 / M361 * 100, 0)</f>
        <v>0</v>
      </c>
    </row>
    <row r="362" spans="1:24">
      <c r="A362" t="s">
        <v>4506</v>
      </c>
      <c r="B362" t="s">
        <v>512</v>
      </c>
      <c r="C362" t="s">
        <v>5174</v>
      </c>
      <c r="D362" t="s">
        <v>1007</v>
      </c>
      <c r="E362" t="s">
        <v>5482</v>
      </c>
      <c r="F362" t="s">
        <v>5843</v>
      </c>
      <c r="G362">
        <v>8.75</v>
      </c>
      <c r="H362">
        <v>0</v>
      </c>
      <c r="I362">
        <v>0</v>
      </c>
      <c r="J362">
        <v>-32.03</v>
      </c>
      <c r="K362">
        <v>-280.22</v>
      </c>
      <c r="L362">
        <v>0</v>
      </c>
      <c r="M362">
        <v>0</v>
      </c>
      <c r="N362">
        <v>0</v>
      </c>
      <c r="O362">
        <v>0</v>
      </c>
      <c r="P362" s="2">
        <f>(H362 + J362) - (L362 + N362)</f>
        <v>0</v>
      </c>
      <c r="Q362" s="2">
        <f>P362 * G362</f>
        <v>0</v>
      </c>
      <c r="R362">
        <v>0</v>
      </c>
      <c r="S362" s="2">
        <f>R362 * G362</f>
        <v>0</v>
      </c>
      <c r="T362" s="2">
        <f>(H362 + J362) - (L362 + N362) - R362</f>
        <v>0</v>
      </c>
      <c r="U362" s="2">
        <f>T362 * G362</f>
        <v>0</v>
      </c>
      <c r="V362" s="2">
        <f>I362 + K362 - S362</f>
        <v>0</v>
      </c>
      <c r="W362" s="2">
        <f>M362 - V362</f>
        <v>0</v>
      </c>
      <c r="X362" s="2">
        <f>IFERROR(W362 / M362 * 100, 0)</f>
        <v>0</v>
      </c>
    </row>
    <row r="363" spans="1:24">
      <c r="A363" t="s">
        <v>4507</v>
      </c>
      <c r="B363" t="s">
        <v>512</v>
      </c>
      <c r="C363" t="s">
        <v>5175</v>
      </c>
      <c r="D363" t="s">
        <v>1007</v>
      </c>
      <c r="E363" t="s">
        <v>5482</v>
      </c>
      <c r="F363" t="s">
        <v>5844</v>
      </c>
      <c r="G363">
        <v>3.98</v>
      </c>
      <c r="H363">
        <v>0</v>
      </c>
      <c r="I363">
        <v>0</v>
      </c>
      <c r="J363">
        <v>-3.15</v>
      </c>
      <c r="K363">
        <v>-12.53</v>
      </c>
      <c r="L363">
        <v>0</v>
      </c>
      <c r="M363">
        <v>0</v>
      </c>
      <c r="N363">
        <v>0</v>
      </c>
      <c r="O363">
        <v>0</v>
      </c>
      <c r="P363" s="2">
        <f>(H363 + J363) - (L363 + N363)</f>
        <v>0</v>
      </c>
      <c r="Q363" s="2">
        <f>P363 * G363</f>
        <v>0</v>
      </c>
      <c r="R363">
        <v>0</v>
      </c>
      <c r="S363" s="2">
        <f>R363 * G363</f>
        <v>0</v>
      </c>
      <c r="T363" s="2">
        <f>(H363 + J363) - (L363 + N363) - R363</f>
        <v>0</v>
      </c>
      <c r="U363" s="2">
        <f>T363 * G363</f>
        <v>0</v>
      </c>
      <c r="V363" s="2">
        <f>I363 + K363 - S363</f>
        <v>0</v>
      </c>
      <c r="W363" s="2">
        <f>M363 - V363</f>
        <v>0</v>
      </c>
      <c r="X363" s="2">
        <f>IFERROR(W363 / M363 * 100, 0)</f>
        <v>0</v>
      </c>
    </row>
    <row r="364" spans="1:24">
      <c r="A364" t="s">
        <v>4508</v>
      </c>
      <c r="B364" t="s">
        <v>512</v>
      </c>
      <c r="C364" t="s">
        <v>5176</v>
      </c>
      <c r="D364" t="s">
        <v>1007</v>
      </c>
      <c r="E364" t="s">
        <v>5482</v>
      </c>
      <c r="F364" t="s">
        <v>5845</v>
      </c>
      <c r="G364">
        <v>9</v>
      </c>
      <c r="H364">
        <v>6</v>
      </c>
      <c r="I364">
        <v>54.03</v>
      </c>
      <c r="J364">
        <v>-0.08</v>
      </c>
      <c r="K364">
        <v>-0.74</v>
      </c>
      <c r="L364">
        <v>0</v>
      </c>
      <c r="M364">
        <v>0</v>
      </c>
      <c r="N364">
        <v>0</v>
      </c>
      <c r="O364">
        <v>0</v>
      </c>
      <c r="P364" s="2">
        <f>(H364 + J364) - (L364 + N364)</f>
        <v>0</v>
      </c>
      <c r="Q364" s="2">
        <f>P364 * G364</f>
        <v>0</v>
      </c>
      <c r="R364">
        <v>10</v>
      </c>
      <c r="S364" s="2">
        <f>R364 * G364</f>
        <v>0</v>
      </c>
      <c r="T364" s="2">
        <f>(H364 + J364) - (L364 + N364) - R364</f>
        <v>0</v>
      </c>
      <c r="U364" s="2">
        <f>T364 * G364</f>
        <v>0</v>
      </c>
      <c r="V364" s="2">
        <f>I364 + K364 - S364</f>
        <v>0</v>
      </c>
      <c r="W364" s="2">
        <f>M364 - V364</f>
        <v>0</v>
      </c>
      <c r="X364" s="2">
        <f>IFERROR(W364 / M364 * 100, 0)</f>
        <v>0</v>
      </c>
    </row>
    <row r="365" spans="1:24">
      <c r="A365" t="s">
        <v>4509</v>
      </c>
      <c r="B365" t="s">
        <v>512</v>
      </c>
      <c r="C365" t="s">
        <v>5177</v>
      </c>
      <c r="D365" t="s">
        <v>1008</v>
      </c>
      <c r="E365" t="s">
        <v>5482</v>
      </c>
      <c r="F365" t="s">
        <v>5846</v>
      </c>
      <c r="G365">
        <v>0.87</v>
      </c>
      <c r="H365">
        <v>0</v>
      </c>
      <c r="I365">
        <v>0</v>
      </c>
      <c r="J365">
        <v>-1484</v>
      </c>
      <c r="K365">
        <v>-1291.08</v>
      </c>
      <c r="L365">
        <v>0</v>
      </c>
      <c r="M365">
        <v>0</v>
      </c>
      <c r="N365">
        <v>0</v>
      </c>
      <c r="O365">
        <v>0</v>
      </c>
      <c r="P365" s="2">
        <f>(H365 + J365) - (L365 + N365)</f>
        <v>0</v>
      </c>
      <c r="Q365" s="2">
        <f>P365 * G365</f>
        <v>0</v>
      </c>
      <c r="R365">
        <v>0</v>
      </c>
      <c r="S365" s="2">
        <f>R365 * G365</f>
        <v>0</v>
      </c>
      <c r="T365" s="2">
        <f>(H365 + J365) - (L365 + N365) - R365</f>
        <v>0</v>
      </c>
      <c r="U365" s="2">
        <f>T365 * G365</f>
        <v>0</v>
      </c>
      <c r="V365" s="2">
        <f>I365 + K365 - S365</f>
        <v>0</v>
      </c>
      <c r="W365" s="2">
        <f>M365 - V365</f>
        <v>0</v>
      </c>
      <c r="X365" s="2">
        <f>IFERROR(W365 / M365 * 100, 0)</f>
        <v>0</v>
      </c>
    </row>
    <row r="366" spans="1:24">
      <c r="A366" t="s">
        <v>4510</v>
      </c>
      <c r="B366" t="s">
        <v>512</v>
      </c>
      <c r="C366" t="s">
        <v>5178</v>
      </c>
      <c r="D366" t="s">
        <v>1007</v>
      </c>
      <c r="E366" t="s">
        <v>5482</v>
      </c>
      <c r="F366" t="s">
        <v>5847</v>
      </c>
      <c r="G366">
        <v>12</v>
      </c>
      <c r="H366">
        <v>0</v>
      </c>
      <c r="I366">
        <v>0</v>
      </c>
      <c r="J366">
        <v>-133.64</v>
      </c>
      <c r="K366">
        <v>-1603.65</v>
      </c>
      <c r="L366">
        <v>0</v>
      </c>
      <c r="M366">
        <v>0</v>
      </c>
      <c r="N366">
        <v>0</v>
      </c>
      <c r="O366">
        <v>0</v>
      </c>
      <c r="P366" s="2">
        <f>(H366 + J366) - (L366 + N366)</f>
        <v>0</v>
      </c>
      <c r="Q366" s="2">
        <f>P366 * G366</f>
        <v>0</v>
      </c>
      <c r="R366">
        <v>0</v>
      </c>
      <c r="S366" s="2">
        <f>R366 * G366</f>
        <v>0</v>
      </c>
      <c r="T366" s="2">
        <f>(H366 + J366) - (L366 + N366) - R366</f>
        <v>0</v>
      </c>
      <c r="U366" s="2">
        <f>T366 * G366</f>
        <v>0</v>
      </c>
      <c r="V366" s="2">
        <f>I366 + K366 - S366</f>
        <v>0</v>
      </c>
      <c r="W366" s="2">
        <f>M366 - V366</f>
        <v>0</v>
      </c>
      <c r="X366" s="2">
        <f>IFERROR(W366 / M366 * 100, 0)</f>
        <v>0</v>
      </c>
    </row>
    <row r="367" spans="1:24">
      <c r="A367" t="s">
        <v>4511</v>
      </c>
      <c r="B367" t="s">
        <v>512</v>
      </c>
      <c r="C367" t="s">
        <v>5179</v>
      </c>
      <c r="D367" t="s">
        <v>1007</v>
      </c>
      <c r="E367" t="s">
        <v>5482</v>
      </c>
      <c r="F367" t="s">
        <v>5848</v>
      </c>
      <c r="G367">
        <v>0</v>
      </c>
      <c r="H367">
        <v>0</v>
      </c>
      <c r="I367">
        <v>0</v>
      </c>
      <c r="J367">
        <v>-11.91</v>
      </c>
      <c r="K367">
        <v>0</v>
      </c>
      <c r="L367">
        <v>0</v>
      </c>
      <c r="M367">
        <v>0</v>
      </c>
      <c r="N367">
        <v>0</v>
      </c>
      <c r="O367">
        <v>0</v>
      </c>
      <c r="P367" s="2">
        <f>(H367 + J367) - (L367 + N367)</f>
        <v>0</v>
      </c>
      <c r="Q367" s="2">
        <f>P367 * G367</f>
        <v>0</v>
      </c>
      <c r="R367">
        <v>0</v>
      </c>
      <c r="S367" s="2">
        <f>R367 * G367</f>
        <v>0</v>
      </c>
      <c r="T367" s="2">
        <f>(H367 + J367) - (L367 + N367) - R367</f>
        <v>0</v>
      </c>
      <c r="U367" s="2">
        <f>T367 * G367</f>
        <v>0</v>
      </c>
      <c r="V367" s="2">
        <f>I367 + K367 - S367</f>
        <v>0</v>
      </c>
      <c r="W367" s="2">
        <f>M367 - V367</f>
        <v>0</v>
      </c>
      <c r="X367" s="2">
        <f>IFERROR(W367 / M367 * 100, 0)</f>
        <v>0</v>
      </c>
    </row>
    <row r="368" spans="1:24">
      <c r="A368" t="s">
        <v>4512</v>
      </c>
      <c r="B368" t="s">
        <v>512</v>
      </c>
      <c r="C368" t="s">
        <v>5180</v>
      </c>
      <c r="D368" t="s">
        <v>1007</v>
      </c>
      <c r="E368" t="s">
        <v>5482</v>
      </c>
      <c r="F368" t="s">
        <v>5849</v>
      </c>
      <c r="G368">
        <v>0</v>
      </c>
      <c r="H368">
        <v>0</v>
      </c>
      <c r="I368">
        <v>0</v>
      </c>
      <c r="J368">
        <v>-1.08</v>
      </c>
      <c r="K368">
        <v>0</v>
      </c>
      <c r="L368">
        <v>0</v>
      </c>
      <c r="M368">
        <v>0</v>
      </c>
      <c r="N368">
        <v>0</v>
      </c>
      <c r="O368">
        <v>0</v>
      </c>
      <c r="P368" s="2">
        <f>(H368 + J368) - (L368 + N368)</f>
        <v>0</v>
      </c>
      <c r="Q368" s="2">
        <f>P368 * G368</f>
        <v>0</v>
      </c>
      <c r="R368">
        <v>0</v>
      </c>
      <c r="S368" s="2">
        <f>R368 * G368</f>
        <v>0</v>
      </c>
      <c r="T368" s="2">
        <f>(H368 + J368) - (L368 + N368) - R368</f>
        <v>0</v>
      </c>
      <c r="U368" s="2">
        <f>T368 * G368</f>
        <v>0</v>
      </c>
      <c r="V368" s="2">
        <f>I368 + K368 - S368</f>
        <v>0</v>
      </c>
      <c r="W368" s="2">
        <f>M368 - V368</f>
        <v>0</v>
      </c>
      <c r="X368" s="2">
        <f>IFERROR(W368 / M368 * 100, 0)</f>
        <v>0</v>
      </c>
    </row>
    <row r="369" spans="1:24">
      <c r="A369" t="s">
        <v>4513</v>
      </c>
      <c r="B369" t="s">
        <v>513</v>
      </c>
      <c r="C369" t="s">
        <v>5181</v>
      </c>
      <c r="D369" t="s">
        <v>1008</v>
      </c>
      <c r="E369" t="s">
        <v>5482</v>
      </c>
      <c r="F369" t="s">
        <v>5850</v>
      </c>
      <c r="G369">
        <v>4.04</v>
      </c>
      <c r="H369">
        <v>7</v>
      </c>
      <c r="I369">
        <v>22.49</v>
      </c>
      <c r="J369">
        <v>70</v>
      </c>
      <c r="K369">
        <v>103.26</v>
      </c>
      <c r="L369">
        <v>65</v>
      </c>
      <c r="M369">
        <v>308.75</v>
      </c>
      <c r="N369">
        <v>0</v>
      </c>
      <c r="O369">
        <v>0</v>
      </c>
      <c r="P369" s="2">
        <f>(H369 + J369) - (L369 + N369)</f>
        <v>0</v>
      </c>
      <c r="Q369" s="2">
        <f>P369 * G369</f>
        <v>0</v>
      </c>
      <c r="R369">
        <v>15</v>
      </c>
      <c r="S369" s="2">
        <f>R369 * G369</f>
        <v>0</v>
      </c>
      <c r="T369" s="2">
        <f>(H369 + J369) - (L369 + N369) - R369</f>
        <v>0</v>
      </c>
      <c r="U369" s="2">
        <f>T369 * G369</f>
        <v>0</v>
      </c>
      <c r="V369" s="2">
        <f>I369 + K369 - S369</f>
        <v>0</v>
      </c>
      <c r="W369" s="2">
        <f>M369 - V369</f>
        <v>0</v>
      </c>
      <c r="X369" s="2">
        <f>IFERROR(W369 / M369 * 100, 0)</f>
        <v>0</v>
      </c>
    </row>
    <row r="370" spans="1:24">
      <c r="A370" t="s">
        <v>4514</v>
      </c>
      <c r="B370" t="s">
        <v>513</v>
      </c>
      <c r="C370" t="s">
        <v>5182</v>
      </c>
      <c r="D370" t="s">
        <v>1007</v>
      </c>
      <c r="E370" t="s">
        <v>5482</v>
      </c>
      <c r="F370" t="s">
        <v>5851</v>
      </c>
      <c r="G370">
        <v>13.67</v>
      </c>
      <c r="H370">
        <v>3</v>
      </c>
      <c r="I370">
        <v>41.02</v>
      </c>
      <c r="J370">
        <v>0</v>
      </c>
      <c r="K370">
        <v>0</v>
      </c>
      <c r="L370">
        <v>2.11</v>
      </c>
      <c r="M370">
        <v>71.56999999999999</v>
      </c>
      <c r="N370">
        <v>0</v>
      </c>
      <c r="O370">
        <v>0</v>
      </c>
      <c r="P370" s="2">
        <f>(H370 + J370) - (L370 + N370)</f>
        <v>0</v>
      </c>
      <c r="Q370" s="2">
        <f>P370 * G370</f>
        <v>0</v>
      </c>
      <c r="R370">
        <v>2.32</v>
      </c>
      <c r="S370" s="2">
        <f>R370 * G370</f>
        <v>0</v>
      </c>
      <c r="T370" s="2">
        <f>(H370 + J370) - (L370 + N370) - R370</f>
        <v>0</v>
      </c>
      <c r="U370" s="2">
        <f>T370 * G370</f>
        <v>0</v>
      </c>
      <c r="V370" s="2">
        <f>I370 + K370 - S370</f>
        <v>0</v>
      </c>
      <c r="W370" s="2">
        <f>M370 - V370</f>
        <v>0</v>
      </c>
      <c r="X370" s="2">
        <f>IFERROR(W370 / M370 * 100, 0)</f>
        <v>0</v>
      </c>
    </row>
    <row r="371" spans="1:24">
      <c r="A371" t="s">
        <v>4515</v>
      </c>
      <c r="B371" t="s">
        <v>513</v>
      </c>
      <c r="C371" t="s">
        <v>5183</v>
      </c>
      <c r="D371" t="s">
        <v>1008</v>
      </c>
      <c r="E371" t="s">
        <v>5482</v>
      </c>
      <c r="F371" t="s">
        <v>5852</v>
      </c>
      <c r="G371">
        <v>1.04</v>
      </c>
      <c r="H371">
        <v>13</v>
      </c>
      <c r="I371">
        <v>12.7</v>
      </c>
      <c r="J371">
        <v>82</v>
      </c>
      <c r="K371">
        <v>79.81999999999999</v>
      </c>
      <c r="L371">
        <v>64</v>
      </c>
      <c r="M371">
        <v>272</v>
      </c>
      <c r="N371">
        <v>0</v>
      </c>
      <c r="O371">
        <v>0</v>
      </c>
      <c r="P371" s="2">
        <f>(H371 + J371) - (L371 + N371)</f>
        <v>0</v>
      </c>
      <c r="Q371" s="2">
        <f>P371 * G371</f>
        <v>0</v>
      </c>
      <c r="R371">
        <v>19</v>
      </c>
      <c r="S371" s="2">
        <f>R371 * G371</f>
        <v>0</v>
      </c>
      <c r="T371" s="2">
        <f>(H371 + J371) - (L371 + N371) - R371</f>
        <v>0</v>
      </c>
      <c r="U371" s="2">
        <f>T371 * G371</f>
        <v>0</v>
      </c>
      <c r="V371" s="2">
        <f>I371 + K371 - S371</f>
        <v>0</v>
      </c>
      <c r="W371" s="2">
        <f>M371 - V371</f>
        <v>0</v>
      </c>
      <c r="X371" s="2">
        <f>IFERROR(W371 / M371 * 100, 0)</f>
        <v>0</v>
      </c>
    </row>
    <row r="372" spans="1:24">
      <c r="A372" t="s">
        <v>4516</v>
      </c>
      <c r="B372" t="s">
        <v>513</v>
      </c>
      <c r="C372" t="s">
        <v>5184</v>
      </c>
      <c r="D372" t="s">
        <v>1008</v>
      </c>
      <c r="E372" t="s">
        <v>5482</v>
      </c>
      <c r="F372" t="s">
        <v>5853</v>
      </c>
      <c r="G372">
        <v>1.29</v>
      </c>
      <c r="H372">
        <v>0</v>
      </c>
      <c r="I372">
        <v>0</v>
      </c>
      <c r="J372">
        <v>926</v>
      </c>
      <c r="K372">
        <v>901.78</v>
      </c>
      <c r="L372">
        <v>804</v>
      </c>
      <c r="M372">
        <v>1809</v>
      </c>
      <c r="N372">
        <v>46</v>
      </c>
      <c r="O372">
        <v>55.28</v>
      </c>
      <c r="P372" s="2">
        <f>(H372 + J372) - (L372 + N372)</f>
        <v>0</v>
      </c>
      <c r="Q372" s="2">
        <f>P372 * G372</f>
        <v>0</v>
      </c>
      <c r="R372">
        <v>0</v>
      </c>
      <c r="S372" s="2">
        <f>R372 * G372</f>
        <v>0</v>
      </c>
      <c r="T372" s="2">
        <f>(H372 + J372) - (L372 + N372) - R372</f>
        <v>0</v>
      </c>
      <c r="U372" s="2">
        <f>T372 * G372</f>
        <v>0</v>
      </c>
      <c r="V372" s="2">
        <f>I372 + K372 - S372</f>
        <v>0</v>
      </c>
      <c r="W372" s="2">
        <f>M372 - V372</f>
        <v>0</v>
      </c>
      <c r="X372" s="2">
        <f>IFERROR(W372 / M372 * 100, 0)</f>
        <v>0</v>
      </c>
    </row>
    <row r="373" spans="1:24">
      <c r="A373" t="s">
        <v>4517</v>
      </c>
      <c r="B373" t="s">
        <v>513</v>
      </c>
      <c r="C373" t="s">
        <v>5185</v>
      </c>
      <c r="D373" t="s">
        <v>1008</v>
      </c>
      <c r="E373" t="s">
        <v>5482</v>
      </c>
      <c r="F373" t="s">
        <v>5854</v>
      </c>
      <c r="G373">
        <v>2.06</v>
      </c>
      <c r="H373">
        <v>60</v>
      </c>
      <c r="I373">
        <v>125.38</v>
      </c>
      <c r="J373">
        <v>627</v>
      </c>
      <c r="K373">
        <v>1024.32</v>
      </c>
      <c r="L373">
        <v>649</v>
      </c>
      <c r="M373">
        <v>2271.5</v>
      </c>
      <c r="N373">
        <v>27</v>
      </c>
      <c r="O373">
        <v>59.23</v>
      </c>
      <c r="P373" s="2">
        <f>(H373 + J373) - (L373 + N373)</f>
        <v>0</v>
      </c>
      <c r="Q373" s="2">
        <f>P373 * G373</f>
        <v>0</v>
      </c>
      <c r="R373">
        <v>41</v>
      </c>
      <c r="S373" s="2">
        <f>R373 * G373</f>
        <v>0</v>
      </c>
      <c r="T373" s="2">
        <f>(H373 + J373) - (L373 + N373) - R373</f>
        <v>0</v>
      </c>
      <c r="U373" s="2">
        <f>T373 * G373</f>
        <v>0</v>
      </c>
      <c r="V373" s="2">
        <f>I373 + K373 - S373</f>
        <v>0</v>
      </c>
      <c r="W373" s="2">
        <f>M373 - V373</f>
        <v>0</v>
      </c>
      <c r="X373" s="2">
        <f>IFERROR(W373 / M373 * 100, 0)</f>
        <v>0</v>
      </c>
    </row>
    <row r="374" spans="1:24">
      <c r="A374" t="s">
        <v>4518</v>
      </c>
      <c r="B374" t="s">
        <v>512</v>
      </c>
      <c r="C374" t="s">
        <v>5186</v>
      </c>
      <c r="D374" t="s">
        <v>1008</v>
      </c>
      <c r="E374" t="s">
        <v>5482</v>
      </c>
      <c r="F374" t="s">
        <v>5855</v>
      </c>
      <c r="G374">
        <v>12</v>
      </c>
      <c r="H374">
        <v>1</v>
      </c>
      <c r="I374">
        <v>12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 s="2">
        <f>(H374 + J374) - (L374 + N374)</f>
        <v>0</v>
      </c>
      <c r="Q374" s="2">
        <f>P374 * G374</f>
        <v>0</v>
      </c>
      <c r="R374">
        <v>1</v>
      </c>
      <c r="S374" s="2">
        <f>R374 * G374</f>
        <v>0</v>
      </c>
      <c r="T374" s="2">
        <f>(H374 + J374) - (L374 + N374) - R374</f>
        <v>0</v>
      </c>
      <c r="U374" s="2">
        <f>T374 * G374</f>
        <v>0</v>
      </c>
      <c r="V374" s="2">
        <f>I374 + K374 - S374</f>
        <v>0</v>
      </c>
      <c r="W374" s="2">
        <f>M374 - V374</f>
        <v>0</v>
      </c>
      <c r="X374" s="2">
        <f>IFERROR(W374 / M374 * 100, 0)</f>
        <v>0</v>
      </c>
    </row>
    <row r="375" spans="1:24">
      <c r="A375" t="s">
        <v>4519</v>
      </c>
      <c r="B375" t="s">
        <v>512</v>
      </c>
      <c r="C375" t="s">
        <v>5187</v>
      </c>
      <c r="D375" t="s">
        <v>1008</v>
      </c>
      <c r="E375" t="s">
        <v>5482</v>
      </c>
      <c r="F375" t="s">
        <v>5856</v>
      </c>
      <c r="G375">
        <v>90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 s="2">
        <f>(H375 + J375) - (L375 + N375)</f>
        <v>0</v>
      </c>
      <c r="Q375" s="2">
        <f>P375 * G375</f>
        <v>0</v>
      </c>
      <c r="R375">
        <v>2</v>
      </c>
      <c r="S375" s="2">
        <f>R375 * G375</f>
        <v>0</v>
      </c>
      <c r="T375" s="2">
        <f>(H375 + J375) - (L375 + N375) - R375</f>
        <v>0</v>
      </c>
      <c r="U375" s="2">
        <f>T375 * G375</f>
        <v>0</v>
      </c>
      <c r="V375" s="2">
        <f>I375 + K375 - S375</f>
        <v>0</v>
      </c>
      <c r="W375" s="2">
        <f>M375 - V375</f>
        <v>0</v>
      </c>
      <c r="X375" s="2">
        <f>IFERROR(W375 / M375 * 100, 0)</f>
        <v>0</v>
      </c>
    </row>
    <row r="376" spans="1:24">
      <c r="A376" t="s">
        <v>4520</v>
      </c>
      <c r="B376" t="s">
        <v>512</v>
      </c>
      <c r="C376" t="s">
        <v>5188</v>
      </c>
      <c r="D376" t="s">
        <v>1008</v>
      </c>
      <c r="E376" t="s">
        <v>5482</v>
      </c>
      <c r="F376" t="s">
        <v>5857</v>
      </c>
      <c r="G376">
        <v>117.5</v>
      </c>
      <c r="H376">
        <v>1</v>
      </c>
      <c r="I376">
        <v>117.5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 s="2">
        <f>(H376 + J376) - (L376 + N376)</f>
        <v>0</v>
      </c>
      <c r="Q376" s="2">
        <f>P376 * G376</f>
        <v>0</v>
      </c>
      <c r="R376">
        <v>2</v>
      </c>
      <c r="S376" s="2">
        <f>R376 * G376</f>
        <v>0</v>
      </c>
      <c r="T376" s="2">
        <f>(H376 + J376) - (L376 + N376) - R376</f>
        <v>0</v>
      </c>
      <c r="U376" s="2">
        <f>T376 * G376</f>
        <v>0</v>
      </c>
      <c r="V376" s="2">
        <f>I376 + K376 - S376</f>
        <v>0</v>
      </c>
      <c r="W376" s="2">
        <f>M376 - V376</f>
        <v>0</v>
      </c>
      <c r="X376" s="2">
        <f>IFERROR(W376 / M376 * 100, 0)</f>
        <v>0</v>
      </c>
    </row>
    <row r="377" spans="1:24">
      <c r="A377" t="s">
        <v>4521</v>
      </c>
      <c r="B377" t="s">
        <v>512</v>
      </c>
      <c r="C377" t="s">
        <v>5189</v>
      </c>
      <c r="D377" t="s">
        <v>1008</v>
      </c>
      <c r="E377" t="s">
        <v>5482</v>
      </c>
      <c r="F377" t="s">
        <v>5858</v>
      </c>
      <c r="G377">
        <v>115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 s="2">
        <f>(H377 + J377) - (L377 + N377)</f>
        <v>0</v>
      </c>
      <c r="Q377" s="2">
        <f>P377 * G377</f>
        <v>0</v>
      </c>
      <c r="R377">
        <v>1</v>
      </c>
      <c r="S377" s="2">
        <f>R377 * G377</f>
        <v>0</v>
      </c>
      <c r="T377" s="2">
        <f>(H377 + J377) - (L377 + N377) - R377</f>
        <v>0</v>
      </c>
      <c r="U377" s="2">
        <f>T377 * G377</f>
        <v>0</v>
      </c>
      <c r="V377" s="2">
        <f>I377 + K377 - S377</f>
        <v>0</v>
      </c>
      <c r="W377" s="2">
        <f>M377 - V377</f>
        <v>0</v>
      </c>
      <c r="X377" s="2">
        <f>IFERROR(W377 / M377 * 100, 0)</f>
        <v>0</v>
      </c>
    </row>
    <row r="378" spans="1:24">
      <c r="A378" t="s">
        <v>4522</v>
      </c>
      <c r="B378" t="s">
        <v>512</v>
      </c>
      <c r="C378" t="s">
        <v>5190</v>
      </c>
      <c r="D378" t="s">
        <v>1008</v>
      </c>
      <c r="E378" t="s">
        <v>5482</v>
      </c>
      <c r="F378" t="s">
        <v>5859</v>
      </c>
      <c r="G378">
        <v>65</v>
      </c>
      <c r="H378">
        <v>0</v>
      </c>
      <c r="I378">
        <v>0</v>
      </c>
      <c r="J378">
        <v>8</v>
      </c>
      <c r="K378">
        <v>520</v>
      </c>
      <c r="L378">
        <v>0</v>
      </c>
      <c r="M378">
        <v>0</v>
      </c>
      <c r="N378">
        <v>0</v>
      </c>
      <c r="O378">
        <v>0</v>
      </c>
      <c r="P378" s="2">
        <f>(H378 + J378) - (L378 + N378)</f>
        <v>0</v>
      </c>
      <c r="Q378" s="2">
        <f>P378 * G378</f>
        <v>0</v>
      </c>
      <c r="R378">
        <v>0</v>
      </c>
      <c r="S378" s="2">
        <f>R378 * G378</f>
        <v>0</v>
      </c>
      <c r="T378" s="2">
        <f>(H378 + J378) - (L378 + N378) - R378</f>
        <v>0</v>
      </c>
      <c r="U378" s="2">
        <f>T378 * G378</f>
        <v>0</v>
      </c>
      <c r="V378" s="2">
        <f>I378 + K378 - S378</f>
        <v>0</v>
      </c>
      <c r="W378" s="2">
        <f>M378 - V378</f>
        <v>0</v>
      </c>
      <c r="X378" s="2">
        <f>IFERROR(W378 / M378 * 100, 0)</f>
        <v>0</v>
      </c>
    </row>
    <row r="379" spans="1:24">
      <c r="A379" t="s">
        <v>4523</v>
      </c>
      <c r="B379" t="s">
        <v>512</v>
      </c>
      <c r="C379" t="s">
        <v>5191</v>
      </c>
      <c r="D379" t="s">
        <v>1007</v>
      </c>
      <c r="E379" t="s">
        <v>5482</v>
      </c>
      <c r="F379" t="s">
        <v>5860</v>
      </c>
      <c r="G379">
        <v>47.07</v>
      </c>
      <c r="H379">
        <v>5</v>
      </c>
      <c r="I379">
        <v>235.36</v>
      </c>
      <c r="J379">
        <v>-1.4</v>
      </c>
      <c r="K379">
        <v>-65.90000000000001</v>
      </c>
      <c r="L379">
        <v>0</v>
      </c>
      <c r="M379">
        <v>0</v>
      </c>
      <c r="N379">
        <v>0</v>
      </c>
      <c r="O379">
        <v>0</v>
      </c>
      <c r="P379" s="2">
        <f>(H379 + J379) - (L379 + N379)</f>
        <v>0</v>
      </c>
      <c r="Q379" s="2">
        <f>P379 * G379</f>
        <v>0</v>
      </c>
      <c r="R379">
        <v>5</v>
      </c>
      <c r="S379" s="2">
        <f>R379 * G379</f>
        <v>0</v>
      </c>
      <c r="T379" s="2">
        <f>(H379 + J379) - (L379 + N379) - R379</f>
        <v>0</v>
      </c>
      <c r="U379" s="2">
        <f>T379 * G379</f>
        <v>0</v>
      </c>
      <c r="V379" s="2">
        <f>I379 + K379 - S379</f>
        <v>0</v>
      </c>
      <c r="W379" s="2">
        <f>M379 - V379</f>
        <v>0</v>
      </c>
      <c r="X379" s="2">
        <f>IFERROR(W379 / M379 * 100, 0)</f>
        <v>0</v>
      </c>
    </row>
    <row r="380" spans="1:24">
      <c r="A380" t="s">
        <v>4524</v>
      </c>
      <c r="B380" t="s">
        <v>512</v>
      </c>
      <c r="C380" t="s">
        <v>5192</v>
      </c>
      <c r="D380" t="s">
        <v>1007</v>
      </c>
      <c r="E380" t="s">
        <v>5482</v>
      </c>
      <c r="F380" t="s">
        <v>5861</v>
      </c>
      <c r="G380">
        <v>39.4</v>
      </c>
      <c r="H380">
        <v>0</v>
      </c>
      <c r="I380">
        <v>0</v>
      </c>
      <c r="J380">
        <v>0.4</v>
      </c>
      <c r="K380">
        <v>15.76</v>
      </c>
      <c r="L380">
        <v>0</v>
      </c>
      <c r="M380">
        <v>0</v>
      </c>
      <c r="N380">
        <v>0</v>
      </c>
      <c r="O380">
        <v>0</v>
      </c>
      <c r="P380" s="2">
        <f>(H380 + J380) - (L380 + N380)</f>
        <v>0</v>
      </c>
      <c r="Q380" s="2">
        <f>P380 * G380</f>
        <v>0</v>
      </c>
      <c r="R380">
        <v>0</v>
      </c>
      <c r="S380" s="2">
        <f>R380 * G380</f>
        <v>0</v>
      </c>
      <c r="T380" s="2">
        <f>(H380 + J380) - (L380 + N380) - R380</f>
        <v>0</v>
      </c>
      <c r="U380" s="2">
        <f>T380 * G380</f>
        <v>0</v>
      </c>
      <c r="V380" s="2">
        <f>I380 + K380 - S380</f>
        <v>0</v>
      </c>
      <c r="W380" s="2">
        <f>M380 - V380</f>
        <v>0</v>
      </c>
      <c r="X380" s="2">
        <f>IFERROR(W380 / M380 * 100, 0)</f>
        <v>0</v>
      </c>
    </row>
    <row r="381" spans="1:24">
      <c r="A381" t="s">
        <v>4525</v>
      </c>
      <c r="B381" t="s">
        <v>512</v>
      </c>
      <c r="C381" t="s">
        <v>5193</v>
      </c>
      <c r="D381" t="s">
        <v>1007</v>
      </c>
      <c r="E381" t="s">
        <v>5482</v>
      </c>
      <c r="F381" t="s">
        <v>5862</v>
      </c>
      <c r="G381">
        <v>14</v>
      </c>
      <c r="H381">
        <v>0</v>
      </c>
      <c r="I381">
        <v>0</v>
      </c>
      <c r="J381">
        <v>1</v>
      </c>
      <c r="K381">
        <v>28</v>
      </c>
      <c r="L381">
        <v>1.65</v>
      </c>
      <c r="M381">
        <v>52.8</v>
      </c>
      <c r="N381">
        <v>0</v>
      </c>
      <c r="O381">
        <v>0</v>
      </c>
      <c r="P381" s="2">
        <f>(H381 + J381) - (L381 + N381)</f>
        <v>0</v>
      </c>
      <c r="Q381" s="2">
        <f>P381 * G381</f>
        <v>0</v>
      </c>
      <c r="R381">
        <v>0</v>
      </c>
      <c r="S381" s="2">
        <f>R381 * G381</f>
        <v>0</v>
      </c>
      <c r="T381" s="2">
        <f>(H381 + J381) - (L381 + N381) - R381</f>
        <v>0</v>
      </c>
      <c r="U381" s="2">
        <f>T381 * G381</f>
        <v>0</v>
      </c>
      <c r="V381" s="2">
        <f>I381 + K381 - S381</f>
        <v>0</v>
      </c>
      <c r="W381" s="2">
        <f>M381 - V381</f>
        <v>0</v>
      </c>
      <c r="X381" s="2">
        <f>IFERROR(W381 / M381 * 100, 0)</f>
        <v>0</v>
      </c>
    </row>
    <row r="382" spans="1:24">
      <c r="A382" t="s">
        <v>4526</v>
      </c>
      <c r="B382" t="s">
        <v>512</v>
      </c>
      <c r="C382" t="s">
        <v>5194</v>
      </c>
      <c r="D382" t="s">
        <v>1008</v>
      </c>
      <c r="E382" t="s">
        <v>5482</v>
      </c>
      <c r="F382" t="s">
        <v>5863</v>
      </c>
      <c r="G382">
        <v>1.6</v>
      </c>
      <c r="H382">
        <v>0</v>
      </c>
      <c r="I382">
        <v>0</v>
      </c>
      <c r="J382">
        <v>0</v>
      </c>
      <c r="K382">
        <v>0</v>
      </c>
      <c r="L382">
        <v>178</v>
      </c>
      <c r="M382">
        <v>296.5</v>
      </c>
      <c r="N382">
        <v>0</v>
      </c>
      <c r="O382">
        <v>0</v>
      </c>
      <c r="P382" s="2">
        <f>(H382 + J382) - (L382 + N382)</f>
        <v>0</v>
      </c>
      <c r="Q382" s="2">
        <f>P382 * G382</f>
        <v>0</v>
      </c>
      <c r="R382">
        <v>0</v>
      </c>
      <c r="S382" s="2">
        <f>R382 * G382</f>
        <v>0</v>
      </c>
      <c r="T382" s="2">
        <f>(H382 + J382) - (L382 + N382) - R382</f>
        <v>0</v>
      </c>
      <c r="U382" s="2">
        <f>T382 * G382</f>
        <v>0</v>
      </c>
      <c r="V382" s="2">
        <f>I382 + K382 - S382</f>
        <v>0</v>
      </c>
      <c r="W382" s="2">
        <f>M382 - V382</f>
        <v>0</v>
      </c>
      <c r="X382" s="2">
        <f>IFERROR(W382 / M382 * 100, 0)</f>
        <v>0</v>
      </c>
    </row>
    <row r="383" spans="1:24">
      <c r="A383" t="s">
        <v>4527</v>
      </c>
      <c r="B383" t="s">
        <v>512</v>
      </c>
      <c r="C383" t="s">
        <v>5195</v>
      </c>
      <c r="D383" t="s">
        <v>1008</v>
      </c>
      <c r="E383" t="s">
        <v>5482</v>
      </c>
      <c r="F383" t="s">
        <v>5864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27</v>
      </c>
      <c r="M383">
        <v>1235</v>
      </c>
      <c r="N383">
        <v>0</v>
      </c>
      <c r="O383">
        <v>0</v>
      </c>
      <c r="P383" s="2">
        <f>(H383 + J383) - (L383 + N383)</f>
        <v>0</v>
      </c>
      <c r="Q383" s="2">
        <f>P383 * G383</f>
        <v>0</v>
      </c>
      <c r="R383">
        <v>0</v>
      </c>
      <c r="S383" s="2">
        <f>R383 * G383</f>
        <v>0</v>
      </c>
      <c r="T383" s="2">
        <f>(H383 + J383) - (L383 + N383) - R383</f>
        <v>0</v>
      </c>
      <c r="U383" s="2">
        <f>T383 * G383</f>
        <v>0</v>
      </c>
      <c r="V383" s="2">
        <f>I383 + K383 - S383</f>
        <v>0</v>
      </c>
      <c r="W383" s="2">
        <f>M383 - V383</f>
        <v>0</v>
      </c>
      <c r="X383" s="2">
        <f>IFERROR(W383 / M383 * 100, 0)</f>
        <v>0</v>
      </c>
    </row>
    <row r="384" spans="1:24">
      <c r="A384" t="s">
        <v>4528</v>
      </c>
      <c r="B384" t="s">
        <v>512</v>
      </c>
      <c r="C384" t="s">
        <v>5196</v>
      </c>
      <c r="D384" t="s">
        <v>1008</v>
      </c>
      <c r="E384" t="s">
        <v>5482</v>
      </c>
      <c r="F384" t="s">
        <v>5865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10</v>
      </c>
      <c r="M384">
        <v>110</v>
      </c>
      <c r="N384">
        <v>0</v>
      </c>
      <c r="O384">
        <v>0</v>
      </c>
      <c r="P384" s="2">
        <f>(H384 + J384) - (L384 + N384)</f>
        <v>0</v>
      </c>
      <c r="Q384" s="2">
        <f>P384 * G384</f>
        <v>0</v>
      </c>
      <c r="R384">
        <v>0</v>
      </c>
      <c r="S384" s="2">
        <f>R384 * G384</f>
        <v>0</v>
      </c>
      <c r="T384" s="2">
        <f>(H384 + J384) - (L384 + N384) - R384</f>
        <v>0</v>
      </c>
      <c r="U384" s="2">
        <f>T384 * G384</f>
        <v>0</v>
      </c>
      <c r="V384" s="2">
        <f>I384 + K384 - S384</f>
        <v>0</v>
      </c>
      <c r="W384" s="2">
        <f>M384 - V384</f>
        <v>0</v>
      </c>
      <c r="X384" s="2">
        <f>IFERROR(W384 / M384 * 100, 0)</f>
        <v>0</v>
      </c>
    </row>
    <row r="385" spans="1:24">
      <c r="A385" t="s">
        <v>4529</v>
      </c>
      <c r="B385" t="s">
        <v>512</v>
      </c>
      <c r="C385" t="s">
        <v>5197</v>
      </c>
      <c r="D385" t="s">
        <v>1008</v>
      </c>
      <c r="E385" t="s">
        <v>5482</v>
      </c>
      <c r="F385" t="s">
        <v>5866</v>
      </c>
      <c r="G385">
        <v>0.8</v>
      </c>
      <c r="H385">
        <v>3</v>
      </c>
      <c r="I385">
        <v>2.4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 s="2">
        <f>(H385 + J385) - (L385 + N385)</f>
        <v>0</v>
      </c>
      <c r="Q385" s="2">
        <f>P385 * G385</f>
        <v>0</v>
      </c>
      <c r="R385">
        <v>0</v>
      </c>
      <c r="S385" s="2">
        <f>R385 * G385</f>
        <v>0</v>
      </c>
      <c r="T385" s="2">
        <f>(H385 + J385) - (L385 + N385) - R385</f>
        <v>0</v>
      </c>
      <c r="U385" s="2">
        <f>T385 * G385</f>
        <v>0</v>
      </c>
      <c r="V385" s="2">
        <f>I385 + K385 - S385</f>
        <v>0</v>
      </c>
      <c r="W385" s="2">
        <f>M385 - V385</f>
        <v>0</v>
      </c>
      <c r="X385" s="2">
        <f>IFERROR(W385 / M385 * 100, 0)</f>
        <v>0</v>
      </c>
    </row>
    <row r="386" spans="1:24">
      <c r="A386" t="s">
        <v>4530</v>
      </c>
      <c r="B386" t="s">
        <v>512</v>
      </c>
      <c r="C386" t="s">
        <v>5198</v>
      </c>
      <c r="D386" t="s">
        <v>1008</v>
      </c>
      <c r="E386" t="s">
        <v>5482</v>
      </c>
      <c r="F386" t="s">
        <v>5867</v>
      </c>
      <c r="G386">
        <v>2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4</v>
      </c>
      <c r="N386">
        <v>0</v>
      </c>
      <c r="O386">
        <v>0</v>
      </c>
      <c r="P386" s="2">
        <f>(H386 + J386) - (L386 + N386)</f>
        <v>0</v>
      </c>
      <c r="Q386" s="2">
        <f>P386 * G386</f>
        <v>0</v>
      </c>
      <c r="R386">
        <v>0</v>
      </c>
      <c r="S386" s="2">
        <f>R386 * G386</f>
        <v>0</v>
      </c>
      <c r="T386" s="2">
        <f>(H386 + J386) - (L386 + N386) - R386</f>
        <v>0</v>
      </c>
      <c r="U386" s="2">
        <f>T386 * G386</f>
        <v>0</v>
      </c>
      <c r="V386" s="2">
        <f>I386 + K386 - S386</f>
        <v>0</v>
      </c>
      <c r="W386" s="2">
        <f>M386 - V386</f>
        <v>0</v>
      </c>
      <c r="X386" s="2">
        <f>IFERROR(W386 / M386 * 100, 0)</f>
        <v>0</v>
      </c>
    </row>
    <row r="387" spans="1:24">
      <c r="A387" t="s">
        <v>4531</v>
      </c>
      <c r="B387" t="s">
        <v>512</v>
      </c>
      <c r="C387" t="s">
        <v>5199</v>
      </c>
      <c r="D387" t="s">
        <v>1008</v>
      </c>
      <c r="E387" t="s">
        <v>5482</v>
      </c>
      <c r="F387" t="s">
        <v>5868</v>
      </c>
      <c r="G387">
        <v>4.37</v>
      </c>
      <c r="H387">
        <v>35</v>
      </c>
      <c r="I387">
        <v>152.87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 s="2">
        <f>(H387 + J387) - (L387 + N387)</f>
        <v>0</v>
      </c>
      <c r="Q387" s="2">
        <f>P387 * G387</f>
        <v>0</v>
      </c>
      <c r="R387">
        <v>50</v>
      </c>
      <c r="S387" s="2">
        <f>R387 * G387</f>
        <v>0</v>
      </c>
      <c r="T387" s="2">
        <f>(H387 + J387) - (L387 + N387) - R387</f>
        <v>0</v>
      </c>
      <c r="U387" s="2">
        <f>T387 * G387</f>
        <v>0</v>
      </c>
      <c r="V387" s="2">
        <f>I387 + K387 - S387</f>
        <v>0</v>
      </c>
      <c r="W387" s="2">
        <f>M387 - V387</f>
        <v>0</v>
      </c>
      <c r="X387" s="2">
        <f>IFERROR(W387 / M387 * 100, 0)</f>
        <v>0</v>
      </c>
    </row>
    <row r="388" spans="1:24">
      <c r="A388" t="s">
        <v>4532</v>
      </c>
      <c r="B388" t="s">
        <v>512</v>
      </c>
      <c r="C388" t="s">
        <v>5200</v>
      </c>
      <c r="D388" t="s">
        <v>1007</v>
      </c>
      <c r="E388" t="s">
        <v>5482</v>
      </c>
      <c r="F388" t="s">
        <v>5869</v>
      </c>
      <c r="G388">
        <v>12.53</v>
      </c>
      <c r="H388">
        <v>2</v>
      </c>
      <c r="I388">
        <v>25.75</v>
      </c>
      <c r="J388">
        <v>2.02</v>
      </c>
      <c r="K388">
        <v>24.66</v>
      </c>
      <c r="L388">
        <v>0</v>
      </c>
      <c r="M388">
        <v>0</v>
      </c>
      <c r="N388">
        <v>0</v>
      </c>
      <c r="O388">
        <v>0</v>
      </c>
      <c r="P388" s="2">
        <f>(H388 + J388) - (L388 + N388)</f>
        <v>0</v>
      </c>
      <c r="Q388" s="2">
        <f>P388 * G388</f>
        <v>0</v>
      </c>
      <c r="R388">
        <v>2</v>
      </c>
      <c r="S388" s="2">
        <f>R388 * G388</f>
        <v>0</v>
      </c>
      <c r="T388" s="2">
        <f>(H388 + J388) - (L388 + N388) - R388</f>
        <v>0</v>
      </c>
      <c r="U388" s="2">
        <f>T388 * G388</f>
        <v>0</v>
      </c>
      <c r="V388" s="2">
        <f>I388 + K388 - S388</f>
        <v>0</v>
      </c>
      <c r="W388" s="2">
        <f>M388 - V388</f>
        <v>0</v>
      </c>
      <c r="X388" s="2">
        <f>IFERROR(W388 / M388 * 100, 0)</f>
        <v>0</v>
      </c>
    </row>
    <row r="389" spans="1:24">
      <c r="A389" t="s">
        <v>4533</v>
      </c>
      <c r="B389" t="s">
        <v>512</v>
      </c>
      <c r="C389" t="s">
        <v>5201</v>
      </c>
      <c r="D389" t="s">
        <v>1007</v>
      </c>
      <c r="E389" t="s">
        <v>5482</v>
      </c>
      <c r="F389" t="s">
        <v>5870</v>
      </c>
      <c r="G389">
        <v>10.47</v>
      </c>
      <c r="H389">
        <v>50</v>
      </c>
      <c r="I389">
        <v>523.63</v>
      </c>
      <c r="J389">
        <v>-2.33</v>
      </c>
      <c r="K389">
        <v>-24.35</v>
      </c>
      <c r="L389">
        <v>0</v>
      </c>
      <c r="M389">
        <v>0</v>
      </c>
      <c r="N389">
        <v>0</v>
      </c>
      <c r="O389">
        <v>0</v>
      </c>
      <c r="P389" s="2">
        <f>(H389 + J389) - (L389 + N389)</f>
        <v>0</v>
      </c>
      <c r="Q389" s="2">
        <f>P389 * G389</f>
        <v>0</v>
      </c>
      <c r="R389">
        <v>20</v>
      </c>
      <c r="S389" s="2">
        <f>R389 * G389</f>
        <v>0</v>
      </c>
      <c r="T389" s="2">
        <f>(H389 + J389) - (L389 + N389) - R389</f>
        <v>0</v>
      </c>
      <c r="U389" s="2">
        <f>T389 * G389</f>
        <v>0</v>
      </c>
      <c r="V389" s="2">
        <f>I389 + K389 - S389</f>
        <v>0</v>
      </c>
      <c r="W389" s="2">
        <f>M389 - V389</f>
        <v>0</v>
      </c>
      <c r="X389" s="2">
        <f>IFERROR(W389 / M389 * 100, 0)</f>
        <v>0</v>
      </c>
    </row>
    <row r="390" spans="1:24">
      <c r="A390" t="s">
        <v>4534</v>
      </c>
      <c r="B390" t="s">
        <v>512</v>
      </c>
      <c r="C390" t="s">
        <v>5202</v>
      </c>
      <c r="D390" t="s">
        <v>1008</v>
      </c>
      <c r="E390" t="s">
        <v>5482</v>
      </c>
      <c r="F390" t="s">
        <v>5871</v>
      </c>
      <c r="G390">
        <v>2.23</v>
      </c>
      <c r="H390">
        <v>100</v>
      </c>
      <c r="I390">
        <v>223.16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 s="2">
        <f>(H390 + J390) - (L390 + N390)</f>
        <v>0</v>
      </c>
      <c r="Q390" s="2">
        <f>P390 * G390</f>
        <v>0</v>
      </c>
      <c r="R390">
        <v>200</v>
      </c>
      <c r="S390" s="2">
        <f>R390 * G390</f>
        <v>0</v>
      </c>
      <c r="T390" s="2">
        <f>(H390 + J390) - (L390 + N390) - R390</f>
        <v>0</v>
      </c>
      <c r="U390" s="2">
        <f>T390 * G390</f>
        <v>0</v>
      </c>
      <c r="V390" s="2">
        <f>I390 + K390 - S390</f>
        <v>0</v>
      </c>
      <c r="W390" s="2">
        <f>M390 - V390</f>
        <v>0</v>
      </c>
      <c r="X390" s="2">
        <f>IFERROR(W390 / M390 * 100, 0)</f>
        <v>0</v>
      </c>
    </row>
    <row r="391" spans="1:24">
      <c r="A391" t="s">
        <v>4535</v>
      </c>
      <c r="B391" t="s">
        <v>512</v>
      </c>
      <c r="C391" t="s">
        <v>5203</v>
      </c>
      <c r="D391" t="s">
        <v>1008</v>
      </c>
      <c r="E391" t="s">
        <v>5482</v>
      </c>
      <c r="F391" t="s">
        <v>5872</v>
      </c>
      <c r="G391">
        <v>12.5</v>
      </c>
      <c r="H391">
        <v>0</v>
      </c>
      <c r="I391">
        <v>0</v>
      </c>
      <c r="J391">
        <v>8</v>
      </c>
      <c r="K391">
        <v>100</v>
      </c>
      <c r="L391">
        <v>0</v>
      </c>
      <c r="M391">
        <v>0</v>
      </c>
      <c r="N391">
        <v>0</v>
      </c>
      <c r="O391">
        <v>0</v>
      </c>
      <c r="P391" s="2">
        <f>(H391 + J391) - (L391 + N391)</f>
        <v>0</v>
      </c>
      <c r="Q391" s="2">
        <f>P391 * G391</f>
        <v>0</v>
      </c>
      <c r="R391">
        <v>0</v>
      </c>
      <c r="S391" s="2">
        <f>R391 * G391</f>
        <v>0</v>
      </c>
      <c r="T391" s="2">
        <f>(H391 + J391) - (L391 + N391) - R391</f>
        <v>0</v>
      </c>
      <c r="U391" s="2">
        <f>T391 * G391</f>
        <v>0</v>
      </c>
      <c r="V391" s="2">
        <f>I391 + K391 - S391</f>
        <v>0</v>
      </c>
      <c r="W391" s="2">
        <f>M391 - V391</f>
        <v>0</v>
      </c>
      <c r="X391" s="2">
        <f>IFERROR(W391 / M391 * 100, 0)</f>
        <v>0</v>
      </c>
    </row>
    <row r="392" spans="1:24">
      <c r="A392" t="s">
        <v>4536</v>
      </c>
      <c r="B392" t="s">
        <v>512</v>
      </c>
      <c r="C392" t="s">
        <v>5204</v>
      </c>
      <c r="D392" t="s">
        <v>1008</v>
      </c>
      <c r="E392" t="s">
        <v>5482</v>
      </c>
      <c r="F392" t="s">
        <v>5873</v>
      </c>
      <c r="G392">
        <v>0.71</v>
      </c>
      <c r="H392">
        <v>0</v>
      </c>
      <c r="I392">
        <v>0</v>
      </c>
      <c r="J392">
        <v>516</v>
      </c>
      <c r="K392">
        <v>365.5</v>
      </c>
      <c r="L392">
        <v>0</v>
      </c>
      <c r="M392">
        <v>0</v>
      </c>
      <c r="N392">
        <v>0</v>
      </c>
      <c r="O392">
        <v>0</v>
      </c>
      <c r="P392" s="2">
        <f>(H392 + J392) - (L392 + N392)</f>
        <v>0</v>
      </c>
      <c r="Q392" s="2">
        <f>P392 * G392</f>
        <v>0</v>
      </c>
      <c r="R392">
        <v>0</v>
      </c>
      <c r="S392" s="2">
        <f>R392 * G392</f>
        <v>0</v>
      </c>
      <c r="T392" s="2">
        <f>(H392 + J392) - (L392 + N392) - R392</f>
        <v>0</v>
      </c>
      <c r="U392" s="2">
        <f>T392 * G392</f>
        <v>0</v>
      </c>
      <c r="V392" s="2">
        <f>I392 + K392 - S392</f>
        <v>0</v>
      </c>
      <c r="W392" s="2">
        <f>M392 - V392</f>
        <v>0</v>
      </c>
      <c r="X392" s="2">
        <f>IFERROR(W392 / M392 * 100, 0)</f>
        <v>0</v>
      </c>
    </row>
    <row r="393" spans="1:24">
      <c r="A393" t="s">
        <v>4537</v>
      </c>
      <c r="B393" t="s">
        <v>513</v>
      </c>
      <c r="C393" t="s">
        <v>5205</v>
      </c>
      <c r="D393" t="s">
        <v>1008</v>
      </c>
      <c r="E393" t="s">
        <v>5482</v>
      </c>
      <c r="F393" t="s">
        <v>5874</v>
      </c>
      <c r="G393">
        <v>3.33</v>
      </c>
      <c r="H393">
        <v>34</v>
      </c>
      <c r="I393">
        <v>113.01</v>
      </c>
      <c r="J393">
        <v>160</v>
      </c>
      <c r="K393">
        <v>468.55</v>
      </c>
      <c r="L393">
        <v>146</v>
      </c>
      <c r="M393">
        <v>839.5</v>
      </c>
      <c r="N393">
        <v>0</v>
      </c>
      <c r="O393">
        <v>0</v>
      </c>
      <c r="P393" s="2">
        <f>(H393 + J393) - (L393 + N393)</f>
        <v>0</v>
      </c>
      <c r="Q393" s="2">
        <f>P393 * G393</f>
        <v>0</v>
      </c>
      <c r="R393">
        <v>43</v>
      </c>
      <c r="S393" s="2">
        <f>R393 * G393</f>
        <v>0</v>
      </c>
      <c r="T393" s="2">
        <f>(H393 + J393) - (L393 + N393) - R393</f>
        <v>0</v>
      </c>
      <c r="U393" s="2">
        <f>T393 * G393</f>
        <v>0</v>
      </c>
      <c r="V393" s="2">
        <f>I393 + K393 - S393</f>
        <v>0</v>
      </c>
      <c r="W393" s="2">
        <f>M393 - V393</f>
        <v>0</v>
      </c>
      <c r="X393" s="2">
        <f>IFERROR(W393 / M393 * 100, 0)</f>
        <v>0</v>
      </c>
    </row>
    <row r="394" spans="1:24">
      <c r="A394" t="s">
        <v>4538</v>
      </c>
      <c r="B394" t="s">
        <v>513</v>
      </c>
      <c r="C394" t="s">
        <v>5206</v>
      </c>
      <c r="D394" t="s">
        <v>1008</v>
      </c>
      <c r="E394" t="s">
        <v>5482</v>
      </c>
      <c r="F394" t="s">
        <v>5875</v>
      </c>
      <c r="G394">
        <v>1.7</v>
      </c>
      <c r="H394">
        <v>14</v>
      </c>
      <c r="I394">
        <v>20.15</v>
      </c>
      <c r="J394">
        <v>82</v>
      </c>
      <c r="K394">
        <v>119.41</v>
      </c>
      <c r="L394">
        <v>56</v>
      </c>
      <c r="M394">
        <v>210</v>
      </c>
      <c r="N394">
        <v>0</v>
      </c>
      <c r="O394">
        <v>0</v>
      </c>
      <c r="P394" s="2">
        <f>(H394 + J394) - (L394 + N394)</f>
        <v>0</v>
      </c>
      <c r="Q394" s="2">
        <f>P394 * G394</f>
        <v>0</v>
      </c>
      <c r="R394">
        <v>12</v>
      </c>
      <c r="S394" s="2">
        <f>R394 * G394</f>
        <v>0</v>
      </c>
      <c r="T394" s="2">
        <f>(H394 + J394) - (L394 + N394) - R394</f>
        <v>0</v>
      </c>
      <c r="U394" s="2">
        <f>T394 * G394</f>
        <v>0</v>
      </c>
      <c r="V394" s="2">
        <f>I394 + K394 - S394</f>
        <v>0</v>
      </c>
      <c r="W394" s="2">
        <f>M394 - V394</f>
        <v>0</v>
      </c>
      <c r="X394" s="2">
        <f>IFERROR(W394 / M394 * 100, 0)</f>
        <v>0</v>
      </c>
    </row>
    <row r="395" spans="1:24">
      <c r="A395" t="s">
        <v>4539</v>
      </c>
      <c r="B395" t="s">
        <v>513</v>
      </c>
      <c r="C395" t="s">
        <v>5207</v>
      </c>
      <c r="D395" t="s">
        <v>1008</v>
      </c>
      <c r="E395" t="s">
        <v>5482</v>
      </c>
      <c r="F395" t="s">
        <v>5876</v>
      </c>
      <c r="G395">
        <v>1.73</v>
      </c>
      <c r="H395">
        <v>0</v>
      </c>
      <c r="I395">
        <v>0</v>
      </c>
      <c r="J395">
        <v>256</v>
      </c>
      <c r="K395">
        <v>427.88</v>
      </c>
      <c r="L395">
        <v>219</v>
      </c>
      <c r="M395">
        <v>1423.5</v>
      </c>
      <c r="N395">
        <v>6</v>
      </c>
      <c r="O395">
        <v>10.56</v>
      </c>
      <c r="P395" s="2">
        <f>(H395 + J395) - (L395 + N395)</f>
        <v>0</v>
      </c>
      <c r="Q395" s="2">
        <f>P395 * G395</f>
        <v>0</v>
      </c>
      <c r="R395">
        <v>0</v>
      </c>
      <c r="S395" s="2">
        <f>R395 * G395</f>
        <v>0</v>
      </c>
      <c r="T395" s="2">
        <f>(H395 + J395) - (L395 + N395) - R395</f>
        <v>0</v>
      </c>
      <c r="U395" s="2">
        <f>T395 * G395</f>
        <v>0</v>
      </c>
      <c r="V395" s="2">
        <f>I395 + K395 - S395</f>
        <v>0</v>
      </c>
      <c r="W395" s="2">
        <f>M395 - V395</f>
        <v>0</v>
      </c>
      <c r="X395" s="2">
        <f>IFERROR(W395 / M395 * 100, 0)</f>
        <v>0</v>
      </c>
    </row>
    <row r="396" spans="1:24">
      <c r="A396" t="s">
        <v>4540</v>
      </c>
      <c r="B396" t="s">
        <v>513</v>
      </c>
      <c r="C396" t="s">
        <v>5208</v>
      </c>
      <c r="D396" t="s">
        <v>1008</v>
      </c>
      <c r="E396" t="s">
        <v>5482</v>
      </c>
      <c r="F396" t="s">
        <v>5877</v>
      </c>
      <c r="G396">
        <v>1.37</v>
      </c>
      <c r="H396">
        <v>0</v>
      </c>
      <c r="I396">
        <v>0</v>
      </c>
      <c r="J396">
        <v>145</v>
      </c>
      <c r="K396">
        <v>13.55</v>
      </c>
      <c r="L396">
        <v>107</v>
      </c>
      <c r="M396">
        <v>347.75</v>
      </c>
      <c r="N396">
        <v>15</v>
      </c>
      <c r="O396">
        <v>21.05</v>
      </c>
      <c r="P396" s="2">
        <f>(H396 + J396) - (L396 + N396)</f>
        <v>0</v>
      </c>
      <c r="Q396" s="2">
        <f>P396 * G396</f>
        <v>0</v>
      </c>
      <c r="R396">
        <v>0</v>
      </c>
      <c r="S396" s="2">
        <f>R396 * G396</f>
        <v>0</v>
      </c>
      <c r="T396" s="2">
        <f>(H396 + J396) - (L396 + N396) - R396</f>
        <v>0</v>
      </c>
      <c r="U396" s="2">
        <f>T396 * G396</f>
        <v>0</v>
      </c>
      <c r="V396" s="2">
        <f>I396 + K396 - S396</f>
        <v>0</v>
      </c>
      <c r="W396" s="2">
        <f>M396 - V396</f>
        <v>0</v>
      </c>
      <c r="X396" s="2">
        <f>IFERROR(W396 / M396 * 100, 0)</f>
        <v>0</v>
      </c>
    </row>
    <row r="397" spans="1:24">
      <c r="A397" t="s">
        <v>4541</v>
      </c>
      <c r="B397" t="s">
        <v>513</v>
      </c>
      <c r="C397" t="s">
        <v>5209</v>
      </c>
      <c r="D397" t="s">
        <v>1008</v>
      </c>
      <c r="E397" t="s">
        <v>5482</v>
      </c>
      <c r="F397" t="s">
        <v>5878</v>
      </c>
      <c r="G397">
        <v>2.28</v>
      </c>
      <c r="H397">
        <v>164</v>
      </c>
      <c r="I397">
        <v>387.97</v>
      </c>
      <c r="J397">
        <v>315</v>
      </c>
      <c r="K397">
        <v>591.64</v>
      </c>
      <c r="L397">
        <v>131</v>
      </c>
      <c r="M397">
        <v>524</v>
      </c>
      <c r="N397">
        <v>0</v>
      </c>
      <c r="O397">
        <v>0</v>
      </c>
      <c r="P397" s="2">
        <f>(H397 + J397) - (L397 + N397)</f>
        <v>0</v>
      </c>
      <c r="Q397" s="2">
        <f>P397 * G397</f>
        <v>0</v>
      </c>
      <c r="R397">
        <v>121</v>
      </c>
      <c r="S397" s="2">
        <f>R397 * G397</f>
        <v>0</v>
      </c>
      <c r="T397" s="2">
        <f>(H397 + J397) - (L397 + N397) - R397</f>
        <v>0</v>
      </c>
      <c r="U397" s="2">
        <f>T397 * G397</f>
        <v>0</v>
      </c>
      <c r="V397" s="2">
        <f>I397 + K397 - S397</f>
        <v>0</v>
      </c>
      <c r="W397" s="2">
        <f>M397 - V397</f>
        <v>0</v>
      </c>
      <c r="X397" s="2">
        <f>IFERROR(W397 / M397 * 100, 0)</f>
        <v>0</v>
      </c>
    </row>
    <row r="398" spans="1:24">
      <c r="A398" t="s">
        <v>4542</v>
      </c>
      <c r="B398" t="s">
        <v>513</v>
      </c>
      <c r="C398" t="s">
        <v>5210</v>
      </c>
      <c r="D398" t="s">
        <v>1008</v>
      </c>
      <c r="E398" t="s">
        <v>5482</v>
      </c>
      <c r="F398" t="s">
        <v>5879</v>
      </c>
      <c r="G398">
        <v>3.81</v>
      </c>
      <c r="H398">
        <v>0</v>
      </c>
      <c r="I398">
        <v>0</v>
      </c>
      <c r="J398">
        <v>429</v>
      </c>
      <c r="K398">
        <v>1557.92</v>
      </c>
      <c r="L398">
        <v>408</v>
      </c>
      <c r="M398">
        <v>2917.5</v>
      </c>
      <c r="N398">
        <v>8</v>
      </c>
      <c r="O398">
        <v>31.28</v>
      </c>
      <c r="P398" s="2">
        <f>(H398 + J398) - (L398 + N398)</f>
        <v>0</v>
      </c>
      <c r="Q398" s="2">
        <f>P398 * G398</f>
        <v>0</v>
      </c>
      <c r="R398">
        <v>0</v>
      </c>
      <c r="S398" s="2">
        <f>R398 * G398</f>
        <v>0</v>
      </c>
      <c r="T398" s="2">
        <f>(H398 + J398) - (L398 + N398) - R398</f>
        <v>0</v>
      </c>
      <c r="U398" s="2">
        <f>T398 * G398</f>
        <v>0</v>
      </c>
      <c r="V398" s="2">
        <f>I398 + K398 - S398</f>
        <v>0</v>
      </c>
      <c r="W398" s="2">
        <f>M398 - V398</f>
        <v>0</v>
      </c>
      <c r="X398" s="2">
        <f>IFERROR(W398 / M398 * 100, 0)</f>
        <v>0</v>
      </c>
    </row>
    <row r="399" spans="1:24">
      <c r="A399" t="s">
        <v>4543</v>
      </c>
      <c r="B399" t="s">
        <v>513</v>
      </c>
      <c r="C399" t="s">
        <v>5211</v>
      </c>
      <c r="D399" t="s">
        <v>1007</v>
      </c>
      <c r="E399" t="s">
        <v>5482</v>
      </c>
      <c r="F399" t="s">
        <v>5880</v>
      </c>
      <c r="G399">
        <v>5.35</v>
      </c>
      <c r="H399">
        <v>6.2</v>
      </c>
      <c r="I399">
        <v>28.47</v>
      </c>
      <c r="J399">
        <v>12.55</v>
      </c>
      <c r="K399">
        <v>2.15</v>
      </c>
      <c r="L399">
        <v>56.98</v>
      </c>
      <c r="M399">
        <v>1424.99</v>
      </c>
      <c r="N399">
        <v>0</v>
      </c>
      <c r="O399">
        <v>0</v>
      </c>
      <c r="P399" s="2">
        <f>(H399 + J399) - (L399 + N399)</f>
        <v>0</v>
      </c>
      <c r="Q399" s="2">
        <f>P399 * G399</f>
        <v>0</v>
      </c>
      <c r="R399">
        <v>28.87</v>
      </c>
      <c r="S399" s="2">
        <f>R399 * G399</f>
        <v>0</v>
      </c>
      <c r="T399" s="2">
        <f>(H399 + J399) - (L399 + N399) - R399</f>
        <v>0</v>
      </c>
      <c r="U399" s="2">
        <f>T399 * G399</f>
        <v>0</v>
      </c>
      <c r="V399" s="2">
        <f>I399 + K399 - S399</f>
        <v>0</v>
      </c>
      <c r="W399" s="2">
        <f>M399 - V399</f>
        <v>0</v>
      </c>
      <c r="X399" s="2">
        <f>IFERROR(W399 / M399 * 100, 0)</f>
        <v>0</v>
      </c>
    </row>
    <row r="400" spans="1:24">
      <c r="A400" t="s">
        <v>4544</v>
      </c>
      <c r="B400" t="s">
        <v>513</v>
      </c>
      <c r="C400" t="s">
        <v>5212</v>
      </c>
      <c r="D400" t="s">
        <v>1008</v>
      </c>
      <c r="E400" t="s">
        <v>5482</v>
      </c>
      <c r="F400" t="s">
        <v>5881</v>
      </c>
      <c r="G400">
        <v>3.24</v>
      </c>
      <c r="H400">
        <v>14</v>
      </c>
      <c r="I400">
        <v>47.05</v>
      </c>
      <c r="J400">
        <v>165</v>
      </c>
      <c r="K400">
        <v>489.73</v>
      </c>
      <c r="L400">
        <v>85</v>
      </c>
      <c r="M400">
        <v>510</v>
      </c>
      <c r="N400">
        <v>0</v>
      </c>
      <c r="O400">
        <v>0</v>
      </c>
      <c r="P400" s="2">
        <f>(H400 + J400) - (L400 + N400)</f>
        <v>0</v>
      </c>
      <c r="Q400" s="2">
        <f>P400 * G400</f>
        <v>0</v>
      </c>
      <c r="R400">
        <v>17</v>
      </c>
      <c r="S400" s="2">
        <f>R400 * G400</f>
        <v>0</v>
      </c>
      <c r="T400" s="2">
        <f>(H400 + J400) - (L400 + N400) - R400</f>
        <v>0</v>
      </c>
      <c r="U400" s="2">
        <f>T400 * G400</f>
        <v>0</v>
      </c>
      <c r="V400" s="2">
        <f>I400 + K400 - S400</f>
        <v>0</v>
      </c>
      <c r="W400" s="2">
        <f>M400 - V400</f>
        <v>0</v>
      </c>
      <c r="X400" s="2">
        <f>IFERROR(W400 / M400 * 100, 0)</f>
        <v>0</v>
      </c>
    </row>
    <row r="401" spans="1:24">
      <c r="A401" t="s">
        <v>4545</v>
      </c>
      <c r="B401" t="s">
        <v>513</v>
      </c>
      <c r="C401" t="s">
        <v>5213</v>
      </c>
      <c r="D401" t="s">
        <v>1008</v>
      </c>
      <c r="E401" t="s">
        <v>5482</v>
      </c>
      <c r="F401" t="s">
        <v>5882</v>
      </c>
      <c r="G401">
        <v>1.89</v>
      </c>
      <c r="H401">
        <v>33</v>
      </c>
      <c r="I401">
        <v>61.35</v>
      </c>
      <c r="J401">
        <v>86</v>
      </c>
      <c r="K401">
        <v>-141.69</v>
      </c>
      <c r="L401">
        <v>114</v>
      </c>
      <c r="M401">
        <v>684</v>
      </c>
      <c r="N401">
        <v>2</v>
      </c>
      <c r="O401">
        <v>3.68</v>
      </c>
      <c r="P401" s="2">
        <f>(H401 + J401) - (L401 + N401)</f>
        <v>0</v>
      </c>
      <c r="Q401" s="2">
        <f>P401 * G401</f>
        <v>0</v>
      </c>
      <c r="R401">
        <v>23</v>
      </c>
      <c r="S401" s="2">
        <f>R401 * G401</f>
        <v>0</v>
      </c>
      <c r="T401" s="2">
        <f>(H401 + J401) - (L401 + N401) - R401</f>
        <v>0</v>
      </c>
      <c r="U401" s="2">
        <f>T401 * G401</f>
        <v>0</v>
      </c>
      <c r="V401" s="2">
        <f>I401 + K401 - S401</f>
        <v>0</v>
      </c>
      <c r="W401" s="2">
        <f>M401 - V401</f>
        <v>0</v>
      </c>
      <c r="X401" s="2">
        <f>IFERROR(W401 / M401 * 100, 0)</f>
        <v>0</v>
      </c>
    </row>
    <row r="402" spans="1:24">
      <c r="A402" t="s">
        <v>4546</v>
      </c>
      <c r="B402" t="s">
        <v>513</v>
      </c>
      <c r="C402" t="s">
        <v>5214</v>
      </c>
      <c r="D402" t="s">
        <v>1008</v>
      </c>
      <c r="E402" t="s">
        <v>5482</v>
      </c>
      <c r="F402" t="s">
        <v>5883</v>
      </c>
      <c r="G402">
        <v>1.77</v>
      </c>
      <c r="H402">
        <v>0</v>
      </c>
      <c r="I402">
        <v>0</v>
      </c>
      <c r="J402">
        <v>416</v>
      </c>
      <c r="K402">
        <v>700.87</v>
      </c>
      <c r="L402">
        <v>362</v>
      </c>
      <c r="M402">
        <v>1267</v>
      </c>
      <c r="N402">
        <v>11</v>
      </c>
      <c r="O402">
        <v>20.49</v>
      </c>
      <c r="P402" s="2">
        <f>(H402 + J402) - (L402 + N402)</f>
        <v>0</v>
      </c>
      <c r="Q402" s="2">
        <f>P402 * G402</f>
        <v>0</v>
      </c>
      <c r="R402">
        <v>0</v>
      </c>
      <c r="S402" s="2">
        <f>R402 * G402</f>
        <v>0</v>
      </c>
      <c r="T402" s="2">
        <f>(H402 + J402) - (L402 + N402) - R402</f>
        <v>0</v>
      </c>
      <c r="U402" s="2">
        <f>T402 * G402</f>
        <v>0</v>
      </c>
      <c r="V402" s="2">
        <f>I402 + K402 - S402</f>
        <v>0</v>
      </c>
      <c r="W402" s="2">
        <f>M402 - V402</f>
        <v>0</v>
      </c>
      <c r="X402" s="2">
        <f>IFERROR(W402 / M402 * 100, 0)</f>
        <v>0</v>
      </c>
    </row>
    <row r="403" spans="1:24">
      <c r="A403" t="s">
        <v>4547</v>
      </c>
      <c r="B403" t="s">
        <v>513</v>
      </c>
      <c r="C403" t="s">
        <v>5215</v>
      </c>
      <c r="D403" t="s">
        <v>1008</v>
      </c>
      <c r="E403" t="s">
        <v>5482</v>
      </c>
      <c r="F403" t="s">
        <v>5884</v>
      </c>
      <c r="G403">
        <v>1.25</v>
      </c>
      <c r="H403">
        <v>0</v>
      </c>
      <c r="I403">
        <v>0</v>
      </c>
      <c r="J403">
        <v>93</v>
      </c>
      <c r="K403">
        <v>86.16</v>
      </c>
      <c r="L403">
        <v>43</v>
      </c>
      <c r="M403">
        <v>118.25</v>
      </c>
      <c r="N403">
        <v>6</v>
      </c>
      <c r="O403">
        <v>7.56</v>
      </c>
      <c r="P403" s="2">
        <f>(H403 + J403) - (L403 + N403)</f>
        <v>0</v>
      </c>
      <c r="Q403" s="2">
        <f>P403 * G403</f>
        <v>0</v>
      </c>
      <c r="R403">
        <v>0</v>
      </c>
      <c r="S403" s="2">
        <f>R403 * G403</f>
        <v>0</v>
      </c>
      <c r="T403" s="2">
        <f>(H403 + J403) - (L403 + N403) - R403</f>
        <v>0</v>
      </c>
      <c r="U403" s="2">
        <f>T403 * G403</f>
        <v>0</v>
      </c>
      <c r="V403" s="2">
        <f>I403 + K403 - S403</f>
        <v>0</v>
      </c>
      <c r="W403" s="2">
        <f>M403 - V403</f>
        <v>0</v>
      </c>
      <c r="X403" s="2">
        <f>IFERROR(W403 / M403 * 100, 0)</f>
        <v>0</v>
      </c>
    </row>
    <row r="404" spans="1:24">
      <c r="A404" t="s">
        <v>4548</v>
      </c>
      <c r="B404" t="s">
        <v>513</v>
      </c>
      <c r="C404" t="s">
        <v>5216</v>
      </c>
      <c r="D404" t="s">
        <v>1007</v>
      </c>
      <c r="E404" t="s">
        <v>5482</v>
      </c>
      <c r="F404" t="s">
        <v>5885</v>
      </c>
      <c r="G404">
        <v>15.42</v>
      </c>
      <c r="H404">
        <v>3.8</v>
      </c>
      <c r="I404">
        <v>48.94</v>
      </c>
      <c r="J404">
        <v>29.2</v>
      </c>
      <c r="K404">
        <v>182.1</v>
      </c>
      <c r="L404">
        <v>31.02</v>
      </c>
      <c r="M404">
        <v>652.3200000000001</v>
      </c>
      <c r="N404">
        <v>0</v>
      </c>
      <c r="O404">
        <v>0</v>
      </c>
      <c r="P404" s="2">
        <f>(H404 + J404) - (L404 + N404)</f>
        <v>0</v>
      </c>
      <c r="Q404" s="2">
        <f>P404 * G404</f>
        <v>0</v>
      </c>
      <c r="R404">
        <v>5.3</v>
      </c>
      <c r="S404" s="2">
        <f>R404 * G404</f>
        <v>0</v>
      </c>
      <c r="T404" s="2">
        <f>(H404 + J404) - (L404 + N404) - R404</f>
        <v>0</v>
      </c>
      <c r="U404" s="2">
        <f>T404 * G404</f>
        <v>0</v>
      </c>
      <c r="V404" s="2">
        <f>I404 + K404 - S404</f>
        <v>0</v>
      </c>
      <c r="W404" s="2">
        <f>M404 - V404</f>
        <v>0</v>
      </c>
      <c r="X404" s="2">
        <f>IFERROR(W404 / M404 * 100, 0)</f>
        <v>0</v>
      </c>
    </row>
    <row r="405" spans="1:24">
      <c r="A405" t="s">
        <v>4549</v>
      </c>
      <c r="B405" t="s">
        <v>513</v>
      </c>
      <c r="C405" t="s">
        <v>5217</v>
      </c>
      <c r="D405" t="s">
        <v>1008</v>
      </c>
      <c r="E405" t="s">
        <v>5482</v>
      </c>
      <c r="F405" t="s">
        <v>5886</v>
      </c>
      <c r="G405">
        <v>0.9399999999999999</v>
      </c>
      <c r="H405">
        <v>2</v>
      </c>
      <c r="I405">
        <v>1.9</v>
      </c>
      <c r="J405">
        <v>150</v>
      </c>
      <c r="K405">
        <v>141.59</v>
      </c>
      <c r="L405">
        <v>101</v>
      </c>
      <c r="M405">
        <v>252.5</v>
      </c>
      <c r="N405">
        <v>0</v>
      </c>
      <c r="O405">
        <v>0</v>
      </c>
      <c r="P405" s="2">
        <f>(H405 + J405) - (L405 + N405)</f>
        <v>0</v>
      </c>
      <c r="Q405" s="2">
        <f>P405 * G405</f>
        <v>0</v>
      </c>
      <c r="R405">
        <v>3</v>
      </c>
      <c r="S405" s="2">
        <f>R405 * G405</f>
        <v>0</v>
      </c>
      <c r="T405" s="2">
        <f>(H405 + J405) - (L405 + N405) - R405</f>
        <v>0</v>
      </c>
      <c r="U405" s="2">
        <f>T405 * G405</f>
        <v>0</v>
      </c>
      <c r="V405" s="2">
        <f>I405 + K405 - S405</f>
        <v>0</v>
      </c>
      <c r="W405" s="2">
        <f>M405 - V405</f>
        <v>0</v>
      </c>
      <c r="X405" s="2">
        <f>IFERROR(W405 / M405 * 100, 0)</f>
        <v>0</v>
      </c>
    </row>
    <row r="406" spans="1:24">
      <c r="A406" t="s">
        <v>4550</v>
      </c>
      <c r="B406" t="s">
        <v>513</v>
      </c>
      <c r="C406" t="s">
        <v>5218</v>
      </c>
      <c r="D406" t="s">
        <v>1008</v>
      </c>
      <c r="E406" t="s">
        <v>5482</v>
      </c>
      <c r="F406" t="s">
        <v>5887</v>
      </c>
      <c r="G406">
        <v>14.31</v>
      </c>
      <c r="H406">
        <v>3</v>
      </c>
      <c r="I406">
        <v>41.48</v>
      </c>
      <c r="J406">
        <v>25</v>
      </c>
      <c r="K406">
        <v>359.15</v>
      </c>
      <c r="L406">
        <v>12</v>
      </c>
      <c r="M406">
        <v>780</v>
      </c>
      <c r="N406">
        <v>0</v>
      </c>
      <c r="O406">
        <v>0</v>
      </c>
      <c r="P406" s="2">
        <f>(H406 + J406) - (L406 + N406)</f>
        <v>0</v>
      </c>
      <c r="Q406" s="2">
        <f>P406 * G406</f>
        <v>0</v>
      </c>
      <c r="R406">
        <v>1</v>
      </c>
      <c r="S406" s="2">
        <f>R406 * G406</f>
        <v>0</v>
      </c>
      <c r="T406" s="2">
        <f>(H406 + J406) - (L406 + N406) - R406</f>
        <v>0</v>
      </c>
      <c r="U406" s="2">
        <f>T406 * G406</f>
        <v>0</v>
      </c>
      <c r="V406" s="2">
        <f>I406 + K406 - S406</f>
        <v>0</v>
      </c>
      <c r="W406" s="2">
        <f>M406 - V406</f>
        <v>0</v>
      </c>
      <c r="X406" s="2">
        <f>IFERROR(W406 / M406 * 100, 0)</f>
        <v>0</v>
      </c>
    </row>
    <row r="407" spans="1:24">
      <c r="A407" t="s">
        <v>4551</v>
      </c>
      <c r="B407" t="s">
        <v>513</v>
      </c>
      <c r="C407" t="s">
        <v>5219</v>
      </c>
      <c r="D407" t="s">
        <v>1008</v>
      </c>
      <c r="E407" t="s">
        <v>5482</v>
      </c>
      <c r="F407" t="s">
        <v>5888</v>
      </c>
      <c r="G407">
        <v>0.7</v>
      </c>
      <c r="H407">
        <v>8</v>
      </c>
      <c r="I407">
        <v>5.84</v>
      </c>
      <c r="J407">
        <v>152</v>
      </c>
      <c r="K407">
        <v>96.48999999999999</v>
      </c>
      <c r="L407">
        <v>142</v>
      </c>
      <c r="M407">
        <v>284</v>
      </c>
      <c r="N407">
        <v>5</v>
      </c>
      <c r="O407">
        <v>3.56</v>
      </c>
      <c r="P407" s="2">
        <f>(H407 + J407) - (L407 + N407)</f>
        <v>0</v>
      </c>
      <c r="Q407" s="2">
        <f>P407 * G407</f>
        <v>0</v>
      </c>
      <c r="R407">
        <v>6</v>
      </c>
      <c r="S407" s="2">
        <f>R407 * G407</f>
        <v>0</v>
      </c>
      <c r="T407" s="2">
        <f>(H407 + J407) - (L407 + N407) - R407</f>
        <v>0</v>
      </c>
      <c r="U407" s="2">
        <f>T407 * G407</f>
        <v>0</v>
      </c>
      <c r="V407" s="2">
        <f>I407 + K407 - S407</f>
        <v>0</v>
      </c>
      <c r="W407" s="2">
        <f>M407 - V407</f>
        <v>0</v>
      </c>
      <c r="X407" s="2">
        <f>IFERROR(W407 / M407 * 100, 0)</f>
        <v>0</v>
      </c>
    </row>
    <row r="408" spans="1:24">
      <c r="A408" t="s">
        <v>4552</v>
      </c>
      <c r="B408" t="s">
        <v>513</v>
      </c>
      <c r="C408" t="s">
        <v>5220</v>
      </c>
      <c r="D408" t="s">
        <v>1008</v>
      </c>
      <c r="E408" t="s">
        <v>5482</v>
      </c>
      <c r="F408" t="s">
        <v>5889</v>
      </c>
      <c r="G408">
        <v>0.8</v>
      </c>
      <c r="H408">
        <v>20</v>
      </c>
      <c r="I408">
        <v>15.97</v>
      </c>
      <c r="J408">
        <v>80</v>
      </c>
      <c r="K408">
        <v>63.86</v>
      </c>
      <c r="L408">
        <v>49</v>
      </c>
      <c r="M408">
        <v>220.5</v>
      </c>
      <c r="N408">
        <v>0</v>
      </c>
      <c r="O408">
        <v>0</v>
      </c>
      <c r="P408" s="2">
        <f>(H408 + J408) - (L408 + N408)</f>
        <v>0</v>
      </c>
      <c r="Q408" s="2">
        <f>P408 * G408</f>
        <v>0</v>
      </c>
      <c r="R408">
        <v>28</v>
      </c>
      <c r="S408" s="2">
        <f>R408 * G408</f>
        <v>0</v>
      </c>
      <c r="T408" s="2">
        <f>(H408 + J408) - (L408 + N408) - R408</f>
        <v>0</v>
      </c>
      <c r="U408" s="2">
        <f>T408 * G408</f>
        <v>0</v>
      </c>
      <c r="V408" s="2">
        <f>I408 + K408 - S408</f>
        <v>0</v>
      </c>
      <c r="W408" s="2">
        <f>M408 - V408</f>
        <v>0</v>
      </c>
      <c r="X408" s="2">
        <f>IFERROR(W408 / M408 * 100, 0)</f>
        <v>0</v>
      </c>
    </row>
    <row r="409" spans="1:24">
      <c r="A409" t="s">
        <v>4553</v>
      </c>
      <c r="B409" t="s">
        <v>513</v>
      </c>
      <c r="C409" t="s">
        <v>5221</v>
      </c>
      <c r="D409" t="s">
        <v>1008</v>
      </c>
      <c r="E409" t="s">
        <v>5482</v>
      </c>
      <c r="F409" t="s">
        <v>5890</v>
      </c>
      <c r="G409">
        <v>0.8100000000000001</v>
      </c>
      <c r="H409">
        <v>0</v>
      </c>
      <c r="I409">
        <v>0</v>
      </c>
      <c r="J409">
        <v>528</v>
      </c>
      <c r="K409">
        <v>236.07</v>
      </c>
      <c r="L409">
        <v>516</v>
      </c>
      <c r="M409">
        <v>1806</v>
      </c>
      <c r="N409">
        <v>20</v>
      </c>
      <c r="O409">
        <v>16.95</v>
      </c>
      <c r="P409" s="2">
        <f>(H409 + J409) - (L409 + N409)</f>
        <v>0</v>
      </c>
      <c r="Q409" s="2">
        <f>P409 * G409</f>
        <v>0</v>
      </c>
      <c r="R409">
        <v>0</v>
      </c>
      <c r="S409" s="2">
        <f>R409 * G409</f>
        <v>0</v>
      </c>
      <c r="T409" s="2">
        <f>(H409 + J409) - (L409 + N409) - R409</f>
        <v>0</v>
      </c>
      <c r="U409" s="2">
        <f>T409 * G409</f>
        <v>0</v>
      </c>
      <c r="V409" s="2">
        <f>I409 + K409 - S409</f>
        <v>0</v>
      </c>
      <c r="W409" s="2">
        <f>M409 - V409</f>
        <v>0</v>
      </c>
      <c r="X409" s="2">
        <f>IFERROR(W409 / M409 * 100, 0)</f>
        <v>0</v>
      </c>
    </row>
    <row r="410" spans="1:24">
      <c r="A410" t="s">
        <v>4554</v>
      </c>
      <c r="B410" t="s">
        <v>513</v>
      </c>
      <c r="C410" t="s">
        <v>5222</v>
      </c>
      <c r="D410" t="s">
        <v>1008</v>
      </c>
      <c r="E410" t="s">
        <v>5482</v>
      </c>
      <c r="F410" t="s">
        <v>5891</v>
      </c>
      <c r="G410">
        <v>11.82</v>
      </c>
      <c r="H410">
        <v>2</v>
      </c>
      <c r="I410">
        <v>23.77</v>
      </c>
      <c r="J410">
        <v>9</v>
      </c>
      <c r="K410">
        <v>106.36</v>
      </c>
      <c r="L410">
        <v>10</v>
      </c>
      <c r="M410">
        <v>600</v>
      </c>
      <c r="N410">
        <v>0</v>
      </c>
      <c r="O410">
        <v>0</v>
      </c>
      <c r="P410" s="2">
        <f>(H410 + J410) - (L410 + N410)</f>
        <v>0</v>
      </c>
      <c r="Q410" s="2">
        <f>P410 * G410</f>
        <v>0</v>
      </c>
      <c r="R410">
        <v>2</v>
      </c>
      <c r="S410" s="2">
        <f>R410 * G410</f>
        <v>0</v>
      </c>
      <c r="T410" s="2">
        <f>(H410 + J410) - (L410 + N410) - R410</f>
        <v>0</v>
      </c>
      <c r="U410" s="2">
        <f>T410 * G410</f>
        <v>0</v>
      </c>
      <c r="V410" s="2">
        <f>I410 + K410 - S410</f>
        <v>0</v>
      </c>
      <c r="W410" s="2">
        <f>M410 - V410</f>
        <v>0</v>
      </c>
      <c r="X410" s="2">
        <f>IFERROR(W410 / M410 * 100, 0)</f>
        <v>0</v>
      </c>
    </row>
    <row r="411" spans="1:24">
      <c r="A411" t="s">
        <v>4555</v>
      </c>
      <c r="B411" t="s">
        <v>513</v>
      </c>
      <c r="C411" t="s">
        <v>5223</v>
      </c>
      <c r="D411" t="s">
        <v>1008</v>
      </c>
      <c r="E411" t="s">
        <v>5482</v>
      </c>
      <c r="F411" t="s">
        <v>5892</v>
      </c>
      <c r="G411">
        <v>0.42</v>
      </c>
      <c r="H411">
        <v>0</v>
      </c>
      <c r="I411">
        <v>0</v>
      </c>
      <c r="J411">
        <v>249</v>
      </c>
      <c r="K411">
        <v>-147.15</v>
      </c>
      <c r="L411">
        <v>227</v>
      </c>
      <c r="M411">
        <v>794.5</v>
      </c>
      <c r="N411">
        <v>12</v>
      </c>
      <c r="O411">
        <v>4.96</v>
      </c>
      <c r="P411" s="2">
        <f>(H411 + J411) - (L411 + N411)</f>
        <v>0</v>
      </c>
      <c r="Q411" s="2">
        <f>P411 * G411</f>
        <v>0</v>
      </c>
      <c r="R411">
        <v>0</v>
      </c>
      <c r="S411" s="2">
        <f>R411 * G411</f>
        <v>0</v>
      </c>
      <c r="T411" s="2">
        <f>(H411 + J411) - (L411 + N411) - R411</f>
        <v>0</v>
      </c>
      <c r="U411" s="2">
        <f>T411 * G411</f>
        <v>0</v>
      </c>
      <c r="V411" s="2">
        <f>I411 + K411 - S411</f>
        <v>0</v>
      </c>
      <c r="W411" s="2">
        <f>M411 - V411</f>
        <v>0</v>
      </c>
      <c r="X411" s="2">
        <f>IFERROR(W411 / M411 * 100, 0)</f>
        <v>0</v>
      </c>
    </row>
    <row r="412" spans="1:24">
      <c r="A412" t="s">
        <v>4556</v>
      </c>
      <c r="B412" t="s">
        <v>513</v>
      </c>
      <c r="C412" t="s">
        <v>5224</v>
      </c>
      <c r="D412" t="s">
        <v>1008</v>
      </c>
      <c r="E412" t="s">
        <v>5482</v>
      </c>
      <c r="F412" t="s">
        <v>5893</v>
      </c>
      <c r="G412">
        <v>7.54</v>
      </c>
      <c r="H412">
        <v>0</v>
      </c>
      <c r="I412">
        <v>0</v>
      </c>
      <c r="J412">
        <v>82</v>
      </c>
      <c r="K412">
        <v>126.88</v>
      </c>
      <c r="L412">
        <v>74</v>
      </c>
      <c r="M412">
        <v>2516</v>
      </c>
      <c r="N412">
        <v>0</v>
      </c>
      <c r="O412">
        <v>0</v>
      </c>
      <c r="P412" s="2">
        <f>(H412 + J412) - (L412 + N412)</f>
        <v>0</v>
      </c>
      <c r="Q412" s="2">
        <f>P412 * G412</f>
        <v>0</v>
      </c>
      <c r="R412">
        <v>0</v>
      </c>
      <c r="S412" s="2">
        <f>R412 * G412</f>
        <v>0</v>
      </c>
      <c r="T412" s="2">
        <f>(H412 + J412) - (L412 + N412) - R412</f>
        <v>0</v>
      </c>
      <c r="U412" s="2">
        <f>T412 * G412</f>
        <v>0</v>
      </c>
      <c r="V412" s="2">
        <f>I412 + K412 - S412</f>
        <v>0</v>
      </c>
      <c r="W412" s="2">
        <f>M412 - V412</f>
        <v>0</v>
      </c>
      <c r="X412" s="2">
        <f>IFERROR(W412 / M412 * 100, 0)</f>
        <v>0</v>
      </c>
    </row>
    <row r="413" spans="1:24">
      <c r="A413" t="s">
        <v>4557</v>
      </c>
      <c r="B413" t="s">
        <v>513</v>
      </c>
      <c r="C413" t="s">
        <v>5225</v>
      </c>
      <c r="D413" t="s">
        <v>1008</v>
      </c>
      <c r="E413" t="s">
        <v>5482</v>
      </c>
      <c r="F413" t="s">
        <v>5894</v>
      </c>
      <c r="G413">
        <v>1.04</v>
      </c>
      <c r="H413">
        <v>0</v>
      </c>
      <c r="I413">
        <v>0</v>
      </c>
      <c r="J413">
        <v>428</v>
      </c>
      <c r="K413">
        <v>-201.26</v>
      </c>
      <c r="L413">
        <v>354</v>
      </c>
      <c r="M413">
        <v>1593</v>
      </c>
      <c r="N413">
        <v>13</v>
      </c>
      <c r="O413">
        <v>14.13</v>
      </c>
      <c r="P413" s="2">
        <f>(H413 + J413) - (L413 + N413)</f>
        <v>0</v>
      </c>
      <c r="Q413" s="2">
        <f>P413 * G413</f>
        <v>0</v>
      </c>
      <c r="R413">
        <v>0</v>
      </c>
      <c r="S413" s="2">
        <f>R413 * G413</f>
        <v>0</v>
      </c>
      <c r="T413" s="2">
        <f>(H413 + J413) - (L413 + N413) - R413</f>
        <v>0</v>
      </c>
      <c r="U413" s="2">
        <f>T413 * G413</f>
        <v>0</v>
      </c>
      <c r="V413" s="2">
        <f>I413 + K413 - S413</f>
        <v>0</v>
      </c>
      <c r="W413" s="2">
        <f>M413 - V413</f>
        <v>0</v>
      </c>
      <c r="X413" s="2">
        <f>IFERROR(W413 / M413 * 100, 0)</f>
        <v>0</v>
      </c>
    </row>
    <row r="414" spans="1:24">
      <c r="A414" t="s">
        <v>4558</v>
      </c>
      <c r="B414" t="s">
        <v>513</v>
      </c>
      <c r="C414" t="s">
        <v>5226</v>
      </c>
      <c r="D414" t="s">
        <v>1008</v>
      </c>
      <c r="E414" t="s">
        <v>5482</v>
      </c>
      <c r="F414" t="s">
        <v>5895</v>
      </c>
      <c r="G414">
        <v>3.61</v>
      </c>
      <c r="H414">
        <v>47</v>
      </c>
      <c r="I414">
        <v>157.46</v>
      </c>
      <c r="J414">
        <v>199</v>
      </c>
      <c r="K414">
        <v>647.23</v>
      </c>
      <c r="L414">
        <v>196</v>
      </c>
      <c r="M414">
        <v>1103</v>
      </c>
      <c r="N414">
        <v>15</v>
      </c>
      <c r="O414">
        <v>53.94</v>
      </c>
      <c r="P414" s="2">
        <f>(H414 + J414) - (L414 + N414)</f>
        <v>0</v>
      </c>
      <c r="Q414" s="2">
        <f>P414 * G414</f>
        <v>0</v>
      </c>
      <c r="R414">
        <v>20</v>
      </c>
      <c r="S414" s="2">
        <f>R414 * G414</f>
        <v>0</v>
      </c>
      <c r="T414" s="2">
        <f>(H414 + J414) - (L414 + N414) - R414</f>
        <v>0</v>
      </c>
      <c r="U414" s="2">
        <f>T414 * G414</f>
        <v>0</v>
      </c>
      <c r="V414" s="2">
        <f>I414 + K414 - S414</f>
        <v>0</v>
      </c>
      <c r="W414" s="2">
        <f>M414 - V414</f>
        <v>0</v>
      </c>
      <c r="X414" s="2">
        <f>IFERROR(W414 / M414 * 100, 0)</f>
        <v>0</v>
      </c>
    </row>
    <row r="415" spans="1:24">
      <c r="A415" t="s">
        <v>4559</v>
      </c>
      <c r="B415" t="s">
        <v>513</v>
      </c>
      <c r="C415" t="s">
        <v>5227</v>
      </c>
      <c r="D415" t="s">
        <v>1008</v>
      </c>
      <c r="E415" t="s">
        <v>5482</v>
      </c>
      <c r="F415" t="s">
        <v>5896</v>
      </c>
      <c r="G415">
        <v>0.51</v>
      </c>
      <c r="H415">
        <v>22</v>
      </c>
      <c r="I415">
        <v>11.72</v>
      </c>
      <c r="J415">
        <v>796</v>
      </c>
      <c r="K415">
        <v>399.41</v>
      </c>
      <c r="L415">
        <v>753</v>
      </c>
      <c r="M415">
        <v>753</v>
      </c>
      <c r="N415">
        <v>33</v>
      </c>
      <c r="O415">
        <v>16.98</v>
      </c>
      <c r="P415" s="2">
        <f>(H415 + J415) - (L415 + N415)</f>
        <v>0</v>
      </c>
      <c r="Q415" s="2">
        <f>P415 * G415</f>
        <v>0</v>
      </c>
      <c r="R415">
        <v>17</v>
      </c>
      <c r="S415" s="2">
        <f>R415 * G415</f>
        <v>0</v>
      </c>
      <c r="T415" s="2">
        <f>(H415 + J415) - (L415 + N415) - R415</f>
        <v>0</v>
      </c>
      <c r="U415" s="2">
        <f>T415 * G415</f>
        <v>0</v>
      </c>
      <c r="V415" s="2">
        <f>I415 + K415 - S415</f>
        <v>0</v>
      </c>
      <c r="W415" s="2">
        <f>M415 - V415</f>
        <v>0</v>
      </c>
      <c r="X415" s="2">
        <f>IFERROR(W415 / M415 * 100, 0)</f>
        <v>0</v>
      </c>
    </row>
    <row r="416" spans="1:24">
      <c r="A416" t="s">
        <v>4560</v>
      </c>
      <c r="B416" t="s">
        <v>513</v>
      </c>
      <c r="C416" t="s">
        <v>5228</v>
      </c>
      <c r="D416" t="s">
        <v>1008</v>
      </c>
      <c r="E416" t="s">
        <v>5482</v>
      </c>
      <c r="F416" t="s">
        <v>5897</v>
      </c>
      <c r="G416">
        <v>0.78</v>
      </c>
      <c r="H416">
        <v>0</v>
      </c>
      <c r="I416">
        <v>0</v>
      </c>
      <c r="J416">
        <v>142</v>
      </c>
      <c r="K416">
        <v>111.05</v>
      </c>
      <c r="L416">
        <v>59</v>
      </c>
      <c r="M416">
        <v>118</v>
      </c>
      <c r="N416">
        <v>0</v>
      </c>
      <c r="O416">
        <v>0</v>
      </c>
      <c r="P416" s="2">
        <f>(H416 + J416) - (L416 + N416)</f>
        <v>0</v>
      </c>
      <c r="Q416" s="2">
        <f>P416 * G416</f>
        <v>0</v>
      </c>
      <c r="R416">
        <v>0</v>
      </c>
      <c r="S416" s="2">
        <f>R416 * G416</f>
        <v>0</v>
      </c>
      <c r="T416" s="2">
        <f>(H416 + J416) - (L416 + N416) - R416</f>
        <v>0</v>
      </c>
      <c r="U416" s="2">
        <f>T416 * G416</f>
        <v>0</v>
      </c>
      <c r="V416" s="2">
        <f>I416 + K416 - S416</f>
        <v>0</v>
      </c>
      <c r="W416" s="2">
        <f>M416 - V416</f>
        <v>0</v>
      </c>
      <c r="X416" s="2">
        <f>IFERROR(W416 / M416 * 100, 0)</f>
        <v>0</v>
      </c>
    </row>
    <row r="417" spans="1:24">
      <c r="A417" t="s">
        <v>4561</v>
      </c>
      <c r="B417" t="s">
        <v>513</v>
      </c>
      <c r="C417" t="s">
        <v>5229</v>
      </c>
      <c r="D417" t="s">
        <v>1008</v>
      </c>
      <c r="E417" t="s">
        <v>5482</v>
      </c>
      <c r="F417" t="s">
        <v>5898</v>
      </c>
      <c r="G417">
        <v>1.85</v>
      </c>
      <c r="H417">
        <v>0</v>
      </c>
      <c r="I417">
        <v>0</v>
      </c>
      <c r="J417">
        <v>103</v>
      </c>
      <c r="K417">
        <v>121.38</v>
      </c>
      <c r="L417">
        <v>78</v>
      </c>
      <c r="M417">
        <v>273</v>
      </c>
      <c r="N417">
        <v>22</v>
      </c>
      <c r="O417">
        <v>43.56</v>
      </c>
      <c r="P417" s="2">
        <f>(H417 + J417) - (L417 + N417)</f>
        <v>0</v>
      </c>
      <c r="Q417" s="2">
        <f>P417 * G417</f>
        <v>0</v>
      </c>
      <c r="R417">
        <v>0</v>
      </c>
      <c r="S417" s="2">
        <f>R417 * G417</f>
        <v>0</v>
      </c>
      <c r="T417" s="2">
        <f>(H417 + J417) - (L417 + N417) - R417</f>
        <v>0</v>
      </c>
      <c r="U417" s="2">
        <f>T417 * G417</f>
        <v>0</v>
      </c>
      <c r="V417" s="2">
        <f>I417 + K417 - S417</f>
        <v>0</v>
      </c>
      <c r="W417" s="2">
        <f>M417 - V417</f>
        <v>0</v>
      </c>
      <c r="X417" s="2">
        <f>IFERROR(W417 / M417 * 100, 0)</f>
        <v>0</v>
      </c>
    </row>
    <row r="418" spans="1:24">
      <c r="A418" t="s">
        <v>4562</v>
      </c>
      <c r="B418" t="s">
        <v>513</v>
      </c>
      <c r="C418" t="s">
        <v>5230</v>
      </c>
      <c r="D418" t="s">
        <v>1008</v>
      </c>
      <c r="E418" t="s">
        <v>5482</v>
      </c>
      <c r="F418" t="s">
        <v>5899</v>
      </c>
      <c r="G418">
        <v>3.72</v>
      </c>
      <c r="H418">
        <v>0</v>
      </c>
      <c r="I418">
        <v>0</v>
      </c>
      <c r="J418">
        <v>163</v>
      </c>
      <c r="K418">
        <v>575.91</v>
      </c>
      <c r="L418">
        <v>97</v>
      </c>
      <c r="M418">
        <v>630.5</v>
      </c>
      <c r="N418">
        <v>6</v>
      </c>
      <c r="O418">
        <v>22.33</v>
      </c>
      <c r="P418" s="2">
        <f>(H418 + J418) - (L418 + N418)</f>
        <v>0</v>
      </c>
      <c r="Q418" s="2">
        <f>P418 * G418</f>
        <v>0</v>
      </c>
      <c r="R418">
        <v>40</v>
      </c>
      <c r="S418" s="2">
        <f>R418 * G418</f>
        <v>0</v>
      </c>
      <c r="T418" s="2">
        <f>(H418 + J418) - (L418 + N418) - R418</f>
        <v>0</v>
      </c>
      <c r="U418" s="2">
        <f>T418 * G418</f>
        <v>0</v>
      </c>
      <c r="V418" s="2">
        <f>I418 + K418 - S418</f>
        <v>0</v>
      </c>
      <c r="W418" s="2">
        <f>M418 - V418</f>
        <v>0</v>
      </c>
      <c r="X418" s="2">
        <f>IFERROR(W418 / M418 * 100, 0)</f>
        <v>0</v>
      </c>
    </row>
    <row r="419" spans="1:24">
      <c r="A419" t="s">
        <v>4563</v>
      </c>
      <c r="B419" t="s">
        <v>513</v>
      </c>
      <c r="C419" t="s">
        <v>5231</v>
      </c>
      <c r="D419" t="s">
        <v>1008</v>
      </c>
      <c r="E419" t="s">
        <v>5482</v>
      </c>
      <c r="F419" t="s">
        <v>5900</v>
      </c>
      <c r="G419">
        <v>1.57</v>
      </c>
      <c r="H419">
        <v>13</v>
      </c>
      <c r="I419">
        <v>20.46</v>
      </c>
      <c r="J419">
        <v>125</v>
      </c>
      <c r="K419">
        <v>176.2</v>
      </c>
      <c r="L419">
        <v>96</v>
      </c>
      <c r="M419">
        <v>624</v>
      </c>
      <c r="N419">
        <v>12</v>
      </c>
      <c r="O419">
        <v>18.89</v>
      </c>
      <c r="P419" s="2">
        <f>(H419 + J419) - (L419 + N419)</f>
        <v>0</v>
      </c>
      <c r="Q419" s="2">
        <f>P419 * G419</f>
        <v>0</v>
      </c>
      <c r="R419">
        <v>33</v>
      </c>
      <c r="S419" s="2">
        <f>R419 * G419</f>
        <v>0</v>
      </c>
      <c r="T419" s="2">
        <f>(H419 + J419) - (L419 + N419) - R419</f>
        <v>0</v>
      </c>
      <c r="U419" s="2">
        <f>T419 * G419</f>
        <v>0</v>
      </c>
      <c r="V419" s="2">
        <f>I419 + K419 - S419</f>
        <v>0</v>
      </c>
      <c r="W419" s="2">
        <f>M419 - V419</f>
        <v>0</v>
      </c>
      <c r="X419" s="2">
        <f>IFERROR(W419 / M419 * 100, 0)</f>
        <v>0</v>
      </c>
    </row>
    <row r="420" spans="1:24">
      <c r="A420" t="s">
        <v>4564</v>
      </c>
      <c r="B420" t="s">
        <v>513</v>
      </c>
      <c r="C420" t="s">
        <v>5232</v>
      </c>
      <c r="D420" t="s">
        <v>1008</v>
      </c>
      <c r="E420" t="s">
        <v>5482</v>
      </c>
      <c r="F420" t="s">
        <v>5901</v>
      </c>
      <c r="G420">
        <v>5.08</v>
      </c>
      <c r="H420">
        <v>31</v>
      </c>
      <c r="I420">
        <v>144.67</v>
      </c>
      <c r="J420">
        <v>117</v>
      </c>
      <c r="K420">
        <v>595.3</v>
      </c>
      <c r="L420">
        <v>83</v>
      </c>
      <c r="M420">
        <v>498</v>
      </c>
      <c r="N420">
        <v>25</v>
      </c>
      <c r="O420">
        <v>126.7</v>
      </c>
      <c r="P420" s="2">
        <f>(H420 + J420) - (L420 + N420)</f>
        <v>0</v>
      </c>
      <c r="Q420" s="2">
        <f>P420 * G420</f>
        <v>0</v>
      </c>
      <c r="R420">
        <v>24</v>
      </c>
      <c r="S420" s="2">
        <f>R420 * G420</f>
        <v>0</v>
      </c>
      <c r="T420" s="2">
        <f>(H420 + J420) - (L420 + N420) - R420</f>
        <v>0</v>
      </c>
      <c r="U420" s="2">
        <f>T420 * G420</f>
        <v>0</v>
      </c>
      <c r="V420" s="2">
        <f>I420 + K420 - S420</f>
        <v>0</v>
      </c>
      <c r="W420" s="2">
        <f>M420 - V420</f>
        <v>0</v>
      </c>
      <c r="X420" s="2">
        <f>IFERROR(W420 / M420 * 100, 0)</f>
        <v>0</v>
      </c>
    </row>
    <row r="421" spans="1:24">
      <c r="A421" t="s">
        <v>4565</v>
      </c>
      <c r="B421" t="s">
        <v>513</v>
      </c>
      <c r="C421" t="s">
        <v>5233</v>
      </c>
      <c r="D421" t="s">
        <v>1008</v>
      </c>
      <c r="E421" t="s">
        <v>5482</v>
      </c>
      <c r="F421" t="s">
        <v>5902</v>
      </c>
      <c r="G421">
        <v>12.71</v>
      </c>
      <c r="H421">
        <v>0</v>
      </c>
      <c r="I421">
        <v>0</v>
      </c>
      <c r="J421">
        <v>23</v>
      </c>
      <c r="K421">
        <v>291.97</v>
      </c>
      <c r="L421">
        <v>11</v>
      </c>
      <c r="M421">
        <v>748</v>
      </c>
      <c r="N421">
        <v>0</v>
      </c>
      <c r="O421">
        <v>0</v>
      </c>
      <c r="P421" s="2">
        <f>(H421 + J421) - (L421 + N421)</f>
        <v>0</v>
      </c>
      <c r="Q421" s="2">
        <f>P421 * G421</f>
        <v>0</v>
      </c>
      <c r="R421">
        <v>1</v>
      </c>
      <c r="S421" s="2">
        <f>R421 * G421</f>
        <v>0</v>
      </c>
      <c r="T421" s="2">
        <f>(H421 + J421) - (L421 + N421) - R421</f>
        <v>0</v>
      </c>
      <c r="U421" s="2">
        <f>T421 * G421</f>
        <v>0</v>
      </c>
      <c r="V421" s="2">
        <f>I421 + K421 - S421</f>
        <v>0</v>
      </c>
      <c r="W421" s="2">
        <f>M421 - V421</f>
        <v>0</v>
      </c>
      <c r="X421" s="2">
        <f>IFERROR(W421 / M421 * 100, 0)</f>
        <v>0</v>
      </c>
    </row>
    <row r="422" spans="1:24">
      <c r="A422" t="s">
        <v>4566</v>
      </c>
      <c r="B422" t="s">
        <v>513</v>
      </c>
      <c r="C422" t="s">
        <v>5234</v>
      </c>
      <c r="D422" t="s">
        <v>1008</v>
      </c>
      <c r="E422" t="s">
        <v>5482</v>
      </c>
      <c r="F422" t="s">
        <v>5903</v>
      </c>
      <c r="G422">
        <v>2.89</v>
      </c>
      <c r="H422">
        <v>43</v>
      </c>
      <c r="I422">
        <v>67.54000000000001</v>
      </c>
      <c r="J422">
        <v>285</v>
      </c>
      <c r="K422">
        <v>588.65</v>
      </c>
      <c r="L422">
        <v>241</v>
      </c>
      <c r="M422">
        <v>662.75</v>
      </c>
      <c r="N422">
        <v>0</v>
      </c>
      <c r="O422">
        <v>0</v>
      </c>
      <c r="P422" s="2">
        <f>(H422 + J422) - (L422 + N422)</f>
        <v>0</v>
      </c>
      <c r="Q422" s="2">
        <f>P422 * G422</f>
        <v>0</v>
      </c>
      <c r="R422">
        <v>101</v>
      </c>
      <c r="S422" s="2">
        <f>R422 * G422</f>
        <v>0</v>
      </c>
      <c r="T422" s="2">
        <f>(H422 + J422) - (L422 + N422) - R422</f>
        <v>0</v>
      </c>
      <c r="U422" s="2">
        <f>T422 * G422</f>
        <v>0</v>
      </c>
      <c r="V422" s="2">
        <f>I422 + K422 - S422</f>
        <v>0</v>
      </c>
      <c r="W422" s="2">
        <f>M422 - V422</f>
        <v>0</v>
      </c>
      <c r="X422" s="2">
        <f>IFERROR(W422 / M422 * 100, 0)</f>
        <v>0</v>
      </c>
    </row>
    <row r="423" spans="1:24">
      <c r="A423" t="s">
        <v>4567</v>
      </c>
      <c r="B423" t="s">
        <v>513</v>
      </c>
      <c r="C423" t="s">
        <v>5235</v>
      </c>
      <c r="D423" t="s">
        <v>1008</v>
      </c>
      <c r="E423" t="s">
        <v>5482</v>
      </c>
      <c r="F423" t="s">
        <v>5904</v>
      </c>
      <c r="G423">
        <v>13.25</v>
      </c>
      <c r="H423">
        <v>0</v>
      </c>
      <c r="I423">
        <v>0</v>
      </c>
      <c r="J423">
        <v>40</v>
      </c>
      <c r="K423">
        <v>-55.82</v>
      </c>
      <c r="L423">
        <v>35</v>
      </c>
      <c r="M423">
        <v>1330</v>
      </c>
      <c r="N423">
        <v>0</v>
      </c>
      <c r="O423">
        <v>0</v>
      </c>
      <c r="P423" s="2">
        <f>(H423 + J423) - (L423 + N423)</f>
        <v>0</v>
      </c>
      <c r="Q423" s="2">
        <f>P423 * G423</f>
        <v>0</v>
      </c>
      <c r="R423">
        <v>0</v>
      </c>
      <c r="S423" s="2">
        <f>R423 * G423</f>
        <v>0</v>
      </c>
      <c r="T423" s="2">
        <f>(H423 + J423) - (L423 + N423) - R423</f>
        <v>0</v>
      </c>
      <c r="U423" s="2">
        <f>T423 * G423</f>
        <v>0</v>
      </c>
      <c r="V423" s="2">
        <f>I423 + K423 - S423</f>
        <v>0</v>
      </c>
      <c r="W423" s="2">
        <f>M423 - V423</f>
        <v>0</v>
      </c>
      <c r="X423" s="2">
        <f>IFERROR(W423 / M423 * 100, 0)</f>
        <v>0</v>
      </c>
    </row>
    <row r="424" spans="1:24">
      <c r="A424" t="s">
        <v>4568</v>
      </c>
      <c r="B424" t="s">
        <v>513</v>
      </c>
      <c r="C424" t="s">
        <v>5236</v>
      </c>
      <c r="D424" t="s">
        <v>1008</v>
      </c>
      <c r="E424" t="s">
        <v>5482</v>
      </c>
      <c r="F424" t="s">
        <v>5905</v>
      </c>
      <c r="G424">
        <v>1.89</v>
      </c>
      <c r="H424">
        <v>0</v>
      </c>
      <c r="I424">
        <v>0</v>
      </c>
      <c r="J424">
        <v>58</v>
      </c>
      <c r="K424">
        <v>109.85</v>
      </c>
      <c r="L424">
        <v>36</v>
      </c>
      <c r="M424">
        <v>180</v>
      </c>
      <c r="N424">
        <v>0</v>
      </c>
      <c r="O424">
        <v>0</v>
      </c>
      <c r="P424" s="2">
        <f>(H424 + J424) - (L424 + N424)</f>
        <v>0</v>
      </c>
      <c r="Q424" s="2">
        <f>P424 * G424</f>
        <v>0</v>
      </c>
      <c r="R424">
        <v>3</v>
      </c>
      <c r="S424" s="2">
        <f>R424 * G424</f>
        <v>0</v>
      </c>
      <c r="T424" s="2">
        <f>(H424 + J424) - (L424 + N424) - R424</f>
        <v>0</v>
      </c>
      <c r="U424" s="2">
        <f>T424 * G424</f>
        <v>0</v>
      </c>
      <c r="V424" s="2">
        <f>I424 + K424 - S424</f>
        <v>0</v>
      </c>
      <c r="W424" s="2">
        <f>M424 - V424</f>
        <v>0</v>
      </c>
      <c r="X424" s="2">
        <f>IFERROR(W424 / M424 * 100, 0)</f>
        <v>0</v>
      </c>
    </row>
    <row r="425" spans="1:24">
      <c r="A425" t="s">
        <v>4569</v>
      </c>
      <c r="B425" t="s">
        <v>513</v>
      </c>
      <c r="C425" t="s">
        <v>5237</v>
      </c>
      <c r="D425" t="s">
        <v>1008</v>
      </c>
      <c r="E425" t="s">
        <v>5482</v>
      </c>
      <c r="F425" t="s">
        <v>5906</v>
      </c>
      <c r="G425">
        <v>24.67</v>
      </c>
      <c r="H425">
        <v>3</v>
      </c>
      <c r="I425">
        <v>96.12</v>
      </c>
      <c r="J425">
        <v>29</v>
      </c>
      <c r="K425">
        <v>846.99</v>
      </c>
      <c r="L425">
        <v>34</v>
      </c>
      <c r="M425">
        <v>1972</v>
      </c>
      <c r="N425">
        <v>0</v>
      </c>
      <c r="O425">
        <v>0</v>
      </c>
      <c r="P425" s="2">
        <f>(H425 + J425) - (L425 + N425)</f>
        <v>0</v>
      </c>
      <c r="Q425" s="2">
        <f>P425 * G425</f>
        <v>0</v>
      </c>
      <c r="R425">
        <v>2</v>
      </c>
      <c r="S425" s="2">
        <f>R425 * G425</f>
        <v>0</v>
      </c>
      <c r="T425" s="2">
        <f>(H425 + J425) - (L425 + N425) - R425</f>
        <v>0</v>
      </c>
      <c r="U425" s="2">
        <f>T425 * G425</f>
        <v>0</v>
      </c>
      <c r="V425" s="2">
        <f>I425 + K425 - S425</f>
        <v>0</v>
      </c>
      <c r="W425" s="2">
        <f>M425 - V425</f>
        <v>0</v>
      </c>
      <c r="X425" s="2">
        <f>IFERROR(W425 / M425 * 100, 0)</f>
        <v>0</v>
      </c>
    </row>
    <row r="426" spans="1:24">
      <c r="A426" t="s">
        <v>4570</v>
      </c>
      <c r="B426" t="s">
        <v>513</v>
      </c>
      <c r="C426" t="s">
        <v>5238</v>
      </c>
      <c r="D426" t="s">
        <v>1008</v>
      </c>
      <c r="E426" t="s">
        <v>5482</v>
      </c>
      <c r="F426" t="s">
        <v>5907</v>
      </c>
      <c r="G426">
        <v>2.17</v>
      </c>
      <c r="H426">
        <v>0</v>
      </c>
      <c r="I426">
        <v>0</v>
      </c>
      <c r="J426">
        <v>1333</v>
      </c>
      <c r="K426">
        <v>2895.32</v>
      </c>
      <c r="L426">
        <v>924</v>
      </c>
      <c r="M426">
        <v>2569.5</v>
      </c>
      <c r="N426">
        <v>30</v>
      </c>
      <c r="O426">
        <v>65.81</v>
      </c>
      <c r="P426" s="2">
        <f>(H426 + J426) - (L426 + N426)</f>
        <v>0</v>
      </c>
      <c r="Q426" s="2">
        <f>P426 * G426</f>
        <v>0</v>
      </c>
      <c r="R426">
        <v>0</v>
      </c>
      <c r="S426" s="2">
        <f>R426 * G426</f>
        <v>0</v>
      </c>
      <c r="T426" s="2">
        <f>(H426 + J426) - (L426 + N426) - R426</f>
        <v>0</v>
      </c>
      <c r="U426" s="2">
        <f>T426 * G426</f>
        <v>0</v>
      </c>
      <c r="V426" s="2">
        <f>I426 + K426 - S426</f>
        <v>0</v>
      </c>
      <c r="W426" s="2">
        <f>M426 - V426</f>
        <v>0</v>
      </c>
      <c r="X426" s="2">
        <f>IFERROR(W426 / M426 * 100, 0)</f>
        <v>0</v>
      </c>
    </row>
    <row r="427" spans="1:24">
      <c r="A427" t="s">
        <v>4571</v>
      </c>
      <c r="B427" t="s">
        <v>513</v>
      </c>
      <c r="C427" t="s">
        <v>5239</v>
      </c>
      <c r="D427" t="s">
        <v>1008</v>
      </c>
      <c r="E427" t="s">
        <v>5482</v>
      </c>
      <c r="F427" t="s">
        <v>5908</v>
      </c>
      <c r="G427">
        <v>1.81</v>
      </c>
      <c r="H427">
        <v>0</v>
      </c>
      <c r="I427">
        <v>0</v>
      </c>
      <c r="J427">
        <v>262</v>
      </c>
      <c r="K427">
        <v>421.59</v>
      </c>
      <c r="L427">
        <v>233</v>
      </c>
      <c r="M427">
        <v>815.5</v>
      </c>
      <c r="N427">
        <v>13</v>
      </c>
      <c r="O427">
        <v>25.27</v>
      </c>
      <c r="P427" s="2">
        <f>(H427 + J427) - (L427 + N427)</f>
        <v>0</v>
      </c>
      <c r="Q427" s="2">
        <f>P427 * G427</f>
        <v>0</v>
      </c>
      <c r="R427">
        <v>0</v>
      </c>
      <c r="S427" s="2">
        <f>R427 * G427</f>
        <v>0</v>
      </c>
      <c r="T427" s="2">
        <f>(H427 + J427) - (L427 + N427) - R427</f>
        <v>0</v>
      </c>
      <c r="U427" s="2">
        <f>T427 * G427</f>
        <v>0</v>
      </c>
      <c r="V427" s="2">
        <f>I427 + K427 - S427</f>
        <v>0</v>
      </c>
      <c r="W427" s="2">
        <f>M427 - V427</f>
        <v>0</v>
      </c>
      <c r="X427" s="2">
        <f>IFERROR(W427 / M427 * 100, 0)</f>
        <v>0</v>
      </c>
    </row>
    <row r="428" spans="1:24">
      <c r="A428" t="s">
        <v>4572</v>
      </c>
      <c r="B428" t="s">
        <v>513</v>
      </c>
      <c r="C428" t="s">
        <v>5240</v>
      </c>
      <c r="D428" t="s">
        <v>1008</v>
      </c>
      <c r="E428" t="s">
        <v>5482</v>
      </c>
      <c r="F428" t="s">
        <v>5909</v>
      </c>
      <c r="G428">
        <v>8.83</v>
      </c>
      <c r="H428">
        <v>2</v>
      </c>
      <c r="I428">
        <v>16.67</v>
      </c>
      <c r="J428">
        <v>27</v>
      </c>
      <c r="K428">
        <v>31.93</v>
      </c>
      <c r="L428">
        <v>22</v>
      </c>
      <c r="M428">
        <v>836</v>
      </c>
      <c r="N428">
        <v>0</v>
      </c>
      <c r="O428">
        <v>0</v>
      </c>
      <c r="P428" s="2">
        <f>(H428 + J428) - (L428 + N428)</f>
        <v>0</v>
      </c>
      <c r="Q428" s="2">
        <f>P428 * G428</f>
        <v>0</v>
      </c>
      <c r="R428">
        <v>0</v>
      </c>
      <c r="S428" s="2">
        <f>R428 * G428</f>
        <v>0</v>
      </c>
      <c r="T428" s="2">
        <f>(H428 + J428) - (L428 + N428) - R428</f>
        <v>0</v>
      </c>
      <c r="U428" s="2">
        <f>T428 * G428</f>
        <v>0</v>
      </c>
      <c r="V428" s="2">
        <f>I428 + K428 - S428</f>
        <v>0</v>
      </c>
      <c r="W428" s="2">
        <f>M428 - V428</f>
        <v>0</v>
      </c>
      <c r="X428" s="2">
        <f>IFERROR(W428 / M428 * 100, 0)</f>
        <v>0</v>
      </c>
    </row>
    <row r="429" spans="1:24">
      <c r="A429" t="s">
        <v>4573</v>
      </c>
      <c r="B429" t="s">
        <v>513</v>
      </c>
      <c r="C429" t="s">
        <v>5241</v>
      </c>
      <c r="D429" t="s">
        <v>1008</v>
      </c>
      <c r="E429" t="s">
        <v>5482</v>
      </c>
      <c r="F429" t="s">
        <v>5910</v>
      </c>
      <c r="G429">
        <v>4.3</v>
      </c>
      <c r="H429">
        <v>13</v>
      </c>
      <c r="I429">
        <v>50.35</v>
      </c>
      <c r="J429">
        <v>55</v>
      </c>
      <c r="K429">
        <v>217.12</v>
      </c>
      <c r="L429">
        <v>39</v>
      </c>
      <c r="M429">
        <v>234</v>
      </c>
      <c r="N429">
        <v>4</v>
      </c>
      <c r="O429">
        <v>14.6</v>
      </c>
      <c r="P429" s="2">
        <f>(H429 + J429) - (L429 + N429)</f>
        <v>0</v>
      </c>
      <c r="Q429" s="2">
        <f>P429 * G429</f>
        <v>0</v>
      </c>
      <c r="R429">
        <v>9</v>
      </c>
      <c r="S429" s="2">
        <f>R429 * G429</f>
        <v>0</v>
      </c>
      <c r="T429" s="2">
        <f>(H429 + J429) - (L429 + N429) - R429</f>
        <v>0</v>
      </c>
      <c r="U429" s="2">
        <f>T429 * G429</f>
        <v>0</v>
      </c>
      <c r="V429" s="2">
        <f>I429 + K429 - S429</f>
        <v>0</v>
      </c>
      <c r="W429" s="2">
        <f>M429 - V429</f>
        <v>0</v>
      </c>
      <c r="X429" s="2">
        <f>IFERROR(W429 / M429 * 100, 0)</f>
        <v>0</v>
      </c>
    </row>
    <row r="430" spans="1:24">
      <c r="A430" t="s">
        <v>4574</v>
      </c>
      <c r="B430" t="s">
        <v>513</v>
      </c>
      <c r="C430" t="s">
        <v>5242</v>
      </c>
      <c r="D430" t="s">
        <v>1008</v>
      </c>
      <c r="E430" t="s">
        <v>5482</v>
      </c>
      <c r="F430" t="s">
        <v>5911</v>
      </c>
      <c r="G430">
        <v>0.6899999999999999</v>
      </c>
      <c r="H430">
        <v>0</v>
      </c>
      <c r="I430">
        <v>0</v>
      </c>
      <c r="J430">
        <v>788</v>
      </c>
      <c r="K430">
        <v>445.86</v>
      </c>
      <c r="L430">
        <v>537</v>
      </c>
      <c r="M430">
        <v>1074</v>
      </c>
      <c r="N430">
        <v>53</v>
      </c>
      <c r="O430">
        <v>37.48</v>
      </c>
      <c r="P430" s="2">
        <f>(H430 + J430) - (L430 + N430)</f>
        <v>0</v>
      </c>
      <c r="Q430" s="2">
        <f>P430 * G430</f>
        <v>0</v>
      </c>
      <c r="R430">
        <v>0</v>
      </c>
      <c r="S430" s="2">
        <f>R430 * G430</f>
        <v>0</v>
      </c>
      <c r="T430" s="2">
        <f>(H430 + J430) - (L430 + N430) - R430</f>
        <v>0</v>
      </c>
      <c r="U430" s="2">
        <f>T430 * G430</f>
        <v>0</v>
      </c>
      <c r="V430" s="2">
        <f>I430 + K430 - S430</f>
        <v>0</v>
      </c>
      <c r="W430" s="2">
        <f>M430 - V430</f>
        <v>0</v>
      </c>
      <c r="X430" s="2">
        <f>IFERROR(W430 / M430 * 100, 0)</f>
        <v>0</v>
      </c>
    </row>
    <row r="431" spans="1:24">
      <c r="A431" t="s">
        <v>4575</v>
      </c>
      <c r="B431" t="s">
        <v>513</v>
      </c>
      <c r="C431" t="s">
        <v>5243</v>
      </c>
      <c r="D431" t="s">
        <v>1008</v>
      </c>
      <c r="E431" t="s">
        <v>5482</v>
      </c>
      <c r="F431" t="s">
        <v>5912</v>
      </c>
      <c r="G431">
        <v>1.6</v>
      </c>
      <c r="H431">
        <v>13</v>
      </c>
      <c r="I431">
        <v>20.63</v>
      </c>
      <c r="J431">
        <v>80</v>
      </c>
      <c r="K431">
        <v>128.24</v>
      </c>
      <c r="L431">
        <v>65</v>
      </c>
      <c r="M431">
        <v>260</v>
      </c>
      <c r="N431">
        <v>0</v>
      </c>
      <c r="O431">
        <v>0</v>
      </c>
      <c r="P431" s="2">
        <f>(H431 + J431) - (L431 + N431)</f>
        <v>0</v>
      </c>
      <c r="Q431" s="2">
        <f>P431 * G431</f>
        <v>0</v>
      </c>
      <c r="R431">
        <v>22</v>
      </c>
      <c r="S431" s="2">
        <f>R431 * G431</f>
        <v>0</v>
      </c>
      <c r="T431" s="2">
        <f>(H431 + J431) - (L431 + N431) - R431</f>
        <v>0</v>
      </c>
      <c r="U431" s="2">
        <f>T431 * G431</f>
        <v>0</v>
      </c>
      <c r="V431" s="2">
        <f>I431 + K431 - S431</f>
        <v>0</v>
      </c>
      <c r="W431" s="2">
        <f>M431 - V431</f>
        <v>0</v>
      </c>
      <c r="X431" s="2">
        <f>IFERROR(W431 / M431 * 100, 0)</f>
        <v>0</v>
      </c>
    </row>
    <row r="432" spans="1:24">
      <c r="A432" t="s">
        <v>4576</v>
      </c>
      <c r="B432" t="s">
        <v>513</v>
      </c>
      <c r="C432" t="s">
        <v>5244</v>
      </c>
      <c r="D432" t="s">
        <v>1008</v>
      </c>
      <c r="E432" t="s">
        <v>5482</v>
      </c>
      <c r="F432" t="s">
        <v>5913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9</v>
      </c>
      <c r="M432">
        <v>49.5</v>
      </c>
      <c r="N432">
        <v>0</v>
      </c>
      <c r="O432">
        <v>0</v>
      </c>
      <c r="P432" s="2">
        <f>(H432 + J432) - (L432 + N432)</f>
        <v>0</v>
      </c>
      <c r="Q432" s="2">
        <f>P432 * G432</f>
        <v>0</v>
      </c>
      <c r="R432">
        <v>0</v>
      </c>
      <c r="S432" s="2">
        <f>R432 * G432</f>
        <v>0</v>
      </c>
      <c r="T432" s="2">
        <f>(H432 + J432) - (L432 + N432) - R432</f>
        <v>0</v>
      </c>
      <c r="U432" s="2">
        <f>T432 * G432</f>
        <v>0</v>
      </c>
      <c r="V432" s="2">
        <f>I432 + K432 - S432</f>
        <v>0</v>
      </c>
      <c r="W432" s="2">
        <f>M432 - V432</f>
        <v>0</v>
      </c>
      <c r="X432" s="2">
        <f>IFERROR(W432 / M432 * 100, 0)</f>
        <v>0</v>
      </c>
    </row>
    <row r="433" spans="1:24">
      <c r="A433" t="s">
        <v>4577</v>
      </c>
      <c r="B433" t="s">
        <v>513</v>
      </c>
      <c r="C433" t="s">
        <v>5245</v>
      </c>
      <c r="D433" t="s">
        <v>1008</v>
      </c>
      <c r="E433" t="s">
        <v>5482</v>
      </c>
      <c r="F433" t="s">
        <v>5914</v>
      </c>
      <c r="G433">
        <v>0.65</v>
      </c>
      <c r="H433">
        <v>2</v>
      </c>
      <c r="I433">
        <v>1.33</v>
      </c>
      <c r="J433">
        <v>835</v>
      </c>
      <c r="K433">
        <v>549</v>
      </c>
      <c r="L433">
        <v>839</v>
      </c>
      <c r="M433">
        <v>839</v>
      </c>
      <c r="N433">
        <v>6</v>
      </c>
      <c r="O433">
        <v>4.15</v>
      </c>
      <c r="P433" s="2">
        <f>(H433 + J433) - (L433 + N433)</f>
        <v>0</v>
      </c>
      <c r="Q433" s="2">
        <f>P433 * G433</f>
        <v>0</v>
      </c>
      <c r="R433">
        <v>0</v>
      </c>
      <c r="S433" s="2">
        <f>R433 * G433</f>
        <v>0</v>
      </c>
      <c r="T433" s="2">
        <f>(H433 + J433) - (L433 + N433) - R433</f>
        <v>0</v>
      </c>
      <c r="U433" s="2">
        <f>T433 * G433</f>
        <v>0</v>
      </c>
      <c r="V433" s="2">
        <f>I433 + K433 - S433</f>
        <v>0</v>
      </c>
      <c r="W433" s="2">
        <f>M433 - V433</f>
        <v>0</v>
      </c>
      <c r="X433" s="2">
        <f>IFERROR(W433 / M433 * 100, 0)</f>
        <v>0</v>
      </c>
    </row>
    <row r="434" spans="1:24">
      <c r="A434" t="s">
        <v>4578</v>
      </c>
      <c r="B434" t="s">
        <v>513</v>
      </c>
      <c r="C434" t="s">
        <v>5246</v>
      </c>
      <c r="D434" t="s">
        <v>1008</v>
      </c>
      <c r="E434" t="s">
        <v>5482</v>
      </c>
      <c r="F434" t="s">
        <v>5915</v>
      </c>
      <c r="G434">
        <v>1.34</v>
      </c>
      <c r="H434">
        <v>12</v>
      </c>
      <c r="I434">
        <v>16.03</v>
      </c>
      <c r="J434">
        <v>-4</v>
      </c>
      <c r="K434">
        <v>-14</v>
      </c>
      <c r="L434">
        <v>33</v>
      </c>
      <c r="M434">
        <v>132</v>
      </c>
      <c r="N434">
        <v>0</v>
      </c>
      <c r="O434">
        <v>0</v>
      </c>
      <c r="P434" s="2">
        <f>(H434 + J434) - (L434 + N434)</f>
        <v>0</v>
      </c>
      <c r="Q434" s="2">
        <f>P434 * G434</f>
        <v>0</v>
      </c>
      <c r="R434">
        <v>8</v>
      </c>
      <c r="S434" s="2">
        <f>R434 * G434</f>
        <v>0</v>
      </c>
      <c r="T434" s="2">
        <f>(H434 + J434) - (L434 + N434) - R434</f>
        <v>0</v>
      </c>
      <c r="U434" s="2">
        <f>T434 * G434</f>
        <v>0</v>
      </c>
      <c r="V434" s="2">
        <f>I434 + K434 - S434</f>
        <v>0</v>
      </c>
      <c r="W434" s="2">
        <f>M434 - V434</f>
        <v>0</v>
      </c>
      <c r="X434" s="2">
        <f>IFERROR(W434 / M434 * 100, 0)</f>
        <v>0</v>
      </c>
    </row>
    <row r="435" spans="1:24">
      <c r="A435" t="s">
        <v>4579</v>
      </c>
      <c r="B435" t="s">
        <v>513</v>
      </c>
      <c r="C435" t="s">
        <v>5247</v>
      </c>
      <c r="D435" t="s">
        <v>1008</v>
      </c>
      <c r="E435" t="s">
        <v>5482</v>
      </c>
      <c r="F435" t="s">
        <v>5916</v>
      </c>
      <c r="G435">
        <v>1.72</v>
      </c>
      <c r="H435">
        <v>0</v>
      </c>
      <c r="I435">
        <v>0</v>
      </c>
      <c r="J435">
        <v>260</v>
      </c>
      <c r="K435">
        <v>-219.66</v>
      </c>
      <c r="L435">
        <v>236</v>
      </c>
      <c r="M435">
        <v>708</v>
      </c>
      <c r="N435">
        <v>15</v>
      </c>
      <c r="O435">
        <v>18.87</v>
      </c>
      <c r="P435" s="2">
        <f>(H435 + J435) - (L435 + N435)</f>
        <v>0</v>
      </c>
      <c r="Q435" s="2">
        <f>P435 * G435</f>
        <v>0</v>
      </c>
      <c r="R435">
        <v>0</v>
      </c>
      <c r="S435" s="2">
        <f>R435 * G435</f>
        <v>0</v>
      </c>
      <c r="T435" s="2">
        <f>(H435 + J435) - (L435 + N435) - R435</f>
        <v>0</v>
      </c>
      <c r="U435" s="2">
        <f>T435 * G435</f>
        <v>0</v>
      </c>
      <c r="V435" s="2">
        <f>I435 + K435 - S435</f>
        <v>0</v>
      </c>
      <c r="W435" s="2">
        <f>M435 - V435</f>
        <v>0</v>
      </c>
      <c r="X435" s="2">
        <f>IFERROR(W435 / M435 * 100, 0)</f>
        <v>0</v>
      </c>
    </row>
    <row r="436" spans="1:24">
      <c r="A436" t="s">
        <v>4580</v>
      </c>
      <c r="B436" t="s">
        <v>513</v>
      </c>
      <c r="C436" t="s">
        <v>5248</v>
      </c>
      <c r="D436" t="s">
        <v>1008</v>
      </c>
      <c r="E436" t="s">
        <v>5482</v>
      </c>
      <c r="F436" t="s">
        <v>5917</v>
      </c>
      <c r="G436">
        <v>2.53</v>
      </c>
      <c r="H436">
        <v>4</v>
      </c>
      <c r="I436">
        <v>9.550000000000001</v>
      </c>
      <c r="J436">
        <v>52</v>
      </c>
      <c r="K436">
        <v>144.26</v>
      </c>
      <c r="L436">
        <v>53</v>
      </c>
      <c r="M436">
        <v>318</v>
      </c>
      <c r="N436">
        <v>0</v>
      </c>
      <c r="O436">
        <v>0</v>
      </c>
      <c r="P436" s="2">
        <f>(H436 + J436) - (L436 + N436)</f>
        <v>0</v>
      </c>
      <c r="Q436" s="2">
        <f>P436 * G436</f>
        <v>0</v>
      </c>
      <c r="R436">
        <v>4</v>
      </c>
      <c r="S436" s="2">
        <f>R436 * G436</f>
        <v>0</v>
      </c>
      <c r="T436" s="2">
        <f>(H436 + J436) - (L436 + N436) - R436</f>
        <v>0</v>
      </c>
      <c r="U436" s="2">
        <f>T436 * G436</f>
        <v>0</v>
      </c>
      <c r="V436" s="2">
        <f>I436 + K436 - S436</f>
        <v>0</v>
      </c>
      <c r="W436" s="2">
        <f>M436 - V436</f>
        <v>0</v>
      </c>
      <c r="X436" s="2">
        <f>IFERROR(W436 / M436 * 100, 0)</f>
        <v>0</v>
      </c>
    </row>
    <row r="437" spans="1:24">
      <c r="A437" t="s">
        <v>4581</v>
      </c>
      <c r="B437" t="s">
        <v>513</v>
      </c>
      <c r="C437" t="s">
        <v>5249</v>
      </c>
      <c r="D437" t="s">
        <v>1008</v>
      </c>
      <c r="E437" t="s">
        <v>5482</v>
      </c>
      <c r="F437" t="s">
        <v>5918</v>
      </c>
      <c r="G437">
        <v>1.87</v>
      </c>
      <c r="H437">
        <v>2</v>
      </c>
      <c r="I437">
        <v>3.75</v>
      </c>
      <c r="J437">
        <v>81</v>
      </c>
      <c r="K437">
        <v>152.27</v>
      </c>
      <c r="L437">
        <v>69</v>
      </c>
      <c r="M437">
        <v>448.5</v>
      </c>
      <c r="N437">
        <v>0</v>
      </c>
      <c r="O437">
        <v>0</v>
      </c>
      <c r="P437" s="2">
        <f>(H437 + J437) - (L437 + N437)</f>
        <v>0</v>
      </c>
      <c r="Q437" s="2">
        <f>P437 * G437</f>
        <v>0</v>
      </c>
      <c r="R437">
        <v>7</v>
      </c>
      <c r="S437" s="2">
        <f>R437 * G437</f>
        <v>0</v>
      </c>
      <c r="T437" s="2">
        <f>(H437 + J437) - (L437 + N437) - R437</f>
        <v>0</v>
      </c>
      <c r="U437" s="2">
        <f>T437 * G437</f>
        <v>0</v>
      </c>
      <c r="V437" s="2">
        <f>I437 + K437 - S437</f>
        <v>0</v>
      </c>
      <c r="W437" s="2">
        <f>M437 - V437</f>
        <v>0</v>
      </c>
      <c r="X437" s="2">
        <f>IFERROR(W437 / M437 * 100, 0)</f>
        <v>0</v>
      </c>
    </row>
    <row r="438" spans="1:24">
      <c r="A438" t="s">
        <v>4582</v>
      </c>
      <c r="B438" t="s">
        <v>513</v>
      </c>
      <c r="C438" t="s">
        <v>5250</v>
      </c>
      <c r="D438" t="s">
        <v>1008</v>
      </c>
      <c r="E438" t="s">
        <v>5482</v>
      </c>
      <c r="F438" t="s">
        <v>5919</v>
      </c>
      <c r="G438">
        <v>31.42</v>
      </c>
      <c r="H438">
        <v>3</v>
      </c>
      <c r="I438">
        <v>108.29</v>
      </c>
      <c r="J438">
        <v>92</v>
      </c>
      <c r="K438">
        <v>3081.83</v>
      </c>
      <c r="L438">
        <v>74</v>
      </c>
      <c r="M438">
        <v>4440</v>
      </c>
      <c r="N438">
        <v>0</v>
      </c>
      <c r="O438">
        <v>0</v>
      </c>
      <c r="P438" s="2">
        <f>(H438 + J438) - (L438 + N438)</f>
        <v>0</v>
      </c>
      <c r="Q438" s="2">
        <f>P438 * G438</f>
        <v>0</v>
      </c>
      <c r="R438">
        <v>5</v>
      </c>
      <c r="S438" s="2">
        <f>R438 * G438</f>
        <v>0</v>
      </c>
      <c r="T438" s="2">
        <f>(H438 + J438) - (L438 + N438) - R438</f>
        <v>0</v>
      </c>
      <c r="U438" s="2">
        <f>T438 * G438</f>
        <v>0</v>
      </c>
      <c r="V438" s="2">
        <f>I438 + K438 - S438</f>
        <v>0</v>
      </c>
      <c r="W438" s="2">
        <f>M438 - V438</f>
        <v>0</v>
      </c>
      <c r="X438" s="2">
        <f>IFERROR(W438 / M438 * 100, 0)</f>
        <v>0</v>
      </c>
    </row>
    <row r="439" spans="1:24">
      <c r="A439" t="s">
        <v>4583</v>
      </c>
      <c r="B439" t="s">
        <v>513</v>
      </c>
      <c r="C439" t="s">
        <v>5251</v>
      </c>
      <c r="D439" t="s">
        <v>1008</v>
      </c>
      <c r="E439" t="s">
        <v>5482</v>
      </c>
      <c r="F439" t="s">
        <v>5920</v>
      </c>
      <c r="G439">
        <v>1.27</v>
      </c>
      <c r="H439">
        <v>26</v>
      </c>
      <c r="I439">
        <v>32.99</v>
      </c>
      <c r="J439">
        <v>80</v>
      </c>
      <c r="K439">
        <v>101.5</v>
      </c>
      <c r="L439">
        <v>186</v>
      </c>
      <c r="M439">
        <v>930</v>
      </c>
      <c r="N439">
        <v>0</v>
      </c>
      <c r="O439">
        <v>0</v>
      </c>
      <c r="P439" s="2">
        <f>(H439 + J439) - (L439 + N439)</f>
        <v>0</v>
      </c>
      <c r="Q439" s="2">
        <f>P439 * G439</f>
        <v>0</v>
      </c>
      <c r="R439">
        <v>24</v>
      </c>
      <c r="S439" s="2">
        <f>R439 * G439</f>
        <v>0</v>
      </c>
      <c r="T439" s="2">
        <f>(H439 + J439) - (L439 + N439) - R439</f>
        <v>0</v>
      </c>
      <c r="U439" s="2">
        <f>T439 * G439</f>
        <v>0</v>
      </c>
      <c r="V439" s="2">
        <f>I439 + K439 - S439</f>
        <v>0</v>
      </c>
      <c r="W439" s="2">
        <f>M439 - V439</f>
        <v>0</v>
      </c>
      <c r="X439" s="2">
        <f>IFERROR(W439 / M439 * 100, 0)</f>
        <v>0</v>
      </c>
    </row>
    <row r="440" spans="1:24">
      <c r="A440" t="s">
        <v>4584</v>
      </c>
      <c r="B440" t="s">
        <v>513</v>
      </c>
      <c r="C440" t="s">
        <v>5252</v>
      </c>
      <c r="D440" t="s">
        <v>1008</v>
      </c>
      <c r="E440" t="s">
        <v>5482</v>
      </c>
      <c r="F440" t="s">
        <v>5921</v>
      </c>
      <c r="G440">
        <v>2.64</v>
      </c>
      <c r="H440">
        <v>38</v>
      </c>
      <c r="I440">
        <v>100.39</v>
      </c>
      <c r="J440">
        <v>0</v>
      </c>
      <c r="K440">
        <v>0</v>
      </c>
      <c r="L440">
        <v>15</v>
      </c>
      <c r="M440">
        <v>60</v>
      </c>
      <c r="N440">
        <v>0</v>
      </c>
      <c r="O440">
        <v>0</v>
      </c>
      <c r="P440" s="2">
        <f>(H440 + J440) - (L440 + N440)</f>
        <v>0</v>
      </c>
      <c r="Q440" s="2">
        <f>P440 * G440</f>
        <v>0</v>
      </c>
      <c r="R440">
        <v>8</v>
      </c>
      <c r="S440" s="2">
        <f>R440 * G440</f>
        <v>0</v>
      </c>
      <c r="T440" s="2">
        <f>(H440 + J440) - (L440 + N440) - R440</f>
        <v>0</v>
      </c>
      <c r="U440" s="2">
        <f>T440 * G440</f>
        <v>0</v>
      </c>
      <c r="V440" s="2">
        <f>I440 + K440 - S440</f>
        <v>0</v>
      </c>
      <c r="W440" s="2">
        <f>M440 - V440</f>
        <v>0</v>
      </c>
      <c r="X440" s="2">
        <f>IFERROR(W440 / M440 * 100, 0)</f>
        <v>0</v>
      </c>
    </row>
    <row r="441" spans="1:24">
      <c r="A441" t="s">
        <v>4585</v>
      </c>
      <c r="B441" t="s">
        <v>513</v>
      </c>
      <c r="C441" t="s">
        <v>5253</v>
      </c>
      <c r="D441" t="s">
        <v>1008</v>
      </c>
      <c r="E441" t="s">
        <v>5482</v>
      </c>
      <c r="F441" t="s">
        <v>5922</v>
      </c>
      <c r="G441">
        <v>1.75</v>
      </c>
      <c r="H441">
        <v>0</v>
      </c>
      <c r="I441">
        <v>0</v>
      </c>
      <c r="J441">
        <v>298</v>
      </c>
      <c r="K441">
        <v>471.47</v>
      </c>
      <c r="L441">
        <v>226</v>
      </c>
      <c r="M441">
        <v>1093</v>
      </c>
      <c r="N441">
        <v>24</v>
      </c>
      <c r="O441">
        <v>43.73</v>
      </c>
      <c r="P441" s="2">
        <f>(H441 + J441) - (L441 + N441)</f>
        <v>0</v>
      </c>
      <c r="Q441" s="2">
        <f>P441 * G441</f>
        <v>0</v>
      </c>
      <c r="R441">
        <v>0</v>
      </c>
      <c r="S441" s="2">
        <f>R441 * G441</f>
        <v>0</v>
      </c>
      <c r="T441" s="2">
        <f>(H441 + J441) - (L441 + N441) - R441</f>
        <v>0</v>
      </c>
      <c r="U441" s="2">
        <f>T441 * G441</f>
        <v>0</v>
      </c>
      <c r="V441" s="2">
        <f>I441 + K441 - S441</f>
        <v>0</v>
      </c>
      <c r="W441" s="2">
        <f>M441 - V441</f>
        <v>0</v>
      </c>
      <c r="X441" s="2">
        <f>IFERROR(W441 / M441 * 100, 0)</f>
        <v>0</v>
      </c>
    </row>
    <row r="442" spans="1:24">
      <c r="A442" t="s">
        <v>4586</v>
      </c>
      <c r="B442" t="s">
        <v>513</v>
      </c>
      <c r="C442" t="s">
        <v>5254</v>
      </c>
      <c r="D442" t="s">
        <v>1008</v>
      </c>
      <c r="E442" t="s">
        <v>5482</v>
      </c>
      <c r="F442" t="s">
        <v>5923</v>
      </c>
      <c r="G442">
        <v>2.22</v>
      </c>
      <c r="H442">
        <v>30</v>
      </c>
      <c r="I442">
        <v>58.28</v>
      </c>
      <c r="J442">
        <v>150</v>
      </c>
      <c r="K442">
        <v>282.54</v>
      </c>
      <c r="L442">
        <v>188</v>
      </c>
      <c r="M442">
        <v>470</v>
      </c>
      <c r="N442">
        <v>0</v>
      </c>
      <c r="O442">
        <v>0</v>
      </c>
      <c r="P442" s="2">
        <f>(H442 + J442) - (L442 + N442)</f>
        <v>0</v>
      </c>
      <c r="Q442" s="2">
        <f>P442 * G442</f>
        <v>0</v>
      </c>
      <c r="R442">
        <v>4</v>
      </c>
      <c r="S442" s="2">
        <f>R442 * G442</f>
        <v>0</v>
      </c>
      <c r="T442" s="2">
        <f>(H442 + J442) - (L442 + N442) - R442</f>
        <v>0</v>
      </c>
      <c r="U442" s="2">
        <f>T442 * G442</f>
        <v>0</v>
      </c>
      <c r="V442" s="2">
        <f>I442 + K442 - S442</f>
        <v>0</v>
      </c>
      <c r="W442" s="2">
        <f>M442 - V442</f>
        <v>0</v>
      </c>
      <c r="X442" s="2">
        <f>IFERROR(W442 / M442 * 100, 0)</f>
        <v>0</v>
      </c>
    </row>
    <row r="443" spans="1:24">
      <c r="A443" t="s">
        <v>4587</v>
      </c>
      <c r="B443" t="s">
        <v>513</v>
      </c>
      <c r="C443" t="s">
        <v>5255</v>
      </c>
      <c r="D443" t="s">
        <v>1008</v>
      </c>
      <c r="E443" t="s">
        <v>5482</v>
      </c>
      <c r="F443" t="s">
        <v>5924</v>
      </c>
      <c r="G443">
        <v>1.76</v>
      </c>
      <c r="H443">
        <v>0</v>
      </c>
      <c r="I443">
        <v>0</v>
      </c>
      <c r="J443">
        <v>26</v>
      </c>
      <c r="K443">
        <v>46.15</v>
      </c>
      <c r="L443">
        <v>6</v>
      </c>
      <c r="M443">
        <v>28.5</v>
      </c>
      <c r="N443">
        <v>3</v>
      </c>
      <c r="O443">
        <v>5.35</v>
      </c>
      <c r="P443" s="2">
        <f>(H443 + J443) - (L443 + N443)</f>
        <v>0</v>
      </c>
      <c r="Q443" s="2">
        <f>P443 * G443</f>
        <v>0</v>
      </c>
      <c r="R443">
        <v>0</v>
      </c>
      <c r="S443" s="2">
        <f>R443 * G443</f>
        <v>0</v>
      </c>
      <c r="T443" s="2">
        <f>(H443 + J443) - (L443 + N443) - R443</f>
        <v>0</v>
      </c>
      <c r="U443" s="2">
        <f>T443 * G443</f>
        <v>0</v>
      </c>
      <c r="V443" s="2">
        <f>I443 + K443 - S443</f>
        <v>0</v>
      </c>
      <c r="W443" s="2">
        <f>M443 - V443</f>
        <v>0</v>
      </c>
      <c r="X443" s="2">
        <f>IFERROR(W443 / M443 * 100, 0)</f>
        <v>0</v>
      </c>
    </row>
    <row r="444" spans="1:24">
      <c r="A444" t="s">
        <v>4588</v>
      </c>
      <c r="B444" t="s">
        <v>512</v>
      </c>
      <c r="C444" t="s">
        <v>5256</v>
      </c>
      <c r="D444" t="s">
        <v>1007</v>
      </c>
      <c r="E444" t="s">
        <v>5482</v>
      </c>
      <c r="F444" t="s">
        <v>5925</v>
      </c>
      <c r="G444">
        <v>16.5</v>
      </c>
      <c r="H444">
        <v>0</v>
      </c>
      <c r="I444">
        <v>0</v>
      </c>
      <c r="J444">
        <v>14.1</v>
      </c>
      <c r="K444">
        <v>226.4</v>
      </c>
      <c r="L444">
        <v>0</v>
      </c>
      <c r="M444">
        <v>0</v>
      </c>
      <c r="N444">
        <v>0</v>
      </c>
      <c r="O444">
        <v>0</v>
      </c>
      <c r="P444" s="2">
        <f>(H444 + J444) - (L444 + N444)</f>
        <v>0</v>
      </c>
      <c r="Q444" s="2">
        <f>P444 * G444</f>
        <v>0</v>
      </c>
      <c r="R444">
        <v>0</v>
      </c>
      <c r="S444" s="2">
        <f>R444 * G444</f>
        <v>0</v>
      </c>
      <c r="T444" s="2">
        <f>(H444 + J444) - (L444 + N444) - R444</f>
        <v>0</v>
      </c>
      <c r="U444" s="2">
        <f>T444 * G444</f>
        <v>0</v>
      </c>
      <c r="V444" s="2">
        <f>I444 + K444 - S444</f>
        <v>0</v>
      </c>
      <c r="W444" s="2">
        <f>M444 - V444</f>
        <v>0</v>
      </c>
      <c r="X444" s="2">
        <f>IFERROR(W444 / M444 * 100, 0)</f>
        <v>0</v>
      </c>
    </row>
    <row r="445" spans="1:24">
      <c r="A445" t="s">
        <v>4589</v>
      </c>
      <c r="B445" t="s">
        <v>512</v>
      </c>
      <c r="C445" t="s">
        <v>5257</v>
      </c>
      <c r="D445" t="s">
        <v>1007</v>
      </c>
      <c r="E445" t="s">
        <v>5482</v>
      </c>
      <c r="F445" t="s">
        <v>5926</v>
      </c>
      <c r="G445">
        <v>57.5</v>
      </c>
      <c r="H445">
        <v>0</v>
      </c>
      <c r="I445">
        <v>0</v>
      </c>
      <c r="J445">
        <v>0.6</v>
      </c>
      <c r="K445">
        <v>34.5</v>
      </c>
      <c r="L445">
        <v>0</v>
      </c>
      <c r="M445">
        <v>0</v>
      </c>
      <c r="N445">
        <v>0</v>
      </c>
      <c r="O445">
        <v>0</v>
      </c>
      <c r="P445" s="2">
        <f>(H445 + J445) - (L445 + N445)</f>
        <v>0</v>
      </c>
      <c r="Q445" s="2">
        <f>P445 * G445</f>
        <v>0</v>
      </c>
      <c r="R445">
        <v>0</v>
      </c>
      <c r="S445" s="2">
        <f>R445 * G445</f>
        <v>0</v>
      </c>
      <c r="T445" s="2">
        <f>(H445 + J445) - (L445 + N445) - R445</f>
        <v>0</v>
      </c>
      <c r="U445" s="2">
        <f>T445 * G445</f>
        <v>0</v>
      </c>
      <c r="V445" s="2">
        <f>I445 + K445 - S445</f>
        <v>0</v>
      </c>
      <c r="W445" s="2">
        <f>M445 - V445</f>
        <v>0</v>
      </c>
      <c r="X445" s="2">
        <f>IFERROR(W445 / M445 * 100, 0)</f>
        <v>0</v>
      </c>
    </row>
    <row r="446" spans="1:24">
      <c r="A446" t="s">
        <v>4590</v>
      </c>
      <c r="B446" t="s">
        <v>512</v>
      </c>
      <c r="C446" t="s">
        <v>5258</v>
      </c>
      <c r="D446" t="s">
        <v>1007</v>
      </c>
      <c r="E446" t="s">
        <v>5482</v>
      </c>
      <c r="F446" t="s">
        <v>5927</v>
      </c>
      <c r="G446">
        <v>10.56</v>
      </c>
      <c r="H446">
        <v>0</v>
      </c>
      <c r="I446">
        <v>0</v>
      </c>
      <c r="J446">
        <v>0.9</v>
      </c>
      <c r="K446">
        <v>9.5</v>
      </c>
      <c r="L446">
        <v>0</v>
      </c>
      <c r="M446">
        <v>0</v>
      </c>
      <c r="N446">
        <v>0</v>
      </c>
      <c r="O446">
        <v>0</v>
      </c>
      <c r="P446" s="2">
        <f>(H446 + J446) - (L446 + N446)</f>
        <v>0</v>
      </c>
      <c r="Q446" s="2">
        <f>P446 * G446</f>
        <v>0</v>
      </c>
      <c r="R446">
        <v>0</v>
      </c>
      <c r="S446" s="2">
        <f>R446 * G446</f>
        <v>0</v>
      </c>
      <c r="T446" s="2">
        <f>(H446 + J446) - (L446 + N446) - R446</f>
        <v>0</v>
      </c>
      <c r="U446" s="2">
        <f>T446 * G446</f>
        <v>0</v>
      </c>
      <c r="V446" s="2">
        <f>I446 + K446 - S446</f>
        <v>0</v>
      </c>
      <c r="W446" s="2">
        <f>M446 - V446</f>
        <v>0</v>
      </c>
      <c r="X446" s="2">
        <f>IFERROR(W446 / M446 * 100, 0)</f>
        <v>0</v>
      </c>
    </row>
    <row r="447" spans="1:24">
      <c r="A447" t="s">
        <v>4591</v>
      </c>
      <c r="B447" t="s">
        <v>512</v>
      </c>
      <c r="C447" t="s">
        <v>5259</v>
      </c>
      <c r="D447" t="s">
        <v>1008</v>
      </c>
      <c r="E447" t="s">
        <v>5482</v>
      </c>
      <c r="F447" t="s">
        <v>5928</v>
      </c>
      <c r="G447">
        <v>75</v>
      </c>
      <c r="H447">
        <v>0</v>
      </c>
      <c r="I447">
        <v>0</v>
      </c>
      <c r="J447">
        <v>8</v>
      </c>
      <c r="K447">
        <v>600</v>
      </c>
      <c r="L447">
        <v>0</v>
      </c>
      <c r="M447">
        <v>0</v>
      </c>
      <c r="N447">
        <v>0</v>
      </c>
      <c r="O447">
        <v>0</v>
      </c>
      <c r="P447" s="2">
        <f>(H447 + J447) - (L447 + N447)</f>
        <v>0</v>
      </c>
      <c r="Q447" s="2">
        <f>P447 * G447</f>
        <v>0</v>
      </c>
      <c r="R447">
        <v>0</v>
      </c>
      <c r="S447" s="2">
        <f>R447 * G447</f>
        <v>0</v>
      </c>
      <c r="T447" s="2">
        <f>(H447 + J447) - (L447 + N447) - R447</f>
        <v>0</v>
      </c>
      <c r="U447" s="2">
        <f>T447 * G447</f>
        <v>0</v>
      </c>
      <c r="V447" s="2">
        <f>I447 + K447 - S447</f>
        <v>0</v>
      </c>
      <c r="W447" s="2">
        <f>M447 - V447</f>
        <v>0</v>
      </c>
      <c r="X447" s="2">
        <f>IFERROR(W447 / M447 * 100, 0)</f>
        <v>0</v>
      </c>
    </row>
    <row r="448" spans="1:24">
      <c r="A448" t="s">
        <v>4592</v>
      </c>
      <c r="B448" t="s">
        <v>512</v>
      </c>
      <c r="C448" t="s">
        <v>5260</v>
      </c>
      <c r="D448" t="s">
        <v>1007</v>
      </c>
      <c r="E448" t="s">
        <v>5482</v>
      </c>
      <c r="F448" t="s">
        <v>5929</v>
      </c>
      <c r="G448">
        <v>9.65</v>
      </c>
      <c r="H448">
        <v>1</v>
      </c>
      <c r="I448">
        <v>10.13</v>
      </c>
      <c r="J448">
        <v>0.18</v>
      </c>
      <c r="K448">
        <v>1.23</v>
      </c>
      <c r="L448">
        <v>0</v>
      </c>
      <c r="M448">
        <v>0</v>
      </c>
      <c r="N448">
        <v>0</v>
      </c>
      <c r="O448">
        <v>0</v>
      </c>
      <c r="P448" s="2">
        <f>(H448 + J448) - (L448 + N448)</f>
        <v>0</v>
      </c>
      <c r="Q448" s="2">
        <f>P448 * G448</f>
        <v>0</v>
      </c>
      <c r="R448">
        <v>0.22</v>
      </c>
      <c r="S448" s="2">
        <f>R448 * G448</f>
        <v>0</v>
      </c>
      <c r="T448" s="2">
        <f>(H448 + J448) - (L448 + N448) - R448</f>
        <v>0</v>
      </c>
      <c r="U448" s="2">
        <f>T448 * G448</f>
        <v>0</v>
      </c>
      <c r="V448" s="2">
        <f>I448 + K448 - S448</f>
        <v>0</v>
      </c>
      <c r="W448" s="2">
        <f>M448 - V448</f>
        <v>0</v>
      </c>
      <c r="X448" s="2">
        <f>IFERROR(W448 / M448 * 100, 0)</f>
        <v>0</v>
      </c>
    </row>
    <row r="449" spans="1:24">
      <c r="A449" t="s">
        <v>4593</v>
      </c>
      <c r="B449" t="s">
        <v>512</v>
      </c>
      <c r="C449" t="s">
        <v>5261</v>
      </c>
      <c r="D449" t="s">
        <v>1007</v>
      </c>
      <c r="E449" t="s">
        <v>5482</v>
      </c>
      <c r="F449" t="s">
        <v>5930</v>
      </c>
      <c r="G449">
        <v>10</v>
      </c>
      <c r="H449">
        <v>0</v>
      </c>
      <c r="I449">
        <v>0</v>
      </c>
      <c r="J449">
        <v>-4.17</v>
      </c>
      <c r="K449">
        <v>-41.91</v>
      </c>
      <c r="L449">
        <v>0</v>
      </c>
      <c r="M449">
        <v>0</v>
      </c>
      <c r="N449">
        <v>0</v>
      </c>
      <c r="O449">
        <v>0</v>
      </c>
      <c r="P449" s="2">
        <f>(H449 + J449) - (L449 + N449)</f>
        <v>0</v>
      </c>
      <c r="Q449" s="2">
        <f>P449 * G449</f>
        <v>0</v>
      </c>
      <c r="R449">
        <v>0</v>
      </c>
      <c r="S449" s="2">
        <f>R449 * G449</f>
        <v>0</v>
      </c>
      <c r="T449" s="2">
        <f>(H449 + J449) - (L449 + N449) - R449</f>
        <v>0</v>
      </c>
      <c r="U449" s="2">
        <f>T449 * G449</f>
        <v>0</v>
      </c>
      <c r="V449" s="2">
        <f>I449 + K449 - S449</f>
        <v>0</v>
      </c>
      <c r="W449" s="2">
        <f>M449 - V449</f>
        <v>0</v>
      </c>
      <c r="X449" s="2">
        <f>IFERROR(W449 / M449 * 100, 0)</f>
        <v>0</v>
      </c>
    </row>
    <row r="450" spans="1:24">
      <c r="A450" t="s">
        <v>4594</v>
      </c>
      <c r="B450" t="s">
        <v>512</v>
      </c>
      <c r="C450" t="s">
        <v>5262</v>
      </c>
      <c r="D450" t="s">
        <v>1007</v>
      </c>
      <c r="E450" t="s">
        <v>5482</v>
      </c>
      <c r="F450" t="s">
        <v>5931</v>
      </c>
      <c r="G450">
        <v>24</v>
      </c>
      <c r="H450">
        <v>0</v>
      </c>
      <c r="I450">
        <v>0</v>
      </c>
      <c r="J450">
        <v>10</v>
      </c>
      <c r="K450">
        <v>240</v>
      </c>
      <c r="L450">
        <v>0</v>
      </c>
      <c r="M450">
        <v>0</v>
      </c>
      <c r="N450">
        <v>0</v>
      </c>
      <c r="O450">
        <v>0</v>
      </c>
      <c r="P450" s="2">
        <f>(H450 + J450) - (L450 + N450)</f>
        <v>0</v>
      </c>
      <c r="Q450" s="2">
        <f>P450 * G450</f>
        <v>0</v>
      </c>
      <c r="R450">
        <v>0</v>
      </c>
      <c r="S450" s="2">
        <f>R450 * G450</f>
        <v>0</v>
      </c>
      <c r="T450" s="2">
        <f>(H450 + J450) - (L450 + N450) - R450</f>
        <v>0</v>
      </c>
      <c r="U450" s="2">
        <f>T450 * G450</f>
        <v>0</v>
      </c>
      <c r="V450" s="2">
        <f>I450 + K450 - S450</f>
        <v>0</v>
      </c>
      <c r="W450" s="2">
        <f>M450 - V450</f>
        <v>0</v>
      </c>
      <c r="X450" s="2">
        <f>IFERROR(W450 / M450 * 100, 0)</f>
        <v>0</v>
      </c>
    </row>
    <row r="451" spans="1:24">
      <c r="A451" t="s">
        <v>4595</v>
      </c>
      <c r="B451" t="s">
        <v>512</v>
      </c>
      <c r="C451" t="s">
        <v>5263</v>
      </c>
      <c r="D451" t="s">
        <v>1008</v>
      </c>
      <c r="E451" t="s">
        <v>5482</v>
      </c>
      <c r="F451" t="s">
        <v>5932</v>
      </c>
      <c r="G451">
        <v>0.67</v>
      </c>
      <c r="H451">
        <v>2</v>
      </c>
      <c r="I451">
        <v>0.03</v>
      </c>
      <c r="J451">
        <v>4</v>
      </c>
      <c r="K451">
        <v>4</v>
      </c>
      <c r="L451">
        <v>0</v>
      </c>
      <c r="M451">
        <v>0</v>
      </c>
      <c r="N451">
        <v>0</v>
      </c>
      <c r="O451">
        <v>0</v>
      </c>
      <c r="P451" s="2">
        <f>(H451 + J451) - (L451 + N451)</f>
        <v>0</v>
      </c>
      <c r="Q451" s="2">
        <f>P451 * G451</f>
        <v>0</v>
      </c>
      <c r="R451">
        <v>2</v>
      </c>
      <c r="S451" s="2">
        <f>R451 * G451</f>
        <v>0</v>
      </c>
      <c r="T451" s="2">
        <f>(H451 + J451) - (L451 + N451) - R451</f>
        <v>0</v>
      </c>
      <c r="U451" s="2">
        <f>T451 * G451</f>
        <v>0</v>
      </c>
      <c r="V451" s="2">
        <f>I451 + K451 - S451</f>
        <v>0</v>
      </c>
      <c r="W451" s="2">
        <f>M451 - V451</f>
        <v>0</v>
      </c>
      <c r="X451" s="2">
        <f>IFERROR(W451 / M451 * 100, 0)</f>
        <v>0</v>
      </c>
    </row>
    <row r="452" spans="1:24">
      <c r="A452" t="s">
        <v>4596</v>
      </c>
      <c r="B452" t="s">
        <v>512</v>
      </c>
      <c r="C452" t="s">
        <v>5264</v>
      </c>
      <c r="D452" t="s">
        <v>1007</v>
      </c>
      <c r="E452" t="s">
        <v>5482</v>
      </c>
      <c r="F452" t="s">
        <v>5933</v>
      </c>
      <c r="G452">
        <v>8.4</v>
      </c>
      <c r="H452">
        <v>20</v>
      </c>
      <c r="I452">
        <v>168</v>
      </c>
      <c r="J452">
        <v>-4.8</v>
      </c>
      <c r="K452">
        <v>-40.32</v>
      </c>
      <c r="L452">
        <v>0</v>
      </c>
      <c r="M452">
        <v>0</v>
      </c>
      <c r="N452">
        <v>0</v>
      </c>
      <c r="O452">
        <v>0</v>
      </c>
      <c r="P452" s="2">
        <f>(H452 + J452) - (L452 + N452)</f>
        <v>0</v>
      </c>
      <c r="Q452" s="2">
        <f>P452 * G452</f>
        <v>0</v>
      </c>
      <c r="R452">
        <v>0</v>
      </c>
      <c r="S452" s="2">
        <f>R452 * G452</f>
        <v>0</v>
      </c>
      <c r="T452" s="2">
        <f>(H452 + J452) - (L452 + N452) - R452</f>
        <v>0</v>
      </c>
      <c r="U452" s="2">
        <f>T452 * G452</f>
        <v>0</v>
      </c>
      <c r="V452" s="2">
        <f>I452 + K452 - S452</f>
        <v>0</v>
      </c>
      <c r="W452" s="2">
        <f>M452 - V452</f>
        <v>0</v>
      </c>
      <c r="X452" s="2">
        <f>IFERROR(W452 / M452 * 100, 0)</f>
        <v>0</v>
      </c>
    </row>
    <row r="453" spans="1:24">
      <c r="A453" t="s">
        <v>4597</v>
      </c>
      <c r="B453" t="s">
        <v>512</v>
      </c>
      <c r="C453" t="s">
        <v>5265</v>
      </c>
      <c r="D453" t="s">
        <v>1007</v>
      </c>
      <c r="E453" t="s">
        <v>5482</v>
      </c>
      <c r="F453" t="s">
        <v>5934</v>
      </c>
      <c r="G453">
        <v>8.800000000000001</v>
      </c>
      <c r="H453">
        <v>0</v>
      </c>
      <c r="I453">
        <v>0</v>
      </c>
      <c r="J453">
        <v>-8.699999999999999</v>
      </c>
      <c r="K453">
        <v>-76.56</v>
      </c>
      <c r="L453">
        <v>0</v>
      </c>
      <c r="M453">
        <v>0</v>
      </c>
      <c r="N453">
        <v>0</v>
      </c>
      <c r="O453">
        <v>0</v>
      </c>
      <c r="P453" s="2">
        <f>(H453 + J453) - (L453 + N453)</f>
        <v>0</v>
      </c>
      <c r="Q453" s="2">
        <f>P453 * G453</f>
        <v>0</v>
      </c>
      <c r="R453">
        <v>0</v>
      </c>
      <c r="S453" s="2">
        <f>R453 * G453</f>
        <v>0</v>
      </c>
      <c r="T453" s="2">
        <f>(H453 + J453) - (L453 + N453) - R453</f>
        <v>0</v>
      </c>
      <c r="U453" s="2">
        <f>T453 * G453</f>
        <v>0</v>
      </c>
      <c r="V453" s="2">
        <f>I453 + K453 - S453</f>
        <v>0</v>
      </c>
      <c r="W453" s="2">
        <f>M453 - V453</f>
        <v>0</v>
      </c>
      <c r="X453" s="2">
        <f>IFERROR(W453 / M453 * 100, 0)</f>
        <v>0</v>
      </c>
    </row>
    <row r="454" spans="1:24">
      <c r="A454" t="s">
        <v>4598</v>
      </c>
      <c r="B454" t="s">
        <v>512</v>
      </c>
      <c r="C454" t="s">
        <v>5266</v>
      </c>
      <c r="D454" t="s">
        <v>1007</v>
      </c>
      <c r="E454" t="s">
        <v>5482</v>
      </c>
      <c r="F454" t="s">
        <v>5935</v>
      </c>
      <c r="G454">
        <v>15.7</v>
      </c>
      <c r="H454">
        <v>37</v>
      </c>
      <c r="I454">
        <v>599.3200000000001</v>
      </c>
      <c r="J454">
        <v>16.9</v>
      </c>
      <c r="K454">
        <v>247.04</v>
      </c>
      <c r="L454">
        <v>0</v>
      </c>
      <c r="M454">
        <v>0</v>
      </c>
      <c r="N454">
        <v>0</v>
      </c>
      <c r="O454">
        <v>0</v>
      </c>
      <c r="P454" s="2">
        <f>(H454 + J454) - (L454 + N454)</f>
        <v>0</v>
      </c>
      <c r="Q454" s="2">
        <f>P454 * G454</f>
        <v>0</v>
      </c>
      <c r="R454">
        <v>20</v>
      </c>
      <c r="S454" s="2">
        <f>R454 * G454</f>
        <v>0</v>
      </c>
      <c r="T454" s="2">
        <f>(H454 + J454) - (L454 + N454) - R454</f>
        <v>0</v>
      </c>
      <c r="U454" s="2">
        <f>T454 * G454</f>
        <v>0</v>
      </c>
      <c r="V454" s="2">
        <f>I454 + K454 - S454</f>
        <v>0</v>
      </c>
      <c r="W454" s="2">
        <f>M454 - V454</f>
        <v>0</v>
      </c>
      <c r="X454" s="2">
        <f>IFERROR(W454 / M454 * 100, 0)</f>
        <v>0</v>
      </c>
    </row>
    <row r="455" spans="1:24">
      <c r="A455" t="s">
        <v>4599</v>
      </c>
      <c r="B455" t="s">
        <v>512</v>
      </c>
      <c r="C455" t="s">
        <v>5267</v>
      </c>
      <c r="D455" t="s">
        <v>1007</v>
      </c>
      <c r="E455" t="s">
        <v>5482</v>
      </c>
      <c r="F455" t="s">
        <v>5936</v>
      </c>
      <c r="G455">
        <v>3.29</v>
      </c>
      <c r="H455">
        <v>13</v>
      </c>
      <c r="I455">
        <v>46.6</v>
      </c>
      <c r="J455">
        <v>21</v>
      </c>
      <c r="K455">
        <v>65.22</v>
      </c>
      <c r="L455">
        <v>0</v>
      </c>
      <c r="M455">
        <v>0</v>
      </c>
      <c r="N455">
        <v>0</v>
      </c>
      <c r="O455">
        <v>0</v>
      </c>
      <c r="P455" s="2">
        <f>(H455 + J455) - (L455 + N455)</f>
        <v>0</v>
      </c>
      <c r="Q455" s="2">
        <f>P455 * G455</f>
        <v>0</v>
      </c>
      <c r="R455">
        <v>4</v>
      </c>
      <c r="S455" s="2">
        <f>R455 * G455</f>
        <v>0</v>
      </c>
      <c r="T455" s="2">
        <f>(H455 + J455) - (L455 + N455) - R455</f>
        <v>0</v>
      </c>
      <c r="U455" s="2">
        <f>T455 * G455</f>
        <v>0</v>
      </c>
      <c r="V455" s="2">
        <f>I455 + K455 - S455</f>
        <v>0</v>
      </c>
      <c r="W455" s="2">
        <f>M455 - V455</f>
        <v>0</v>
      </c>
      <c r="X455" s="2">
        <f>IFERROR(W455 / M455 * 100, 0)</f>
        <v>0</v>
      </c>
    </row>
    <row r="456" spans="1:24">
      <c r="A456" t="s">
        <v>4600</v>
      </c>
      <c r="B456" t="s">
        <v>512</v>
      </c>
      <c r="C456" t="s">
        <v>5268</v>
      </c>
      <c r="D456" t="s">
        <v>1007</v>
      </c>
      <c r="E456" t="s">
        <v>5482</v>
      </c>
      <c r="F456" t="s">
        <v>5820</v>
      </c>
      <c r="G456">
        <v>14.64</v>
      </c>
      <c r="H456">
        <v>0.5</v>
      </c>
      <c r="I456">
        <v>7.32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 s="2">
        <f>(H456 + J456) - (L456 + N456)</f>
        <v>0</v>
      </c>
      <c r="Q456" s="2">
        <f>P456 * G456</f>
        <v>0</v>
      </c>
      <c r="R456">
        <v>0</v>
      </c>
      <c r="S456" s="2">
        <f>R456 * G456</f>
        <v>0</v>
      </c>
      <c r="T456" s="2">
        <f>(H456 + J456) - (L456 + N456) - R456</f>
        <v>0</v>
      </c>
      <c r="U456" s="2">
        <f>T456 * G456</f>
        <v>0</v>
      </c>
      <c r="V456" s="2">
        <f>I456 + K456 - S456</f>
        <v>0</v>
      </c>
      <c r="W456" s="2">
        <f>M456 - V456</f>
        <v>0</v>
      </c>
      <c r="X456" s="2">
        <f>IFERROR(W456 / M456 * 100, 0)</f>
        <v>0</v>
      </c>
    </row>
    <row r="457" spans="1:24">
      <c r="A457" t="s">
        <v>4601</v>
      </c>
      <c r="B457" t="s">
        <v>512</v>
      </c>
      <c r="C457" t="s">
        <v>5269</v>
      </c>
      <c r="D457" t="s">
        <v>1007</v>
      </c>
      <c r="E457" t="s">
        <v>5482</v>
      </c>
      <c r="F457" t="s">
        <v>5937</v>
      </c>
      <c r="G457">
        <v>7.75</v>
      </c>
      <c r="H457">
        <v>0</v>
      </c>
      <c r="I457">
        <v>0</v>
      </c>
      <c r="J457">
        <v>100</v>
      </c>
      <c r="K457">
        <v>775</v>
      </c>
      <c r="L457">
        <v>0</v>
      </c>
      <c r="M457">
        <v>0</v>
      </c>
      <c r="N457">
        <v>0</v>
      </c>
      <c r="O457">
        <v>0</v>
      </c>
      <c r="P457" s="2">
        <f>(H457 + J457) - (L457 + N457)</f>
        <v>0</v>
      </c>
      <c r="Q457" s="2">
        <f>P457 * G457</f>
        <v>0</v>
      </c>
      <c r="R457">
        <v>0</v>
      </c>
      <c r="S457" s="2">
        <f>R457 * G457</f>
        <v>0</v>
      </c>
      <c r="T457" s="2">
        <f>(H457 + J457) - (L457 + N457) - R457</f>
        <v>0</v>
      </c>
      <c r="U457" s="2">
        <f>T457 * G457</f>
        <v>0</v>
      </c>
      <c r="V457" s="2">
        <f>I457 + K457 - S457</f>
        <v>0</v>
      </c>
      <c r="W457" s="2">
        <f>M457 - V457</f>
        <v>0</v>
      </c>
      <c r="X457" s="2">
        <f>IFERROR(W457 / M457 * 100, 0)</f>
        <v>0</v>
      </c>
    </row>
    <row r="458" spans="1:24">
      <c r="A458" t="s">
        <v>4602</v>
      </c>
      <c r="B458" t="s">
        <v>512</v>
      </c>
      <c r="C458" t="s">
        <v>5270</v>
      </c>
      <c r="D458" t="s">
        <v>1007</v>
      </c>
      <c r="E458" t="s">
        <v>5482</v>
      </c>
      <c r="F458" t="s">
        <v>5938</v>
      </c>
      <c r="G458">
        <v>41.94</v>
      </c>
      <c r="H458">
        <v>10</v>
      </c>
      <c r="I458">
        <v>419.4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 s="2">
        <f>(H458 + J458) - (L458 + N458)</f>
        <v>0</v>
      </c>
      <c r="Q458" s="2">
        <f>P458 * G458</f>
        <v>0</v>
      </c>
      <c r="R458">
        <v>5</v>
      </c>
      <c r="S458" s="2">
        <f>R458 * G458</f>
        <v>0</v>
      </c>
      <c r="T458" s="2">
        <f>(H458 + J458) - (L458 + N458) - R458</f>
        <v>0</v>
      </c>
      <c r="U458" s="2">
        <f>T458 * G458</f>
        <v>0</v>
      </c>
      <c r="V458" s="2">
        <f>I458 + K458 - S458</f>
        <v>0</v>
      </c>
      <c r="W458" s="2">
        <f>M458 - V458</f>
        <v>0</v>
      </c>
      <c r="X458" s="2">
        <f>IFERROR(W458 / M458 * 100, 0)</f>
        <v>0</v>
      </c>
    </row>
    <row r="459" spans="1:24">
      <c r="A459" t="s">
        <v>4603</v>
      </c>
      <c r="B459" t="s">
        <v>512</v>
      </c>
      <c r="C459" t="s">
        <v>5271</v>
      </c>
      <c r="D459" t="s">
        <v>1007</v>
      </c>
      <c r="E459" t="s">
        <v>5482</v>
      </c>
      <c r="F459" t="s">
        <v>5939</v>
      </c>
      <c r="G459">
        <v>50</v>
      </c>
      <c r="H459">
        <v>0.5</v>
      </c>
      <c r="I459">
        <v>25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 s="2">
        <f>(H459 + J459) - (L459 + N459)</f>
        <v>0</v>
      </c>
      <c r="Q459" s="2">
        <f>P459 * G459</f>
        <v>0</v>
      </c>
      <c r="R459">
        <v>0.5</v>
      </c>
      <c r="S459" s="2">
        <f>R459 * G459</f>
        <v>0</v>
      </c>
      <c r="T459" s="2">
        <f>(H459 + J459) - (L459 + N459) - R459</f>
        <v>0</v>
      </c>
      <c r="U459" s="2">
        <f>T459 * G459</f>
        <v>0</v>
      </c>
      <c r="V459" s="2">
        <f>I459 + K459 - S459</f>
        <v>0</v>
      </c>
      <c r="W459" s="2">
        <f>M459 - V459</f>
        <v>0</v>
      </c>
      <c r="X459" s="2">
        <f>IFERROR(W459 / M459 * 100, 0)</f>
        <v>0</v>
      </c>
    </row>
    <row r="460" spans="1:24">
      <c r="A460" t="s">
        <v>4604</v>
      </c>
      <c r="B460" t="s">
        <v>512</v>
      </c>
      <c r="C460" t="s">
        <v>5272</v>
      </c>
      <c r="D460" t="s">
        <v>1007</v>
      </c>
      <c r="E460" t="s">
        <v>5482</v>
      </c>
      <c r="F460" t="s">
        <v>5940</v>
      </c>
      <c r="G460">
        <v>23.33</v>
      </c>
      <c r="H460">
        <v>18</v>
      </c>
      <c r="I460">
        <v>419.99</v>
      </c>
      <c r="J460">
        <v>-5.95</v>
      </c>
      <c r="K460">
        <v>-138.83</v>
      </c>
      <c r="L460">
        <v>0</v>
      </c>
      <c r="M460">
        <v>0</v>
      </c>
      <c r="N460">
        <v>0</v>
      </c>
      <c r="O460">
        <v>0</v>
      </c>
      <c r="P460" s="2">
        <f>(H460 + J460) - (L460 + N460)</f>
        <v>0</v>
      </c>
      <c r="Q460" s="2">
        <f>P460 * G460</f>
        <v>0</v>
      </c>
      <c r="R460">
        <v>10</v>
      </c>
      <c r="S460" s="2">
        <f>R460 * G460</f>
        <v>0</v>
      </c>
      <c r="T460" s="2">
        <f>(H460 + J460) - (L460 + N460) - R460</f>
        <v>0</v>
      </c>
      <c r="U460" s="2">
        <f>T460 * G460</f>
        <v>0</v>
      </c>
      <c r="V460" s="2">
        <f>I460 + K460 - S460</f>
        <v>0</v>
      </c>
      <c r="W460" s="2">
        <f>M460 - V460</f>
        <v>0</v>
      </c>
      <c r="X460" s="2">
        <f>IFERROR(W460 / M460 * 100, 0)</f>
        <v>0</v>
      </c>
    </row>
    <row r="461" spans="1:24">
      <c r="A461" t="s">
        <v>4605</v>
      </c>
      <c r="B461" t="s">
        <v>512</v>
      </c>
      <c r="C461" t="s">
        <v>5273</v>
      </c>
      <c r="D461" t="s">
        <v>1007</v>
      </c>
      <c r="E461" t="s">
        <v>5482</v>
      </c>
      <c r="F461" t="s">
        <v>5941</v>
      </c>
      <c r="G461">
        <v>17.5</v>
      </c>
      <c r="H461">
        <v>0</v>
      </c>
      <c r="I461">
        <v>0</v>
      </c>
      <c r="J461">
        <v>7.21</v>
      </c>
      <c r="K461">
        <v>126.18</v>
      </c>
      <c r="L461">
        <v>0</v>
      </c>
      <c r="M461">
        <v>0</v>
      </c>
      <c r="N461">
        <v>0</v>
      </c>
      <c r="O461">
        <v>0</v>
      </c>
      <c r="P461" s="2">
        <f>(H461 + J461) - (L461 + N461)</f>
        <v>0</v>
      </c>
      <c r="Q461" s="2">
        <f>P461 * G461</f>
        <v>0</v>
      </c>
      <c r="R461">
        <v>0</v>
      </c>
      <c r="S461" s="2">
        <f>R461 * G461</f>
        <v>0</v>
      </c>
      <c r="T461" s="2">
        <f>(H461 + J461) - (L461 + N461) - R461</f>
        <v>0</v>
      </c>
      <c r="U461" s="2">
        <f>T461 * G461</f>
        <v>0</v>
      </c>
      <c r="V461" s="2">
        <f>I461 + K461 - S461</f>
        <v>0</v>
      </c>
      <c r="W461" s="2">
        <f>M461 - V461</f>
        <v>0</v>
      </c>
      <c r="X461" s="2">
        <f>IFERROR(W461 / M461 * 100, 0)</f>
        <v>0</v>
      </c>
    </row>
    <row r="462" spans="1:24">
      <c r="A462" t="s">
        <v>4606</v>
      </c>
      <c r="B462" t="s">
        <v>512</v>
      </c>
      <c r="C462" t="s">
        <v>5274</v>
      </c>
      <c r="D462" t="s">
        <v>1007</v>
      </c>
      <c r="E462" t="s">
        <v>5482</v>
      </c>
      <c r="F462" t="s">
        <v>5942</v>
      </c>
      <c r="G462">
        <v>9.699999999999999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 s="2">
        <f>(H462 + J462) - (L462 + N462)</f>
        <v>0</v>
      </c>
      <c r="Q462" s="2">
        <f>P462 * G462</f>
        <v>0</v>
      </c>
      <c r="R462">
        <v>28</v>
      </c>
      <c r="S462" s="2">
        <f>R462 * G462</f>
        <v>0</v>
      </c>
      <c r="T462" s="2">
        <f>(H462 + J462) - (L462 + N462) - R462</f>
        <v>0</v>
      </c>
      <c r="U462" s="2">
        <f>T462 * G462</f>
        <v>0</v>
      </c>
      <c r="V462" s="2">
        <f>I462 + K462 - S462</f>
        <v>0</v>
      </c>
      <c r="W462" s="2">
        <f>M462 - V462</f>
        <v>0</v>
      </c>
      <c r="X462" s="2">
        <f>IFERROR(W462 / M462 * 100, 0)</f>
        <v>0</v>
      </c>
    </row>
    <row r="463" spans="1:24">
      <c r="A463" t="s">
        <v>4607</v>
      </c>
      <c r="B463" t="s">
        <v>512</v>
      </c>
      <c r="C463" t="s">
        <v>5275</v>
      </c>
      <c r="D463" t="s">
        <v>1007</v>
      </c>
      <c r="E463" t="s">
        <v>5482</v>
      </c>
      <c r="F463" t="s">
        <v>5943</v>
      </c>
      <c r="G463">
        <v>8</v>
      </c>
      <c r="H463">
        <v>0</v>
      </c>
      <c r="I463">
        <v>0</v>
      </c>
      <c r="J463">
        <v>0.71</v>
      </c>
      <c r="K463">
        <v>5.7</v>
      </c>
      <c r="L463">
        <v>0</v>
      </c>
      <c r="M463">
        <v>0</v>
      </c>
      <c r="N463">
        <v>0</v>
      </c>
      <c r="O463">
        <v>0</v>
      </c>
      <c r="P463" s="2">
        <f>(H463 + J463) - (L463 + N463)</f>
        <v>0</v>
      </c>
      <c r="Q463" s="2">
        <f>P463 * G463</f>
        <v>0</v>
      </c>
      <c r="R463">
        <v>0</v>
      </c>
      <c r="S463" s="2">
        <f>R463 * G463</f>
        <v>0</v>
      </c>
      <c r="T463" s="2">
        <f>(H463 + J463) - (L463 + N463) - R463</f>
        <v>0</v>
      </c>
      <c r="U463" s="2">
        <f>T463 * G463</f>
        <v>0</v>
      </c>
      <c r="V463" s="2">
        <f>I463 + K463 - S463</f>
        <v>0</v>
      </c>
      <c r="W463" s="2">
        <f>M463 - V463</f>
        <v>0</v>
      </c>
      <c r="X463" s="2">
        <f>IFERROR(W463 / M463 * 100, 0)</f>
        <v>0</v>
      </c>
    </row>
    <row r="464" spans="1:24">
      <c r="A464" t="s">
        <v>4608</v>
      </c>
      <c r="B464" t="s">
        <v>512</v>
      </c>
      <c r="C464" t="s">
        <v>5276</v>
      </c>
      <c r="D464" t="s">
        <v>1007</v>
      </c>
      <c r="E464" t="s">
        <v>5482</v>
      </c>
      <c r="F464" t="s">
        <v>5944</v>
      </c>
      <c r="G464">
        <v>25.88</v>
      </c>
      <c r="H464">
        <v>1</v>
      </c>
      <c r="I464">
        <v>25.88</v>
      </c>
      <c r="J464">
        <v>-23.8</v>
      </c>
      <c r="K464">
        <v>-565.98</v>
      </c>
      <c r="L464">
        <v>0</v>
      </c>
      <c r="M464">
        <v>0</v>
      </c>
      <c r="N464">
        <v>0</v>
      </c>
      <c r="O464">
        <v>0</v>
      </c>
      <c r="P464" s="2">
        <f>(H464 + J464) - (L464 + N464)</f>
        <v>0</v>
      </c>
      <c r="Q464" s="2">
        <f>P464 * G464</f>
        <v>0</v>
      </c>
      <c r="R464">
        <v>1</v>
      </c>
      <c r="S464" s="2">
        <f>R464 * G464</f>
        <v>0</v>
      </c>
      <c r="T464" s="2">
        <f>(H464 + J464) - (L464 + N464) - R464</f>
        <v>0</v>
      </c>
      <c r="U464" s="2">
        <f>T464 * G464</f>
        <v>0</v>
      </c>
      <c r="V464" s="2">
        <f>I464 + K464 - S464</f>
        <v>0</v>
      </c>
      <c r="W464" s="2">
        <f>M464 - V464</f>
        <v>0</v>
      </c>
      <c r="X464" s="2">
        <f>IFERROR(W464 / M464 * 100, 0)</f>
        <v>0</v>
      </c>
    </row>
    <row r="465" spans="1:24">
      <c r="A465" t="s">
        <v>4609</v>
      </c>
      <c r="B465" t="s">
        <v>512</v>
      </c>
      <c r="C465" t="s">
        <v>5277</v>
      </c>
      <c r="D465" t="s">
        <v>1007</v>
      </c>
      <c r="E465" t="s">
        <v>5482</v>
      </c>
      <c r="F465" t="s">
        <v>5945</v>
      </c>
      <c r="G465">
        <v>15.57</v>
      </c>
      <c r="H465">
        <v>2</v>
      </c>
      <c r="I465">
        <v>30.44</v>
      </c>
      <c r="J465">
        <v>66</v>
      </c>
      <c r="K465">
        <v>1027.99</v>
      </c>
      <c r="L465">
        <v>0</v>
      </c>
      <c r="M465">
        <v>0</v>
      </c>
      <c r="N465">
        <v>0</v>
      </c>
      <c r="O465">
        <v>0</v>
      </c>
      <c r="P465" s="2">
        <f>(H465 + J465) - (L465 + N465)</f>
        <v>0</v>
      </c>
      <c r="Q465" s="2">
        <f>P465 * G465</f>
        <v>0</v>
      </c>
      <c r="R465">
        <v>30</v>
      </c>
      <c r="S465" s="2">
        <f>R465 * G465</f>
        <v>0</v>
      </c>
      <c r="T465" s="2">
        <f>(H465 + J465) - (L465 + N465) - R465</f>
        <v>0</v>
      </c>
      <c r="U465" s="2">
        <f>T465 * G465</f>
        <v>0</v>
      </c>
      <c r="V465" s="2">
        <f>I465 + K465 - S465</f>
        <v>0</v>
      </c>
      <c r="W465" s="2">
        <f>M465 - V465</f>
        <v>0</v>
      </c>
      <c r="X465" s="2">
        <f>IFERROR(W465 / M465 * 100, 0)</f>
        <v>0</v>
      </c>
    </row>
    <row r="466" spans="1:24">
      <c r="A466" t="s">
        <v>4610</v>
      </c>
      <c r="B466" t="s">
        <v>512</v>
      </c>
      <c r="C466" t="s">
        <v>5278</v>
      </c>
      <c r="D466" t="s">
        <v>1007</v>
      </c>
      <c r="E466" t="s">
        <v>5482</v>
      </c>
      <c r="F466" t="s">
        <v>5946</v>
      </c>
      <c r="G466">
        <v>17.22</v>
      </c>
      <c r="H466">
        <v>0</v>
      </c>
      <c r="I466">
        <v>0</v>
      </c>
      <c r="J466">
        <v>20.34</v>
      </c>
      <c r="K466">
        <v>350.4</v>
      </c>
      <c r="L466">
        <v>0</v>
      </c>
      <c r="M466">
        <v>0</v>
      </c>
      <c r="N466">
        <v>0</v>
      </c>
      <c r="O466">
        <v>0</v>
      </c>
      <c r="P466" s="2">
        <f>(H466 + J466) - (L466 + N466)</f>
        <v>0</v>
      </c>
      <c r="Q466" s="2">
        <f>P466 * G466</f>
        <v>0</v>
      </c>
      <c r="R466">
        <v>0</v>
      </c>
      <c r="S466" s="2">
        <f>R466 * G466</f>
        <v>0</v>
      </c>
      <c r="T466" s="2">
        <f>(H466 + J466) - (L466 + N466) - R466</f>
        <v>0</v>
      </c>
      <c r="U466" s="2">
        <f>T466 * G466</f>
        <v>0</v>
      </c>
      <c r="V466" s="2">
        <f>I466 + K466 - S466</f>
        <v>0</v>
      </c>
      <c r="W466" s="2">
        <f>M466 - V466</f>
        <v>0</v>
      </c>
      <c r="X466" s="2">
        <f>IFERROR(W466 / M466 * 100, 0)</f>
        <v>0</v>
      </c>
    </row>
    <row r="467" spans="1:24">
      <c r="A467" t="s">
        <v>4611</v>
      </c>
      <c r="B467" t="s">
        <v>512</v>
      </c>
      <c r="C467" t="s">
        <v>5279</v>
      </c>
      <c r="D467" t="s">
        <v>1007</v>
      </c>
      <c r="E467" t="s">
        <v>5482</v>
      </c>
      <c r="F467" t="s">
        <v>5947</v>
      </c>
      <c r="G467">
        <v>13.01</v>
      </c>
      <c r="H467">
        <v>5</v>
      </c>
      <c r="I467">
        <v>65.08</v>
      </c>
      <c r="J467">
        <v>5</v>
      </c>
      <c r="K467">
        <v>65</v>
      </c>
      <c r="L467">
        <v>0</v>
      </c>
      <c r="M467">
        <v>0</v>
      </c>
      <c r="N467">
        <v>0</v>
      </c>
      <c r="O467">
        <v>0</v>
      </c>
      <c r="P467" s="2">
        <f>(H467 + J467) - (L467 + N467)</f>
        <v>0</v>
      </c>
      <c r="Q467" s="2">
        <f>P467 * G467</f>
        <v>0</v>
      </c>
      <c r="R467">
        <v>2</v>
      </c>
      <c r="S467" s="2">
        <f>R467 * G467</f>
        <v>0</v>
      </c>
      <c r="T467" s="2">
        <f>(H467 + J467) - (L467 + N467) - R467</f>
        <v>0</v>
      </c>
      <c r="U467" s="2">
        <f>T467 * G467</f>
        <v>0</v>
      </c>
      <c r="V467" s="2">
        <f>I467 + K467 - S467</f>
        <v>0</v>
      </c>
      <c r="W467" s="2">
        <f>M467 - V467</f>
        <v>0</v>
      </c>
      <c r="X467" s="2">
        <f>IFERROR(W467 / M467 * 100, 0)</f>
        <v>0</v>
      </c>
    </row>
    <row r="468" spans="1:24">
      <c r="A468" t="s">
        <v>4612</v>
      </c>
      <c r="B468" t="s">
        <v>512</v>
      </c>
      <c r="C468" t="s">
        <v>5280</v>
      </c>
      <c r="D468" t="s">
        <v>1007</v>
      </c>
      <c r="E468" t="s">
        <v>5482</v>
      </c>
      <c r="F468" t="s">
        <v>5948</v>
      </c>
      <c r="G468">
        <v>10.58</v>
      </c>
      <c r="H468">
        <v>80</v>
      </c>
      <c r="I468">
        <v>843.2</v>
      </c>
      <c r="J468">
        <v>122.23</v>
      </c>
      <c r="K468">
        <v>1294.63</v>
      </c>
      <c r="L468">
        <v>0</v>
      </c>
      <c r="M468">
        <v>0</v>
      </c>
      <c r="N468">
        <v>0</v>
      </c>
      <c r="O468">
        <v>0</v>
      </c>
      <c r="P468" s="2">
        <f>(H468 + J468) - (L468 + N468)</f>
        <v>0</v>
      </c>
      <c r="Q468" s="2">
        <f>P468 * G468</f>
        <v>0</v>
      </c>
      <c r="R468">
        <v>80</v>
      </c>
      <c r="S468" s="2">
        <f>R468 * G468</f>
        <v>0</v>
      </c>
      <c r="T468" s="2">
        <f>(H468 + J468) - (L468 + N468) - R468</f>
        <v>0</v>
      </c>
      <c r="U468" s="2">
        <f>T468 * G468</f>
        <v>0</v>
      </c>
      <c r="V468" s="2">
        <f>I468 + K468 - S468</f>
        <v>0</v>
      </c>
      <c r="W468" s="2">
        <f>M468 - V468</f>
        <v>0</v>
      </c>
      <c r="X468" s="2">
        <f>IFERROR(W468 / M468 * 100, 0)</f>
        <v>0</v>
      </c>
    </row>
    <row r="469" spans="1:24">
      <c r="A469" t="s">
        <v>4613</v>
      </c>
      <c r="B469" t="s">
        <v>512</v>
      </c>
      <c r="C469" t="s">
        <v>5281</v>
      </c>
      <c r="D469" t="s">
        <v>1007</v>
      </c>
      <c r="E469" t="s">
        <v>5482</v>
      </c>
      <c r="F469" t="s">
        <v>5949</v>
      </c>
      <c r="G469">
        <v>0.68</v>
      </c>
      <c r="H469">
        <v>20</v>
      </c>
      <c r="I469">
        <v>13.6</v>
      </c>
      <c r="J469">
        <v>-0.28</v>
      </c>
      <c r="K469">
        <v>-0.19</v>
      </c>
      <c r="L469">
        <v>0</v>
      </c>
      <c r="M469">
        <v>0</v>
      </c>
      <c r="N469">
        <v>0</v>
      </c>
      <c r="O469">
        <v>0</v>
      </c>
      <c r="P469" s="2">
        <f>(H469 + J469) - (L469 + N469)</f>
        <v>0</v>
      </c>
      <c r="Q469" s="2">
        <f>P469 * G469</f>
        <v>0</v>
      </c>
      <c r="R469">
        <v>50</v>
      </c>
      <c r="S469" s="2">
        <f>R469 * G469</f>
        <v>0</v>
      </c>
      <c r="T469" s="2">
        <f>(H469 + J469) - (L469 + N469) - R469</f>
        <v>0</v>
      </c>
      <c r="U469" s="2">
        <f>T469 * G469</f>
        <v>0</v>
      </c>
      <c r="V469" s="2">
        <f>I469 + K469 - S469</f>
        <v>0</v>
      </c>
      <c r="W469" s="2">
        <f>M469 - V469</f>
        <v>0</v>
      </c>
      <c r="X469" s="2">
        <f>IFERROR(W469 / M469 * 100, 0)</f>
        <v>0</v>
      </c>
    </row>
    <row r="470" spans="1:24">
      <c r="A470" t="s">
        <v>4614</v>
      </c>
      <c r="B470" t="s">
        <v>512</v>
      </c>
      <c r="C470" t="s">
        <v>5282</v>
      </c>
      <c r="D470" t="s">
        <v>1007</v>
      </c>
      <c r="E470" t="s">
        <v>5482</v>
      </c>
      <c r="F470" t="s">
        <v>5950</v>
      </c>
      <c r="G470">
        <v>34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 s="2">
        <f>(H470 + J470) - (L470 + N470)</f>
        <v>0</v>
      </c>
      <c r="Q470" s="2">
        <f>P470 * G470</f>
        <v>0</v>
      </c>
      <c r="R470">
        <v>0.25</v>
      </c>
      <c r="S470" s="2">
        <f>R470 * G470</f>
        <v>0</v>
      </c>
      <c r="T470" s="2">
        <f>(H470 + J470) - (L470 + N470) - R470</f>
        <v>0</v>
      </c>
      <c r="U470" s="2">
        <f>T470 * G470</f>
        <v>0</v>
      </c>
      <c r="V470" s="2">
        <f>I470 + K470 - S470</f>
        <v>0</v>
      </c>
      <c r="W470" s="2">
        <f>M470 - V470</f>
        <v>0</v>
      </c>
      <c r="X470" s="2">
        <f>IFERROR(W470 / M470 * 100, 0)</f>
        <v>0</v>
      </c>
    </row>
    <row r="471" spans="1:24">
      <c r="A471" t="s">
        <v>4615</v>
      </c>
      <c r="B471" t="s">
        <v>512</v>
      </c>
      <c r="C471" t="s">
        <v>5283</v>
      </c>
      <c r="D471" t="s">
        <v>1007</v>
      </c>
      <c r="E471" t="s">
        <v>5482</v>
      </c>
      <c r="F471" t="s">
        <v>5951</v>
      </c>
      <c r="G471">
        <v>12.24</v>
      </c>
      <c r="H471">
        <v>30</v>
      </c>
      <c r="I471">
        <v>356.98</v>
      </c>
      <c r="J471">
        <v>93.47</v>
      </c>
      <c r="K471">
        <v>1164.8</v>
      </c>
      <c r="L471">
        <v>0</v>
      </c>
      <c r="M471">
        <v>0</v>
      </c>
      <c r="N471">
        <v>0</v>
      </c>
      <c r="O471">
        <v>0</v>
      </c>
      <c r="P471" s="2">
        <f>(H471 + J471) - (L471 + N471)</f>
        <v>0</v>
      </c>
      <c r="Q471" s="2">
        <f>P471 * G471</f>
        <v>0</v>
      </c>
      <c r="R471">
        <v>30</v>
      </c>
      <c r="S471" s="2">
        <f>R471 * G471</f>
        <v>0</v>
      </c>
      <c r="T471" s="2">
        <f>(H471 + J471) - (L471 + N471) - R471</f>
        <v>0</v>
      </c>
      <c r="U471" s="2">
        <f>T471 * G471</f>
        <v>0</v>
      </c>
      <c r="V471" s="2">
        <f>I471 + K471 - S471</f>
        <v>0</v>
      </c>
      <c r="W471" s="2">
        <f>M471 - V471</f>
        <v>0</v>
      </c>
      <c r="X471" s="2">
        <f>IFERROR(W471 / M471 * 100, 0)</f>
        <v>0</v>
      </c>
    </row>
    <row r="472" spans="1:24">
      <c r="A472" t="s">
        <v>4616</v>
      </c>
      <c r="B472" t="s">
        <v>512</v>
      </c>
      <c r="C472" t="s">
        <v>5284</v>
      </c>
      <c r="D472" t="s">
        <v>1007</v>
      </c>
      <c r="E472" t="s">
        <v>5482</v>
      </c>
      <c r="F472" t="s">
        <v>5952</v>
      </c>
      <c r="G472">
        <v>24.44</v>
      </c>
      <c r="H472">
        <v>0.5</v>
      </c>
      <c r="I472">
        <v>12.75</v>
      </c>
      <c r="J472">
        <v>2.41</v>
      </c>
      <c r="K472">
        <v>57.39</v>
      </c>
      <c r="L472">
        <v>0</v>
      </c>
      <c r="M472">
        <v>0</v>
      </c>
      <c r="N472">
        <v>0</v>
      </c>
      <c r="O472">
        <v>0</v>
      </c>
      <c r="P472" s="2">
        <f>(H472 + J472) - (L472 + N472)</f>
        <v>0</v>
      </c>
      <c r="Q472" s="2">
        <f>P472 * G472</f>
        <v>0</v>
      </c>
      <c r="R472">
        <v>0.5</v>
      </c>
      <c r="S472" s="2">
        <f>R472 * G472</f>
        <v>0</v>
      </c>
      <c r="T472" s="2">
        <f>(H472 + J472) - (L472 + N472) - R472</f>
        <v>0</v>
      </c>
      <c r="U472" s="2">
        <f>T472 * G472</f>
        <v>0</v>
      </c>
      <c r="V472" s="2">
        <f>I472 + K472 - S472</f>
        <v>0</v>
      </c>
      <c r="W472" s="2">
        <f>M472 - V472</f>
        <v>0</v>
      </c>
      <c r="X472" s="2">
        <f>IFERROR(W472 / M472 * 100, 0)</f>
        <v>0</v>
      </c>
    </row>
    <row r="473" spans="1:24">
      <c r="A473" t="s">
        <v>4617</v>
      </c>
      <c r="B473" t="s">
        <v>512</v>
      </c>
      <c r="C473" t="s">
        <v>5285</v>
      </c>
      <c r="D473" t="s">
        <v>1007</v>
      </c>
      <c r="E473" t="s">
        <v>5482</v>
      </c>
      <c r="F473" t="s">
        <v>5953</v>
      </c>
      <c r="G473">
        <v>19</v>
      </c>
      <c r="H473">
        <v>1</v>
      </c>
      <c r="I473">
        <v>18.84</v>
      </c>
      <c r="J473">
        <v>22.36</v>
      </c>
      <c r="K473">
        <v>424.8</v>
      </c>
      <c r="L473">
        <v>0</v>
      </c>
      <c r="M473">
        <v>0</v>
      </c>
      <c r="N473">
        <v>0</v>
      </c>
      <c r="O473">
        <v>0</v>
      </c>
      <c r="P473" s="2">
        <f>(H473 + J473) - (L473 + N473)</f>
        <v>0</v>
      </c>
      <c r="Q473" s="2">
        <f>P473 * G473</f>
        <v>0</v>
      </c>
      <c r="R473">
        <v>15</v>
      </c>
      <c r="S473" s="2">
        <f>R473 * G473</f>
        <v>0</v>
      </c>
      <c r="T473" s="2">
        <f>(H473 + J473) - (L473 + N473) - R473</f>
        <v>0</v>
      </c>
      <c r="U473" s="2">
        <f>T473 * G473</f>
        <v>0</v>
      </c>
      <c r="V473" s="2">
        <f>I473 + K473 - S473</f>
        <v>0</v>
      </c>
      <c r="W473" s="2">
        <f>M473 - V473</f>
        <v>0</v>
      </c>
      <c r="X473" s="2">
        <f>IFERROR(W473 / M473 * 100, 0)</f>
        <v>0</v>
      </c>
    </row>
    <row r="474" spans="1:24">
      <c r="A474" t="s">
        <v>4618</v>
      </c>
      <c r="B474" t="s">
        <v>512</v>
      </c>
      <c r="C474" t="s">
        <v>5286</v>
      </c>
      <c r="D474" t="s">
        <v>1007</v>
      </c>
      <c r="E474" t="s">
        <v>5482</v>
      </c>
      <c r="F474" t="s">
        <v>5954</v>
      </c>
      <c r="G474">
        <v>33.81</v>
      </c>
      <c r="H474">
        <v>17</v>
      </c>
      <c r="I474">
        <v>555.58</v>
      </c>
      <c r="J474">
        <v>-11.09</v>
      </c>
      <c r="K474">
        <v>-355.7</v>
      </c>
      <c r="L474">
        <v>0</v>
      </c>
      <c r="M474">
        <v>0</v>
      </c>
      <c r="N474">
        <v>0</v>
      </c>
      <c r="O474">
        <v>0</v>
      </c>
      <c r="P474" s="2">
        <f>(H474 + J474) - (L474 + N474)</f>
        <v>0</v>
      </c>
      <c r="Q474" s="2">
        <f>P474 * G474</f>
        <v>0</v>
      </c>
      <c r="R474">
        <v>20</v>
      </c>
      <c r="S474" s="2">
        <f>R474 * G474</f>
        <v>0</v>
      </c>
      <c r="T474" s="2">
        <f>(H474 + J474) - (L474 + N474) - R474</f>
        <v>0</v>
      </c>
      <c r="U474" s="2">
        <f>T474 * G474</f>
        <v>0</v>
      </c>
      <c r="V474" s="2">
        <f>I474 + K474 - S474</f>
        <v>0</v>
      </c>
      <c r="W474" s="2">
        <f>M474 - V474</f>
        <v>0</v>
      </c>
      <c r="X474" s="2">
        <f>IFERROR(W474 / M474 * 100, 0)</f>
        <v>0</v>
      </c>
    </row>
    <row r="475" spans="1:24">
      <c r="A475" t="s">
        <v>4619</v>
      </c>
      <c r="B475" t="s">
        <v>512</v>
      </c>
      <c r="C475" t="s">
        <v>5287</v>
      </c>
      <c r="D475" t="s">
        <v>1007</v>
      </c>
      <c r="E475" t="s">
        <v>5482</v>
      </c>
      <c r="F475" t="s">
        <v>5955</v>
      </c>
      <c r="G475">
        <v>21.62</v>
      </c>
      <c r="H475">
        <v>8</v>
      </c>
      <c r="I475">
        <v>173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 s="2">
        <f>(H475 + J475) - (L475 + N475)</f>
        <v>0</v>
      </c>
      <c r="Q475" s="2">
        <f>P475 * G475</f>
        <v>0</v>
      </c>
      <c r="R475">
        <v>0</v>
      </c>
      <c r="S475" s="2">
        <f>R475 * G475</f>
        <v>0</v>
      </c>
      <c r="T475" s="2">
        <f>(H475 + J475) - (L475 + N475) - R475</f>
        <v>0</v>
      </c>
      <c r="U475" s="2">
        <f>T475 * G475</f>
        <v>0</v>
      </c>
      <c r="V475" s="2">
        <f>I475 + K475 - S475</f>
        <v>0</v>
      </c>
      <c r="W475" s="2">
        <f>M475 - V475</f>
        <v>0</v>
      </c>
      <c r="X475" s="2">
        <f>IFERROR(W475 / M475 * 100, 0)</f>
        <v>0</v>
      </c>
    </row>
    <row r="476" spans="1:24">
      <c r="A476" t="s">
        <v>4620</v>
      </c>
      <c r="B476" t="s">
        <v>512</v>
      </c>
      <c r="C476" t="s">
        <v>5288</v>
      </c>
      <c r="D476" t="s">
        <v>1007</v>
      </c>
      <c r="E476" t="s">
        <v>5482</v>
      </c>
      <c r="F476" t="s">
        <v>5956</v>
      </c>
      <c r="G476">
        <v>31.48</v>
      </c>
      <c r="H476">
        <v>0</v>
      </c>
      <c r="I476">
        <v>0</v>
      </c>
      <c r="J476">
        <v>-4.01</v>
      </c>
      <c r="K476">
        <v>-126.09</v>
      </c>
      <c r="L476">
        <v>0</v>
      </c>
      <c r="M476">
        <v>0</v>
      </c>
      <c r="N476">
        <v>0</v>
      </c>
      <c r="O476">
        <v>0</v>
      </c>
      <c r="P476" s="2">
        <f>(H476 + J476) - (L476 + N476)</f>
        <v>0</v>
      </c>
      <c r="Q476" s="2">
        <f>P476 * G476</f>
        <v>0</v>
      </c>
      <c r="R476">
        <v>0</v>
      </c>
      <c r="S476" s="2">
        <f>R476 * G476</f>
        <v>0</v>
      </c>
      <c r="T476" s="2">
        <f>(H476 + J476) - (L476 + N476) - R476</f>
        <v>0</v>
      </c>
      <c r="U476" s="2">
        <f>T476 * G476</f>
        <v>0</v>
      </c>
      <c r="V476" s="2">
        <f>I476 + K476 - S476</f>
        <v>0</v>
      </c>
      <c r="W476" s="2">
        <f>M476 - V476</f>
        <v>0</v>
      </c>
      <c r="X476" s="2">
        <f>IFERROR(W476 / M476 * 100, 0)</f>
        <v>0</v>
      </c>
    </row>
    <row r="477" spans="1:24">
      <c r="A477" t="s">
        <v>4621</v>
      </c>
      <c r="B477" t="s">
        <v>512</v>
      </c>
      <c r="C477" t="s">
        <v>5289</v>
      </c>
      <c r="D477" t="s">
        <v>1007</v>
      </c>
      <c r="E477" t="s">
        <v>5482</v>
      </c>
      <c r="F477" t="s">
        <v>5957</v>
      </c>
      <c r="G477">
        <v>34.4</v>
      </c>
      <c r="H477">
        <v>0</v>
      </c>
      <c r="I477">
        <v>0</v>
      </c>
      <c r="J477">
        <v>-16.24</v>
      </c>
      <c r="K477">
        <v>-558.59</v>
      </c>
      <c r="L477">
        <v>0</v>
      </c>
      <c r="M477">
        <v>0</v>
      </c>
      <c r="N477">
        <v>0</v>
      </c>
      <c r="O477">
        <v>0</v>
      </c>
      <c r="P477" s="2">
        <f>(H477 + J477) - (L477 + N477)</f>
        <v>0</v>
      </c>
      <c r="Q477" s="2">
        <f>P477 * G477</f>
        <v>0</v>
      </c>
      <c r="R477">
        <v>0</v>
      </c>
      <c r="S477" s="2">
        <f>R477 * G477</f>
        <v>0</v>
      </c>
      <c r="T477" s="2">
        <f>(H477 + J477) - (L477 + N477) - R477</f>
        <v>0</v>
      </c>
      <c r="U477" s="2">
        <f>T477 * G477</f>
        <v>0</v>
      </c>
      <c r="V477" s="2">
        <f>I477 + K477 - S477</f>
        <v>0</v>
      </c>
      <c r="W477" s="2">
        <f>M477 - V477</f>
        <v>0</v>
      </c>
      <c r="X477" s="2">
        <f>IFERROR(W477 / M477 * 100, 0)</f>
        <v>0</v>
      </c>
    </row>
    <row r="478" spans="1:24">
      <c r="A478" t="s">
        <v>4622</v>
      </c>
      <c r="B478" t="s">
        <v>512</v>
      </c>
      <c r="C478" t="s">
        <v>5290</v>
      </c>
      <c r="D478" t="s">
        <v>1007</v>
      </c>
      <c r="E478" t="s">
        <v>5482</v>
      </c>
      <c r="F478" t="s">
        <v>5958</v>
      </c>
      <c r="G478">
        <v>60</v>
      </c>
      <c r="H478">
        <v>15</v>
      </c>
      <c r="I478">
        <v>899.99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 s="2">
        <f>(H478 + J478) - (L478 + N478)</f>
        <v>0</v>
      </c>
      <c r="Q478" s="2">
        <f>P478 * G478</f>
        <v>0</v>
      </c>
      <c r="R478">
        <v>9</v>
      </c>
      <c r="S478" s="2">
        <f>R478 * G478</f>
        <v>0</v>
      </c>
      <c r="T478" s="2">
        <f>(H478 + J478) - (L478 + N478) - R478</f>
        <v>0</v>
      </c>
      <c r="U478" s="2">
        <f>T478 * G478</f>
        <v>0</v>
      </c>
      <c r="V478" s="2">
        <f>I478 + K478 - S478</f>
        <v>0</v>
      </c>
      <c r="W478" s="2">
        <f>M478 - V478</f>
        <v>0</v>
      </c>
      <c r="X478" s="2">
        <f>IFERROR(W478 / M478 * 100, 0)</f>
        <v>0</v>
      </c>
    </row>
    <row r="479" spans="1:24">
      <c r="A479" t="s">
        <v>4623</v>
      </c>
      <c r="B479" t="s">
        <v>512</v>
      </c>
      <c r="C479" t="s">
        <v>5291</v>
      </c>
      <c r="D479" t="s">
        <v>1007</v>
      </c>
      <c r="E479" t="s">
        <v>5482</v>
      </c>
      <c r="F479" t="s">
        <v>5959</v>
      </c>
      <c r="G479">
        <v>20.12</v>
      </c>
      <c r="H479">
        <v>25</v>
      </c>
      <c r="I479">
        <v>503.01</v>
      </c>
      <c r="J479">
        <v>-1.58</v>
      </c>
      <c r="K479">
        <v>-31.69</v>
      </c>
      <c r="L479">
        <v>0</v>
      </c>
      <c r="M479">
        <v>0</v>
      </c>
      <c r="N479">
        <v>0</v>
      </c>
      <c r="O479">
        <v>0</v>
      </c>
      <c r="P479" s="2">
        <f>(H479 + J479) - (L479 + N479)</f>
        <v>0</v>
      </c>
      <c r="Q479" s="2">
        <f>P479 * G479</f>
        <v>0</v>
      </c>
      <c r="R479">
        <v>20</v>
      </c>
      <c r="S479" s="2">
        <f>R479 * G479</f>
        <v>0</v>
      </c>
      <c r="T479" s="2">
        <f>(H479 + J479) - (L479 + N479) - R479</f>
        <v>0</v>
      </c>
      <c r="U479" s="2">
        <f>T479 * G479</f>
        <v>0</v>
      </c>
      <c r="V479" s="2">
        <f>I479 + K479 - S479</f>
        <v>0</v>
      </c>
      <c r="W479" s="2">
        <f>M479 - V479</f>
        <v>0</v>
      </c>
      <c r="X479" s="2">
        <f>IFERROR(W479 / M479 * 100, 0)</f>
        <v>0</v>
      </c>
    </row>
    <row r="480" spans="1:24">
      <c r="A480" t="s">
        <v>4624</v>
      </c>
      <c r="B480" t="s">
        <v>512</v>
      </c>
      <c r="C480" t="s">
        <v>5292</v>
      </c>
      <c r="D480" t="s">
        <v>1007</v>
      </c>
      <c r="E480" t="s">
        <v>5482</v>
      </c>
      <c r="F480" t="s">
        <v>5960</v>
      </c>
      <c r="G480">
        <v>20.34</v>
      </c>
      <c r="H480">
        <v>0</v>
      </c>
      <c r="I480">
        <v>0</v>
      </c>
      <c r="J480">
        <v>-5.08</v>
      </c>
      <c r="K480">
        <v>-103.33</v>
      </c>
      <c r="L480">
        <v>0</v>
      </c>
      <c r="M480">
        <v>0</v>
      </c>
      <c r="N480">
        <v>0</v>
      </c>
      <c r="O480">
        <v>0</v>
      </c>
      <c r="P480" s="2">
        <f>(H480 + J480) - (L480 + N480)</f>
        <v>0</v>
      </c>
      <c r="Q480" s="2">
        <f>P480 * G480</f>
        <v>0</v>
      </c>
      <c r="R480">
        <v>0</v>
      </c>
      <c r="S480" s="2">
        <f>R480 * G480</f>
        <v>0</v>
      </c>
      <c r="T480" s="2">
        <f>(H480 + J480) - (L480 + N480) - R480</f>
        <v>0</v>
      </c>
      <c r="U480" s="2">
        <f>T480 * G480</f>
        <v>0</v>
      </c>
      <c r="V480" s="2">
        <f>I480 + K480 - S480</f>
        <v>0</v>
      </c>
      <c r="W480" s="2">
        <f>M480 - V480</f>
        <v>0</v>
      </c>
      <c r="X480" s="2">
        <f>IFERROR(W480 / M480 * 100, 0)</f>
        <v>0</v>
      </c>
    </row>
    <row r="481" spans="1:24">
      <c r="A481" t="s">
        <v>4625</v>
      </c>
      <c r="B481" t="s">
        <v>512</v>
      </c>
      <c r="C481" t="s">
        <v>5293</v>
      </c>
      <c r="D481" t="s">
        <v>1007</v>
      </c>
      <c r="E481" t="s">
        <v>5482</v>
      </c>
      <c r="F481" t="s">
        <v>5961</v>
      </c>
      <c r="G481">
        <v>35.4</v>
      </c>
      <c r="H481">
        <v>0</v>
      </c>
      <c r="I481">
        <v>0</v>
      </c>
      <c r="J481">
        <v>-0.65</v>
      </c>
      <c r="K481">
        <v>-23.01</v>
      </c>
      <c r="L481">
        <v>0</v>
      </c>
      <c r="M481">
        <v>0</v>
      </c>
      <c r="N481">
        <v>0</v>
      </c>
      <c r="O481">
        <v>0</v>
      </c>
      <c r="P481" s="2">
        <f>(H481 + J481) - (L481 + N481)</f>
        <v>0</v>
      </c>
      <c r="Q481" s="2">
        <f>P481 * G481</f>
        <v>0</v>
      </c>
      <c r="R481">
        <v>0</v>
      </c>
      <c r="S481" s="2">
        <f>R481 * G481</f>
        <v>0</v>
      </c>
      <c r="T481" s="2">
        <f>(H481 + J481) - (L481 + N481) - R481</f>
        <v>0</v>
      </c>
      <c r="U481" s="2">
        <f>T481 * G481</f>
        <v>0</v>
      </c>
      <c r="V481" s="2">
        <f>I481 + K481 - S481</f>
        <v>0</v>
      </c>
      <c r="W481" s="2">
        <f>M481 - V481</f>
        <v>0</v>
      </c>
      <c r="X481" s="2">
        <f>IFERROR(W481 / M481 * 100, 0)</f>
        <v>0</v>
      </c>
    </row>
    <row r="482" spans="1:24">
      <c r="A482" t="s">
        <v>4626</v>
      </c>
      <c r="B482" t="s">
        <v>512</v>
      </c>
      <c r="C482" t="s">
        <v>5294</v>
      </c>
      <c r="D482" t="s">
        <v>1007</v>
      </c>
      <c r="E482" t="s">
        <v>5482</v>
      </c>
      <c r="F482" t="s">
        <v>5962</v>
      </c>
      <c r="G482">
        <v>11.74</v>
      </c>
      <c r="H482">
        <v>42</v>
      </c>
      <c r="I482">
        <v>502.83</v>
      </c>
      <c r="J482">
        <v>125.32</v>
      </c>
      <c r="K482">
        <v>1449.15</v>
      </c>
      <c r="L482">
        <v>0</v>
      </c>
      <c r="M482">
        <v>0</v>
      </c>
      <c r="N482">
        <v>0</v>
      </c>
      <c r="O482">
        <v>0</v>
      </c>
      <c r="P482" s="2">
        <f>(H482 + J482) - (L482 + N482)</f>
        <v>0</v>
      </c>
      <c r="Q482" s="2">
        <f>P482 * G482</f>
        <v>0</v>
      </c>
      <c r="R482">
        <v>47</v>
      </c>
      <c r="S482" s="2">
        <f>R482 * G482</f>
        <v>0</v>
      </c>
      <c r="T482" s="2">
        <f>(H482 + J482) - (L482 + N482) - R482</f>
        <v>0</v>
      </c>
      <c r="U482" s="2">
        <f>T482 * G482</f>
        <v>0</v>
      </c>
      <c r="V482" s="2">
        <f>I482 + K482 - S482</f>
        <v>0</v>
      </c>
      <c r="W482" s="2">
        <f>M482 - V482</f>
        <v>0</v>
      </c>
      <c r="X482" s="2">
        <f>IFERROR(W482 / M482 * 100, 0)</f>
        <v>0</v>
      </c>
    </row>
    <row r="483" spans="1:24">
      <c r="A483" t="s">
        <v>4627</v>
      </c>
      <c r="B483" t="s">
        <v>512</v>
      </c>
      <c r="C483" t="s">
        <v>5295</v>
      </c>
      <c r="D483" t="s">
        <v>1007</v>
      </c>
      <c r="E483" t="s">
        <v>5482</v>
      </c>
      <c r="F483" t="s">
        <v>5963</v>
      </c>
      <c r="G483">
        <v>52.3</v>
      </c>
      <c r="H483">
        <v>0</v>
      </c>
      <c r="I483">
        <v>0</v>
      </c>
      <c r="J483">
        <v>-0.03</v>
      </c>
      <c r="K483">
        <v>-1.46</v>
      </c>
      <c r="L483">
        <v>0</v>
      </c>
      <c r="M483">
        <v>0</v>
      </c>
      <c r="N483">
        <v>0</v>
      </c>
      <c r="O483">
        <v>0</v>
      </c>
      <c r="P483" s="2">
        <f>(H483 + J483) - (L483 + N483)</f>
        <v>0</v>
      </c>
      <c r="Q483" s="2">
        <f>P483 * G483</f>
        <v>0</v>
      </c>
      <c r="R483">
        <v>0</v>
      </c>
      <c r="S483" s="2">
        <f>R483 * G483</f>
        <v>0</v>
      </c>
      <c r="T483" s="2">
        <f>(H483 + J483) - (L483 + N483) - R483</f>
        <v>0</v>
      </c>
      <c r="U483" s="2">
        <f>T483 * G483</f>
        <v>0</v>
      </c>
      <c r="V483" s="2">
        <f>I483 + K483 - S483</f>
        <v>0</v>
      </c>
      <c r="W483" s="2">
        <f>M483 - V483</f>
        <v>0</v>
      </c>
      <c r="X483" s="2">
        <f>IFERROR(W483 / M483 * 100, 0)</f>
        <v>0</v>
      </c>
    </row>
    <row r="484" spans="1:24">
      <c r="A484" t="s">
        <v>4628</v>
      </c>
      <c r="B484" t="s">
        <v>512</v>
      </c>
      <c r="C484" t="s">
        <v>5296</v>
      </c>
      <c r="D484" t="s">
        <v>1007</v>
      </c>
      <c r="E484" t="s">
        <v>5482</v>
      </c>
      <c r="F484" t="s">
        <v>5964</v>
      </c>
      <c r="G484">
        <v>26.56</v>
      </c>
      <c r="H484">
        <v>0</v>
      </c>
      <c r="I484">
        <v>0</v>
      </c>
      <c r="J484">
        <v>-0.47</v>
      </c>
      <c r="K484">
        <v>-12.59</v>
      </c>
      <c r="L484">
        <v>0</v>
      </c>
      <c r="M484">
        <v>0</v>
      </c>
      <c r="N484">
        <v>0</v>
      </c>
      <c r="O484">
        <v>0</v>
      </c>
      <c r="P484" s="2">
        <f>(H484 + J484) - (L484 + N484)</f>
        <v>0</v>
      </c>
      <c r="Q484" s="2">
        <f>P484 * G484</f>
        <v>0</v>
      </c>
      <c r="R484">
        <v>0</v>
      </c>
      <c r="S484" s="2">
        <f>R484 * G484</f>
        <v>0</v>
      </c>
      <c r="T484" s="2">
        <f>(H484 + J484) - (L484 + N484) - R484</f>
        <v>0</v>
      </c>
      <c r="U484" s="2">
        <f>T484 * G484</f>
        <v>0</v>
      </c>
      <c r="V484" s="2">
        <f>I484 + K484 - S484</f>
        <v>0</v>
      </c>
      <c r="W484" s="2">
        <f>M484 - V484</f>
        <v>0</v>
      </c>
      <c r="X484" s="2">
        <f>IFERROR(W484 / M484 * 100, 0)</f>
        <v>0</v>
      </c>
    </row>
    <row r="485" spans="1:24">
      <c r="A485" t="s">
        <v>4629</v>
      </c>
      <c r="B485" t="s">
        <v>512</v>
      </c>
      <c r="C485" t="s">
        <v>5297</v>
      </c>
      <c r="D485" t="s">
        <v>1007</v>
      </c>
      <c r="E485" t="s">
        <v>5482</v>
      </c>
      <c r="F485" t="s">
        <v>5965</v>
      </c>
      <c r="G485">
        <v>10.25</v>
      </c>
      <c r="H485">
        <v>22</v>
      </c>
      <c r="I485">
        <v>225.5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 s="2">
        <f>(H485 + J485) - (L485 + N485)</f>
        <v>0</v>
      </c>
      <c r="Q485" s="2">
        <f>P485 * G485</f>
        <v>0</v>
      </c>
      <c r="R485">
        <v>28</v>
      </c>
      <c r="S485" s="2">
        <f>R485 * G485</f>
        <v>0</v>
      </c>
      <c r="T485" s="2">
        <f>(H485 + J485) - (L485 + N485) - R485</f>
        <v>0</v>
      </c>
      <c r="U485" s="2">
        <f>T485 * G485</f>
        <v>0</v>
      </c>
      <c r="V485" s="2">
        <f>I485 + K485 - S485</f>
        <v>0</v>
      </c>
      <c r="W485" s="2">
        <f>M485 - V485</f>
        <v>0</v>
      </c>
      <c r="X485" s="2">
        <f>IFERROR(W485 / M485 * 100, 0)</f>
        <v>0</v>
      </c>
    </row>
    <row r="486" spans="1:24">
      <c r="A486" t="s">
        <v>4630</v>
      </c>
      <c r="B486" t="s">
        <v>512</v>
      </c>
      <c r="C486" t="s">
        <v>5298</v>
      </c>
      <c r="D486" t="s">
        <v>1007</v>
      </c>
      <c r="E486" t="s">
        <v>5482</v>
      </c>
      <c r="F486" t="s">
        <v>5966</v>
      </c>
      <c r="G486">
        <v>28</v>
      </c>
      <c r="H486">
        <v>2</v>
      </c>
      <c r="I486">
        <v>56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 s="2">
        <f>(H486 + J486) - (L486 + N486)</f>
        <v>0</v>
      </c>
      <c r="Q486" s="2">
        <f>P486 * G486</f>
        <v>0</v>
      </c>
      <c r="R486">
        <v>2</v>
      </c>
      <c r="S486" s="2">
        <f>R486 * G486</f>
        <v>0</v>
      </c>
      <c r="T486" s="2">
        <f>(H486 + J486) - (L486 + N486) - R486</f>
        <v>0</v>
      </c>
      <c r="U486" s="2">
        <f>T486 * G486</f>
        <v>0</v>
      </c>
      <c r="V486" s="2">
        <f>I486 + K486 - S486</f>
        <v>0</v>
      </c>
      <c r="W486" s="2">
        <f>M486 - V486</f>
        <v>0</v>
      </c>
      <c r="X486" s="2">
        <f>IFERROR(W486 / M486 * 100, 0)</f>
        <v>0</v>
      </c>
    </row>
    <row r="487" spans="1:24">
      <c r="A487" t="s">
        <v>4631</v>
      </c>
      <c r="B487" t="s">
        <v>513</v>
      </c>
      <c r="C487" t="s">
        <v>5299</v>
      </c>
      <c r="D487" t="s">
        <v>1008</v>
      </c>
      <c r="E487" t="s">
        <v>5482</v>
      </c>
      <c r="F487" t="s">
        <v>5967</v>
      </c>
      <c r="G487">
        <v>1.04</v>
      </c>
      <c r="H487">
        <v>0</v>
      </c>
      <c r="I487">
        <v>0</v>
      </c>
      <c r="J487">
        <v>26</v>
      </c>
      <c r="K487">
        <v>27.83</v>
      </c>
      <c r="L487">
        <v>8</v>
      </c>
      <c r="M487">
        <v>36</v>
      </c>
      <c r="N487">
        <v>2</v>
      </c>
      <c r="O487">
        <v>2.11</v>
      </c>
      <c r="P487" s="2">
        <f>(H487 + J487) - (L487 + N487)</f>
        <v>0</v>
      </c>
      <c r="Q487" s="2">
        <f>P487 * G487</f>
        <v>0</v>
      </c>
      <c r="R487">
        <v>0</v>
      </c>
      <c r="S487" s="2">
        <f>R487 * G487</f>
        <v>0</v>
      </c>
      <c r="T487" s="2">
        <f>(H487 + J487) - (L487 + N487) - R487</f>
        <v>0</v>
      </c>
      <c r="U487" s="2">
        <f>T487 * G487</f>
        <v>0</v>
      </c>
      <c r="V487" s="2">
        <f>I487 + K487 - S487</f>
        <v>0</v>
      </c>
      <c r="W487" s="2">
        <f>M487 - V487</f>
        <v>0</v>
      </c>
      <c r="X487" s="2">
        <f>IFERROR(W487 / M487 * 100, 0)</f>
        <v>0</v>
      </c>
    </row>
    <row r="488" spans="1:24">
      <c r="A488" t="s">
        <v>4632</v>
      </c>
      <c r="B488" t="s">
        <v>513</v>
      </c>
      <c r="C488" t="s">
        <v>5300</v>
      </c>
      <c r="D488" t="s">
        <v>1008</v>
      </c>
      <c r="E488" t="s">
        <v>5482</v>
      </c>
      <c r="F488" t="s">
        <v>5968</v>
      </c>
      <c r="G488">
        <v>1.56</v>
      </c>
      <c r="H488">
        <v>4</v>
      </c>
      <c r="I488">
        <v>3.16</v>
      </c>
      <c r="J488">
        <v>362</v>
      </c>
      <c r="K488">
        <v>355.67</v>
      </c>
      <c r="L488">
        <v>345</v>
      </c>
      <c r="M488">
        <v>690</v>
      </c>
      <c r="N488">
        <v>0</v>
      </c>
      <c r="O488">
        <v>0</v>
      </c>
      <c r="P488" s="2">
        <f>(H488 + J488) - (L488 + N488)</f>
        <v>0</v>
      </c>
      <c r="Q488" s="2">
        <f>P488 * G488</f>
        <v>0</v>
      </c>
      <c r="R488">
        <v>11</v>
      </c>
      <c r="S488" s="2">
        <f>R488 * G488</f>
        <v>0</v>
      </c>
      <c r="T488" s="2">
        <f>(H488 + J488) - (L488 + N488) - R488</f>
        <v>0</v>
      </c>
      <c r="U488" s="2">
        <f>T488 * G488</f>
        <v>0</v>
      </c>
      <c r="V488" s="2">
        <f>I488 + K488 - S488</f>
        <v>0</v>
      </c>
      <c r="W488" s="2">
        <f>M488 - V488</f>
        <v>0</v>
      </c>
      <c r="X488" s="2">
        <f>IFERROR(W488 / M488 * 100, 0)</f>
        <v>0</v>
      </c>
    </row>
    <row r="489" spans="1:24">
      <c r="A489" t="s">
        <v>4633</v>
      </c>
      <c r="B489" t="s">
        <v>513</v>
      </c>
      <c r="C489" t="s">
        <v>5301</v>
      </c>
      <c r="D489" t="s">
        <v>1008</v>
      </c>
      <c r="E489" t="s">
        <v>5482</v>
      </c>
      <c r="F489" t="s">
        <v>5969</v>
      </c>
      <c r="G489">
        <v>3.05</v>
      </c>
      <c r="H489">
        <v>43</v>
      </c>
      <c r="I489">
        <v>115.37</v>
      </c>
      <c r="J489">
        <v>612</v>
      </c>
      <c r="K489">
        <v>1449.04</v>
      </c>
      <c r="L489">
        <v>620</v>
      </c>
      <c r="M489">
        <v>2887</v>
      </c>
      <c r="N489">
        <v>18</v>
      </c>
      <c r="O489">
        <v>56.73</v>
      </c>
      <c r="P489" s="2">
        <f>(H489 + J489) - (L489 + N489)</f>
        <v>0</v>
      </c>
      <c r="Q489" s="2">
        <f>P489 * G489</f>
        <v>0</v>
      </c>
      <c r="R489">
        <v>41</v>
      </c>
      <c r="S489" s="2">
        <f>R489 * G489</f>
        <v>0</v>
      </c>
      <c r="T489" s="2">
        <f>(H489 + J489) - (L489 + N489) - R489</f>
        <v>0</v>
      </c>
      <c r="U489" s="2">
        <f>T489 * G489</f>
        <v>0</v>
      </c>
      <c r="V489" s="2">
        <f>I489 + K489 - S489</f>
        <v>0</v>
      </c>
      <c r="W489" s="2">
        <f>M489 - V489</f>
        <v>0</v>
      </c>
      <c r="X489" s="2">
        <f>IFERROR(W489 / M489 * 100, 0)</f>
        <v>0</v>
      </c>
    </row>
    <row r="490" spans="1:24">
      <c r="A490" t="s">
        <v>4634</v>
      </c>
      <c r="B490" t="s">
        <v>513</v>
      </c>
      <c r="C490" t="s">
        <v>5302</v>
      </c>
      <c r="D490" t="s">
        <v>1008</v>
      </c>
      <c r="E490" t="s">
        <v>5482</v>
      </c>
      <c r="F490" t="s">
        <v>5970</v>
      </c>
      <c r="G490">
        <v>1.47</v>
      </c>
      <c r="H490">
        <v>0</v>
      </c>
      <c r="I490">
        <v>0</v>
      </c>
      <c r="J490">
        <v>76</v>
      </c>
      <c r="K490">
        <v>121.16</v>
      </c>
      <c r="L490">
        <v>33</v>
      </c>
      <c r="M490">
        <v>115.5</v>
      </c>
      <c r="N490">
        <v>10</v>
      </c>
      <c r="O490">
        <v>16.41</v>
      </c>
      <c r="P490" s="2">
        <f>(H490 + J490) - (L490 + N490)</f>
        <v>0</v>
      </c>
      <c r="Q490" s="2">
        <f>P490 * G490</f>
        <v>0</v>
      </c>
      <c r="R490">
        <v>0</v>
      </c>
      <c r="S490" s="2">
        <f>R490 * G490</f>
        <v>0</v>
      </c>
      <c r="T490" s="2">
        <f>(H490 + J490) - (L490 + N490) - R490</f>
        <v>0</v>
      </c>
      <c r="U490" s="2">
        <f>T490 * G490</f>
        <v>0</v>
      </c>
      <c r="V490" s="2">
        <f>I490 + K490 - S490</f>
        <v>0</v>
      </c>
      <c r="W490" s="2">
        <f>M490 - V490</f>
        <v>0</v>
      </c>
      <c r="X490" s="2">
        <f>IFERROR(W490 / M490 * 100, 0)</f>
        <v>0</v>
      </c>
    </row>
    <row r="491" spans="1:24">
      <c r="A491" t="s">
        <v>4635</v>
      </c>
      <c r="B491" t="s">
        <v>513</v>
      </c>
      <c r="C491" t="s">
        <v>5303</v>
      </c>
      <c r="D491" t="s">
        <v>1008</v>
      </c>
      <c r="E491" t="s">
        <v>5482</v>
      </c>
      <c r="F491" t="s">
        <v>5971</v>
      </c>
      <c r="G491">
        <v>0.93</v>
      </c>
      <c r="H491">
        <v>0</v>
      </c>
      <c r="I491">
        <v>0</v>
      </c>
      <c r="J491">
        <v>63</v>
      </c>
      <c r="K491">
        <v>58.22</v>
      </c>
      <c r="L491">
        <v>19</v>
      </c>
      <c r="M491">
        <v>66.5</v>
      </c>
      <c r="N491">
        <v>13</v>
      </c>
      <c r="O491">
        <v>12.06</v>
      </c>
      <c r="P491" s="2">
        <f>(H491 + J491) - (L491 + N491)</f>
        <v>0</v>
      </c>
      <c r="Q491" s="2">
        <f>P491 * G491</f>
        <v>0</v>
      </c>
      <c r="R491">
        <v>0</v>
      </c>
      <c r="S491" s="2">
        <f>R491 * G491</f>
        <v>0</v>
      </c>
      <c r="T491" s="2">
        <f>(H491 + J491) - (L491 + N491) - R491</f>
        <v>0</v>
      </c>
      <c r="U491" s="2">
        <f>T491 * G491</f>
        <v>0</v>
      </c>
      <c r="V491" s="2">
        <f>I491 + K491 - S491</f>
        <v>0</v>
      </c>
      <c r="W491" s="2">
        <f>M491 - V491</f>
        <v>0</v>
      </c>
      <c r="X491" s="2">
        <f>IFERROR(W491 / M491 * 100, 0)</f>
        <v>0</v>
      </c>
    </row>
    <row r="492" spans="1:24">
      <c r="A492" t="s">
        <v>4636</v>
      </c>
      <c r="B492" t="s">
        <v>513</v>
      </c>
      <c r="C492" t="s">
        <v>5304</v>
      </c>
      <c r="D492" t="s">
        <v>1008</v>
      </c>
      <c r="E492" t="s">
        <v>5482</v>
      </c>
      <c r="F492" t="s">
        <v>5972</v>
      </c>
      <c r="G492">
        <v>1.59</v>
      </c>
      <c r="H492">
        <v>0</v>
      </c>
      <c r="I492">
        <v>0</v>
      </c>
      <c r="J492">
        <v>3714</v>
      </c>
      <c r="K492">
        <v>2827.47</v>
      </c>
      <c r="L492">
        <v>3663</v>
      </c>
      <c r="M492">
        <v>6410.25</v>
      </c>
      <c r="N492">
        <v>48</v>
      </c>
      <c r="O492">
        <v>39.22</v>
      </c>
      <c r="P492" s="2">
        <f>(H492 + J492) - (L492 + N492)</f>
        <v>0</v>
      </c>
      <c r="Q492" s="2">
        <f>P492 * G492</f>
        <v>0</v>
      </c>
      <c r="R492">
        <v>0</v>
      </c>
      <c r="S492" s="2">
        <f>R492 * G492</f>
        <v>0</v>
      </c>
      <c r="T492" s="2">
        <f>(H492 + J492) - (L492 + N492) - R492</f>
        <v>0</v>
      </c>
      <c r="U492" s="2">
        <f>T492 * G492</f>
        <v>0</v>
      </c>
      <c r="V492" s="2">
        <f>I492 + K492 - S492</f>
        <v>0</v>
      </c>
      <c r="W492" s="2">
        <f>M492 - V492</f>
        <v>0</v>
      </c>
      <c r="X492" s="2">
        <f>IFERROR(W492 / M492 * 100, 0)</f>
        <v>0</v>
      </c>
    </row>
    <row r="493" spans="1:24">
      <c r="A493" t="s">
        <v>4637</v>
      </c>
      <c r="B493" t="s">
        <v>513</v>
      </c>
      <c r="C493" t="s">
        <v>5305</v>
      </c>
      <c r="D493" t="s">
        <v>1008</v>
      </c>
      <c r="E493" t="s">
        <v>5482</v>
      </c>
      <c r="F493" t="s">
        <v>5973</v>
      </c>
      <c r="G493">
        <v>0.84</v>
      </c>
      <c r="H493">
        <v>1</v>
      </c>
      <c r="I493">
        <v>0.74</v>
      </c>
      <c r="J493">
        <v>168</v>
      </c>
      <c r="K493">
        <v>138.66</v>
      </c>
      <c r="L493">
        <v>33</v>
      </c>
      <c r="M493">
        <v>90.75</v>
      </c>
      <c r="N493">
        <v>0</v>
      </c>
      <c r="O493">
        <v>0</v>
      </c>
      <c r="P493" s="2">
        <f>(H493 + J493) - (L493 + N493)</f>
        <v>0</v>
      </c>
      <c r="Q493" s="2">
        <f>P493 * G493</f>
        <v>0</v>
      </c>
      <c r="R493">
        <v>0</v>
      </c>
      <c r="S493" s="2">
        <f>R493 * G493</f>
        <v>0</v>
      </c>
      <c r="T493" s="2">
        <f>(H493 + J493) - (L493 + N493) - R493</f>
        <v>0</v>
      </c>
      <c r="U493" s="2">
        <f>T493 * G493</f>
        <v>0</v>
      </c>
      <c r="V493" s="2">
        <f>I493 + K493 - S493</f>
        <v>0</v>
      </c>
      <c r="W493" s="2">
        <f>M493 - V493</f>
        <v>0</v>
      </c>
      <c r="X493" s="2">
        <f>IFERROR(W493 / M493 * 100, 0)</f>
        <v>0</v>
      </c>
    </row>
    <row r="494" spans="1:24">
      <c r="A494" t="s">
        <v>4638</v>
      </c>
      <c r="B494" t="s">
        <v>513</v>
      </c>
      <c r="C494" t="s">
        <v>5306</v>
      </c>
      <c r="D494" t="s">
        <v>1008</v>
      </c>
      <c r="E494" t="s">
        <v>5482</v>
      </c>
      <c r="F494" t="s">
        <v>5974</v>
      </c>
      <c r="G494">
        <v>1.75</v>
      </c>
      <c r="H494">
        <v>0</v>
      </c>
      <c r="I494">
        <v>0</v>
      </c>
      <c r="J494">
        <v>166</v>
      </c>
      <c r="K494">
        <v>244.89</v>
      </c>
      <c r="L494">
        <v>169</v>
      </c>
      <c r="M494">
        <v>464.75</v>
      </c>
      <c r="N494">
        <v>0</v>
      </c>
      <c r="O494">
        <v>0</v>
      </c>
      <c r="P494" s="2">
        <f>(H494 + J494) - (L494 + N494)</f>
        <v>0</v>
      </c>
      <c r="Q494" s="2">
        <f>P494 * G494</f>
        <v>0</v>
      </c>
      <c r="R494">
        <v>30</v>
      </c>
      <c r="S494" s="2">
        <f>R494 * G494</f>
        <v>0</v>
      </c>
      <c r="T494" s="2">
        <f>(H494 + J494) - (L494 + N494) - R494</f>
        <v>0</v>
      </c>
      <c r="U494" s="2">
        <f>T494 * G494</f>
        <v>0</v>
      </c>
      <c r="V494" s="2">
        <f>I494 + K494 - S494</f>
        <v>0</v>
      </c>
      <c r="W494" s="2">
        <f>M494 - V494</f>
        <v>0</v>
      </c>
      <c r="X494" s="2">
        <f>IFERROR(W494 / M494 * 100, 0)</f>
        <v>0</v>
      </c>
    </row>
    <row r="495" spans="1:24">
      <c r="A495" t="s">
        <v>4639</v>
      </c>
      <c r="B495" t="s">
        <v>513</v>
      </c>
      <c r="C495" t="s">
        <v>5307</v>
      </c>
      <c r="D495" t="s">
        <v>1008</v>
      </c>
      <c r="E495" t="s">
        <v>5482</v>
      </c>
      <c r="F495" t="s">
        <v>5975</v>
      </c>
      <c r="G495">
        <v>4</v>
      </c>
      <c r="H495">
        <v>12</v>
      </c>
      <c r="I495">
        <v>23.89</v>
      </c>
      <c r="J495">
        <v>-1</v>
      </c>
      <c r="K495">
        <v>-4</v>
      </c>
      <c r="L495">
        <v>25</v>
      </c>
      <c r="M495">
        <v>112.5</v>
      </c>
      <c r="N495">
        <v>0</v>
      </c>
      <c r="O495">
        <v>0</v>
      </c>
      <c r="P495" s="2">
        <f>(H495 + J495) - (L495 + N495)</f>
        <v>0</v>
      </c>
      <c r="Q495" s="2">
        <f>P495 * G495</f>
        <v>0</v>
      </c>
      <c r="R495">
        <v>15</v>
      </c>
      <c r="S495" s="2">
        <f>R495 * G495</f>
        <v>0</v>
      </c>
      <c r="T495" s="2">
        <f>(H495 + J495) - (L495 + N495) - R495</f>
        <v>0</v>
      </c>
      <c r="U495" s="2">
        <f>T495 * G495</f>
        <v>0</v>
      </c>
      <c r="V495" s="2">
        <f>I495 + K495 - S495</f>
        <v>0</v>
      </c>
      <c r="W495" s="2">
        <f>M495 - V495</f>
        <v>0</v>
      </c>
      <c r="X495" s="2">
        <f>IFERROR(W495 / M495 * 100, 0)</f>
        <v>0</v>
      </c>
    </row>
    <row r="496" spans="1:24">
      <c r="A496" t="s">
        <v>4640</v>
      </c>
      <c r="B496" t="s">
        <v>513</v>
      </c>
      <c r="C496" t="s">
        <v>5308</v>
      </c>
      <c r="D496" t="s">
        <v>1008</v>
      </c>
      <c r="E496" t="s">
        <v>5482</v>
      </c>
      <c r="F496" t="s">
        <v>5976</v>
      </c>
      <c r="G496">
        <v>0.74</v>
      </c>
      <c r="H496">
        <v>90</v>
      </c>
      <c r="I496">
        <v>66.70999999999999</v>
      </c>
      <c r="J496">
        <v>737</v>
      </c>
      <c r="K496">
        <v>456.94</v>
      </c>
      <c r="L496">
        <v>818</v>
      </c>
      <c r="M496">
        <v>1227</v>
      </c>
      <c r="N496">
        <v>0</v>
      </c>
      <c r="O496">
        <v>0</v>
      </c>
      <c r="P496" s="2">
        <f>(H496 + J496) - (L496 + N496)</f>
        <v>0</v>
      </c>
      <c r="Q496" s="2">
        <f>P496 * G496</f>
        <v>0</v>
      </c>
      <c r="R496">
        <v>139</v>
      </c>
      <c r="S496" s="2">
        <f>R496 * G496</f>
        <v>0</v>
      </c>
      <c r="T496" s="2">
        <f>(H496 + J496) - (L496 + N496) - R496</f>
        <v>0</v>
      </c>
      <c r="U496" s="2">
        <f>T496 * G496</f>
        <v>0</v>
      </c>
      <c r="V496" s="2">
        <f>I496 + K496 - S496</f>
        <v>0</v>
      </c>
      <c r="W496" s="2">
        <f>M496 - V496</f>
        <v>0</v>
      </c>
      <c r="X496" s="2">
        <f>IFERROR(W496 / M496 * 100, 0)</f>
        <v>0</v>
      </c>
    </row>
    <row r="497" spans="1:24">
      <c r="A497" t="s">
        <v>4641</v>
      </c>
      <c r="B497" t="s">
        <v>513</v>
      </c>
      <c r="C497" t="s">
        <v>5309</v>
      </c>
      <c r="D497" t="s">
        <v>1008</v>
      </c>
      <c r="E497" t="s">
        <v>5482</v>
      </c>
      <c r="F497" t="s">
        <v>5977</v>
      </c>
      <c r="G497">
        <v>2.46</v>
      </c>
      <c r="H497">
        <v>7</v>
      </c>
      <c r="I497">
        <v>17.19</v>
      </c>
      <c r="J497">
        <v>0</v>
      </c>
      <c r="K497">
        <v>0</v>
      </c>
      <c r="L497">
        <v>22</v>
      </c>
      <c r="M497">
        <v>121</v>
      </c>
      <c r="N497">
        <v>0</v>
      </c>
      <c r="O497">
        <v>0</v>
      </c>
      <c r="P497" s="2">
        <f>(H497 + J497) - (L497 + N497)</f>
        <v>0</v>
      </c>
      <c r="Q497" s="2">
        <f>P497 * G497</f>
        <v>0</v>
      </c>
      <c r="R497">
        <v>7</v>
      </c>
      <c r="S497" s="2">
        <f>R497 * G497</f>
        <v>0</v>
      </c>
      <c r="T497" s="2">
        <f>(H497 + J497) - (L497 + N497) - R497</f>
        <v>0</v>
      </c>
      <c r="U497" s="2">
        <f>T497 * G497</f>
        <v>0</v>
      </c>
      <c r="V497" s="2">
        <f>I497 + K497 - S497</f>
        <v>0</v>
      </c>
      <c r="W497" s="2">
        <f>M497 - V497</f>
        <v>0</v>
      </c>
      <c r="X497" s="2">
        <f>IFERROR(W497 / M497 * 100, 0)</f>
        <v>0</v>
      </c>
    </row>
    <row r="498" spans="1:24">
      <c r="A498" t="s">
        <v>4642</v>
      </c>
      <c r="B498" t="s">
        <v>513</v>
      </c>
      <c r="C498" t="s">
        <v>5310</v>
      </c>
      <c r="D498" t="s">
        <v>1008</v>
      </c>
      <c r="E498" t="s">
        <v>5482</v>
      </c>
      <c r="F498" t="s">
        <v>5978</v>
      </c>
      <c r="G498">
        <v>2.56</v>
      </c>
      <c r="H498">
        <v>8</v>
      </c>
      <c r="I498">
        <v>19.49</v>
      </c>
      <c r="J498">
        <v>60</v>
      </c>
      <c r="K498">
        <v>150.82</v>
      </c>
      <c r="L498">
        <v>30</v>
      </c>
      <c r="M498">
        <v>165</v>
      </c>
      <c r="N498">
        <v>0</v>
      </c>
      <c r="O498">
        <v>0</v>
      </c>
      <c r="P498" s="2">
        <f>(H498 + J498) - (L498 + N498)</f>
        <v>0</v>
      </c>
      <c r="Q498" s="2">
        <f>P498 * G498</f>
        <v>0</v>
      </c>
      <c r="R498">
        <v>11</v>
      </c>
      <c r="S498" s="2">
        <f>R498 * G498</f>
        <v>0</v>
      </c>
      <c r="T498" s="2">
        <f>(H498 + J498) - (L498 + N498) - R498</f>
        <v>0</v>
      </c>
      <c r="U498" s="2">
        <f>T498 * G498</f>
        <v>0</v>
      </c>
      <c r="V498" s="2">
        <f>I498 + K498 - S498</f>
        <v>0</v>
      </c>
      <c r="W498" s="2">
        <f>M498 - V498</f>
        <v>0</v>
      </c>
      <c r="X498" s="2">
        <f>IFERROR(W498 / M498 * 100, 0)</f>
        <v>0</v>
      </c>
    </row>
    <row r="499" spans="1:24">
      <c r="A499" t="s">
        <v>4643</v>
      </c>
      <c r="B499" t="s">
        <v>513</v>
      </c>
      <c r="C499" t="s">
        <v>5311</v>
      </c>
      <c r="D499" t="s">
        <v>1008</v>
      </c>
      <c r="E499" t="s">
        <v>5482</v>
      </c>
      <c r="F499" t="s">
        <v>5979</v>
      </c>
      <c r="G499">
        <v>2.21</v>
      </c>
      <c r="H499">
        <v>24</v>
      </c>
      <c r="I499">
        <v>53.38</v>
      </c>
      <c r="J499">
        <v>390</v>
      </c>
      <c r="K499">
        <v>842.05</v>
      </c>
      <c r="L499">
        <v>370</v>
      </c>
      <c r="M499">
        <v>1387.5</v>
      </c>
      <c r="N499">
        <v>6</v>
      </c>
      <c r="O499">
        <v>13.77</v>
      </c>
      <c r="P499" s="2">
        <f>(H499 + J499) - (L499 + N499)</f>
        <v>0</v>
      </c>
      <c r="Q499" s="2">
        <f>P499 * G499</f>
        <v>0</v>
      </c>
      <c r="R499">
        <v>41</v>
      </c>
      <c r="S499" s="2">
        <f>R499 * G499</f>
        <v>0</v>
      </c>
      <c r="T499" s="2">
        <f>(H499 + J499) - (L499 + N499) - R499</f>
        <v>0</v>
      </c>
      <c r="U499" s="2">
        <f>T499 * G499</f>
        <v>0</v>
      </c>
      <c r="V499" s="2">
        <f>I499 + K499 - S499</f>
        <v>0</v>
      </c>
      <c r="W499" s="2">
        <f>M499 - V499</f>
        <v>0</v>
      </c>
      <c r="X499" s="2">
        <f>IFERROR(W499 / M499 * 100, 0)</f>
        <v>0</v>
      </c>
    </row>
    <row r="500" spans="1:24">
      <c r="A500" t="s">
        <v>4644</v>
      </c>
      <c r="B500" t="s">
        <v>513</v>
      </c>
      <c r="C500" t="s">
        <v>5312</v>
      </c>
      <c r="D500" t="s">
        <v>1008</v>
      </c>
      <c r="E500" t="s">
        <v>5482</v>
      </c>
      <c r="F500" t="s">
        <v>5980</v>
      </c>
      <c r="G500">
        <v>3.43</v>
      </c>
      <c r="H500">
        <v>0</v>
      </c>
      <c r="I500">
        <v>0</v>
      </c>
      <c r="J500">
        <v>2</v>
      </c>
      <c r="K500">
        <v>6.86</v>
      </c>
      <c r="L500">
        <v>6</v>
      </c>
      <c r="M500">
        <v>36</v>
      </c>
      <c r="N500">
        <v>0</v>
      </c>
      <c r="O500">
        <v>0</v>
      </c>
      <c r="P500" s="2">
        <f>(H500 + J500) - (L500 + N500)</f>
        <v>0</v>
      </c>
      <c r="Q500" s="2">
        <f>P500 * G500</f>
        <v>0</v>
      </c>
      <c r="R500">
        <v>0</v>
      </c>
      <c r="S500" s="2">
        <f>R500 * G500</f>
        <v>0</v>
      </c>
      <c r="T500" s="2">
        <f>(H500 + J500) - (L500 + N500) - R500</f>
        <v>0</v>
      </c>
      <c r="U500" s="2">
        <f>T500 * G500</f>
        <v>0</v>
      </c>
      <c r="V500" s="2">
        <f>I500 + K500 - S500</f>
        <v>0</v>
      </c>
      <c r="W500" s="2">
        <f>M500 - V500</f>
        <v>0</v>
      </c>
      <c r="X500" s="2">
        <f>IFERROR(W500 / M500 * 100, 0)</f>
        <v>0</v>
      </c>
    </row>
    <row r="501" spans="1:24">
      <c r="A501" t="s">
        <v>4645</v>
      </c>
      <c r="B501" t="s">
        <v>513</v>
      </c>
      <c r="C501" t="s">
        <v>5313</v>
      </c>
      <c r="D501" t="s">
        <v>1008</v>
      </c>
      <c r="E501" t="s">
        <v>5482</v>
      </c>
      <c r="F501" t="s">
        <v>5981</v>
      </c>
      <c r="G501">
        <v>2.12</v>
      </c>
      <c r="H501">
        <v>6</v>
      </c>
      <c r="I501">
        <v>12.76</v>
      </c>
      <c r="J501">
        <v>10</v>
      </c>
      <c r="K501">
        <v>21.17</v>
      </c>
      <c r="L501">
        <v>15</v>
      </c>
      <c r="M501">
        <v>75</v>
      </c>
      <c r="N501">
        <v>0</v>
      </c>
      <c r="O501">
        <v>0</v>
      </c>
      <c r="P501" s="2">
        <f>(H501 + J501) - (L501 + N501)</f>
        <v>0</v>
      </c>
      <c r="Q501" s="2">
        <f>P501 * G501</f>
        <v>0</v>
      </c>
      <c r="R501">
        <v>0</v>
      </c>
      <c r="S501" s="2">
        <f>R501 * G501</f>
        <v>0</v>
      </c>
      <c r="T501" s="2">
        <f>(H501 + J501) - (L501 + N501) - R501</f>
        <v>0</v>
      </c>
      <c r="U501" s="2">
        <f>T501 * G501</f>
        <v>0</v>
      </c>
      <c r="V501" s="2">
        <f>I501 + K501 - S501</f>
        <v>0</v>
      </c>
      <c r="W501" s="2">
        <f>M501 - V501</f>
        <v>0</v>
      </c>
      <c r="X501" s="2">
        <f>IFERROR(W501 / M501 * 100, 0)</f>
        <v>0</v>
      </c>
    </row>
    <row r="502" spans="1:24">
      <c r="A502" t="s">
        <v>4646</v>
      </c>
      <c r="B502" t="s">
        <v>513</v>
      </c>
      <c r="C502" t="s">
        <v>5314</v>
      </c>
      <c r="D502" t="s">
        <v>1008</v>
      </c>
      <c r="E502" t="s">
        <v>5482</v>
      </c>
      <c r="F502" t="s">
        <v>5982</v>
      </c>
      <c r="G502">
        <v>20</v>
      </c>
      <c r="H502">
        <v>0</v>
      </c>
      <c r="I502">
        <v>0</v>
      </c>
      <c r="J502">
        <v>6</v>
      </c>
      <c r="K502">
        <v>119.27</v>
      </c>
      <c r="L502">
        <v>22</v>
      </c>
      <c r="M502">
        <v>1320</v>
      </c>
      <c r="N502">
        <v>0</v>
      </c>
      <c r="O502">
        <v>0</v>
      </c>
      <c r="P502" s="2">
        <f>(H502 + J502) - (L502 + N502)</f>
        <v>0</v>
      </c>
      <c r="Q502" s="2">
        <f>P502 * G502</f>
        <v>0</v>
      </c>
      <c r="R502">
        <v>0</v>
      </c>
      <c r="S502" s="2">
        <f>R502 * G502</f>
        <v>0</v>
      </c>
      <c r="T502" s="2">
        <f>(H502 + J502) - (L502 + N502) - R502</f>
        <v>0</v>
      </c>
      <c r="U502" s="2">
        <f>T502 * G502</f>
        <v>0</v>
      </c>
      <c r="V502" s="2">
        <f>I502 + K502 - S502</f>
        <v>0</v>
      </c>
      <c r="W502" s="2">
        <f>M502 - V502</f>
        <v>0</v>
      </c>
      <c r="X502" s="2">
        <f>IFERROR(W502 / M502 * 100, 0)</f>
        <v>0</v>
      </c>
    </row>
    <row r="503" spans="1:24">
      <c r="A503" t="s">
        <v>4647</v>
      </c>
      <c r="B503" t="s">
        <v>513</v>
      </c>
      <c r="C503" t="s">
        <v>5315</v>
      </c>
      <c r="D503" t="s">
        <v>1008</v>
      </c>
      <c r="E503" t="s">
        <v>5482</v>
      </c>
      <c r="F503" t="s">
        <v>5983</v>
      </c>
      <c r="G503">
        <v>3.21</v>
      </c>
      <c r="H503">
        <v>79</v>
      </c>
      <c r="I503">
        <v>223.79</v>
      </c>
      <c r="J503">
        <v>1054</v>
      </c>
      <c r="K503">
        <v>2507.04</v>
      </c>
      <c r="L503">
        <v>859</v>
      </c>
      <c r="M503">
        <v>2961</v>
      </c>
      <c r="N503">
        <v>18</v>
      </c>
      <c r="O503">
        <v>49.18</v>
      </c>
      <c r="P503" s="2">
        <f>(H503 + J503) - (L503 + N503)</f>
        <v>0</v>
      </c>
      <c r="Q503" s="2">
        <f>P503 * G503</f>
        <v>0</v>
      </c>
      <c r="R503">
        <v>94</v>
      </c>
      <c r="S503" s="2">
        <f>R503 * G503</f>
        <v>0</v>
      </c>
      <c r="T503" s="2">
        <f>(H503 + J503) - (L503 + N503) - R503</f>
        <v>0</v>
      </c>
      <c r="U503" s="2">
        <f>T503 * G503</f>
        <v>0</v>
      </c>
      <c r="V503" s="2">
        <f>I503 + K503 - S503</f>
        <v>0</v>
      </c>
      <c r="W503" s="2">
        <f>M503 - V503</f>
        <v>0</v>
      </c>
      <c r="X503" s="2">
        <f>IFERROR(W503 / M503 * 100, 0)</f>
        <v>0</v>
      </c>
    </row>
    <row r="504" spans="1:24">
      <c r="A504" t="s">
        <v>4648</v>
      </c>
      <c r="B504" t="s">
        <v>513</v>
      </c>
      <c r="C504" t="s">
        <v>5316</v>
      </c>
      <c r="D504" t="s">
        <v>1008</v>
      </c>
      <c r="E504" t="s">
        <v>5482</v>
      </c>
      <c r="F504" t="s">
        <v>5984</v>
      </c>
      <c r="G504">
        <v>3.25</v>
      </c>
      <c r="H504">
        <v>6</v>
      </c>
      <c r="I504">
        <v>18.52</v>
      </c>
      <c r="J504">
        <v>20</v>
      </c>
      <c r="K504">
        <v>65.06</v>
      </c>
      <c r="L504">
        <v>20</v>
      </c>
      <c r="M504">
        <v>120</v>
      </c>
      <c r="N504">
        <v>0</v>
      </c>
      <c r="O504">
        <v>0</v>
      </c>
      <c r="P504" s="2">
        <f>(H504 + J504) - (L504 + N504)</f>
        <v>0</v>
      </c>
      <c r="Q504" s="2">
        <f>P504 * G504</f>
        <v>0</v>
      </c>
      <c r="R504">
        <v>2</v>
      </c>
      <c r="S504" s="2">
        <f>R504 * G504</f>
        <v>0</v>
      </c>
      <c r="T504" s="2">
        <f>(H504 + J504) - (L504 + N504) - R504</f>
        <v>0</v>
      </c>
      <c r="U504" s="2">
        <f>T504 * G504</f>
        <v>0</v>
      </c>
      <c r="V504" s="2">
        <f>I504 + K504 - S504</f>
        <v>0</v>
      </c>
      <c r="W504" s="2">
        <f>M504 - V504</f>
        <v>0</v>
      </c>
      <c r="X504" s="2">
        <f>IFERROR(W504 / M504 * 100, 0)</f>
        <v>0</v>
      </c>
    </row>
    <row r="505" spans="1:24">
      <c r="A505" t="s">
        <v>4649</v>
      </c>
      <c r="B505" t="s">
        <v>513</v>
      </c>
      <c r="C505" t="s">
        <v>5317</v>
      </c>
      <c r="D505" t="s">
        <v>1008</v>
      </c>
      <c r="E505" t="s">
        <v>5482</v>
      </c>
      <c r="F505" t="s">
        <v>5985</v>
      </c>
      <c r="G505">
        <v>1.31</v>
      </c>
      <c r="H505">
        <v>0</v>
      </c>
      <c r="I505">
        <v>0</v>
      </c>
      <c r="J505">
        <v>42</v>
      </c>
      <c r="K505">
        <v>53.95</v>
      </c>
      <c r="L505">
        <v>23</v>
      </c>
      <c r="M505">
        <v>126.5</v>
      </c>
      <c r="N505">
        <v>0</v>
      </c>
      <c r="O505">
        <v>0</v>
      </c>
      <c r="P505" s="2">
        <f>(H505 + J505) - (L505 + N505)</f>
        <v>0</v>
      </c>
      <c r="Q505" s="2">
        <f>P505 * G505</f>
        <v>0</v>
      </c>
      <c r="R505">
        <v>17</v>
      </c>
      <c r="S505" s="2">
        <f>R505 * G505</f>
        <v>0</v>
      </c>
      <c r="T505" s="2">
        <f>(H505 + J505) - (L505 + N505) - R505</f>
        <v>0</v>
      </c>
      <c r="U505" s="2">
        <f>T505 * G505</f>
        <v>0</v>
      </c>
      <c r="V505" s="2">
        <f>I505 + K505 - S505</f>
        <v>0</v>
      </c>
      <c r="W505" s="2">
        <f>M505 - V505</f>
        <v>0</v>
      </c>
      <c r="X505" s="2">
        <f>IFERROR(W505 / M505 * 100, 0)</f>
        <v>0</v>
      </c>
    </row>
    <row r="506" spans="1:24">
      <c r="A506" t="s">
        <v>4650</v>
      </c>
      <c r="B506" t="s">
        <v>513</v>
      </c>
      <c r="C506" t="s">
        <v>5318</v>
      </c>
      <c r="D506" t="s">
        <v>1008</v>
      </c>
      <c r="E506" t="s">
        <v>5482</v>
      </c>
      <c r="F506" t="s">
        <v>5986</v>
      </c>
      <c r="G506">
        <v>0.86</v>
      </c>
      <c r="H506">
        <v>0</v>
      </c>
      <c r="I506">
        <v>0</v>
      </c>
      <c r="J506">
        <v>36</v>
      </c>
      <c r="K506">
        <v>19.18</v>
      </c>
      <c r="L506">
        <v>29</v>
      </c>
      <c r="M506">
        <v>159.5</v>
      </c>
      <c r="N506">
        <v>0</v>
      </c>
      <c r="O506">
        <v>0</v>
      </c>
      <c r="P506" s="2">
        <f>(H506 + J506) - (L506 + N506)</f>
        <v>0</v>
      </c>
      <c r="Q506" s="2">
        <f>P506 * G506</f>
        <v>0</v>
      </c>
      <c r="R506">
        <v>0</v>
      </c>
      <c r="S506" s="2">
        <f>R506 * G506</f>
        <v>0</v>
      </c>
      <c r="T506" s="2">
        <f>(H506 + J506) - (L506 + N506) - R506</f>
        <v>0</v>
      </c>
      <c r="U506" s="2">
        <f>T506 * G506</f>
        <v>0</v>
      </c>
      <c r="V506" s="2">
        <f>I506 + K506 - S506</f>
        <v>0</v>
      </c>
      <c r="W506" s="2">
        <f>M506 - V506</f>
        <v>0</v>
      </c>
      <c r="X506" s="2">
        <f>IFERROR(W506 / M506 * 100, 0)</f>
        <v>0</v>
      </c>
    </row>
    <row r="507" spans="1:24">
      <c r="A507" t="s">
        <v>4651</v>
      </c>
      <c r="B507" t="s">
        <v>513</v>
      </c>
      <c r="C507" t="s">
        <v>5319</v>
      </c>
      <c r="D507" t="s">
        <v>1008</v>
      </c>
      <c r="E507" t="s">
        <v>5482</v>
      </c>
      <c r="F507" t="s">
        <v>5987</v>
      </c>
      <c r="G507">
        <v>2.27</v>
      </c>
      <c r="H507">
        <v>0</v>
      </c>
      <c r="I507">
        <v>0</v>
      </c>
      <c r="J507">
        <v>3</v>
      </c>
      <c r="K507">
        <v>6.81</v>
      </c>
      <c r="L507">
        <v>14</v>
      </c>
      <c r="M507">
        <v>77</v>
      </c>
      <c r="N507">
        <v>0</v>
      </c>
      <c r="O507">
        <v>0</v>
      </c>
      <c r="P507" s="2">
        <f>(H507 + J507) - (L507 + N507)</f>
        <v>0</v>
      </c>
      <c r="Q507" s="2">
        <f>P507 * G507</f>
        <v>0</v>
      </c>
      <c r="R507">
        <v>0</v>
      </c>
      <c r="S507" s="2">
        <f>R507 * G507</f>
        <v>0</v>
      </c>
      <c r="T507" s="2">
        <f>(H507 + J507) - (L507 + N507) - R507</f>
        <v>0</v>
      </c>
      <c r="U507" s="2">
        <f>T507 * G507</f>
        <v>0</v>
      </c>
      <c r="V507" s="2">
        <f>I507 + K507 - S507</f>
        <v>0</v>
      </c>
      <c r="W507" s="2">
        <f>M507 - V507</f>
        <v>0</v>
      </c>
      <c r="X507" s="2">
        <f>IFERROR(W507 / M507 * 100, 0)</f>
        <v>0</v>
      </c>
    </row>
    <row r="508" spans="1:24">
      <c r="A508" t="s">
        <v>4652</v>
      </c>
      <c r="B508" t="s">
        <v>513</v>
      </c>
      <c r="C508" t="s">
        <v>5320</v>
      </c>
      <c r="D508" t="s">
        <v>1008</v>
      </c>
      <c r="E508" t="s">
        <v>5482</v>
      </c>
      <c r="F508" t="s">
        <v>5988</v>
      </c>
      <c r="G508">
        <v>1.06</v>
      </c>
      <c r="H508">
        <v>0</v>
      </c>
      <c r="I508">
        <v>0</v>
      </c>
      <c r="J508">
        <v>984</v>
      </c>
      <c r="K508">
        <v>718.62</v>
      </c>
      <c r="L508">
        <v>841</v>
      </c>
      <c r="M508">
        <v>2102.5</v>
      </c>
      <c r="N508">
        <v>60</v>
      </c>
      <c r="O508">
        <v>64.36</v>
      </c>
      <c r="P508" s="2">
        <f>(H508 + J508) - (L508 + N508)</f>
        <v>0</v>
      </c>
      <c r="Q508" s="2">
        <f>P508 * G508</f>
        <v>0</v>
      </c>
      <c r="R508">
        <v>0</v>
      </c>
      <c r="S508" s="2">
        <f>R508 * G508</f>
        <v>0</v>
      </c>
      <c r="T508" s="2">
        <f>(H508 + J508) - (L508 + N508) - R508</f>
        <v>0</v>
      </c>
      <c r="U508" s="2">
        <f>T508 * G508</f>
        <v>0</v>
      </c>
      <c r="V508" s="2">
        <f>I508 + K508 - S508</f>
        <v>0</v>
      </c>
      <c r="W508" s="2">
        <f>M508 - V508</f>
        <v>0</v>
      </c>
      <c r="X508" s="2">
        <f>IFERROR(W508 / M508 * 100, 0)</f>
        <v>0</v>
      </c>
    </row>
    <row r="509" spans="1:24">
      <c r="A509" t="s">
        <v>4653</v>
      </c>
      <c r="B509" t="s">
        <v>513</v>
      </c>
      <c r="C509" t="s">
        <v>5321</v>
      </c>
      <c r="D509" t="s">
        <v>1008</v>
      </c>
      <c r="E509" t="s">
        <v>5482</v>
      </c>
      <c r="F509" t="s">
        <v>5989</v>
      </c>
      <c r="G509">
        <v>0.86</v>
      </c>
      <c r="H509">
        <v>0</v>
      </c>
      <c r="I509">
        <v>0</v>
      </c>
      <c r="J509">
        <v>1185</v>
      </c>
      <c r="K509">
        <v>700.59</v>
      </c>
      <c r="L509">
        <v>1162</v>
      </c>
      <c r="M509">
        <v>2420</v>
      </c>
      <c r="N509">
        <v>33</v>
      </c>
      <c r="O509">
        <v>31.05</v>
      </c>
      <c r="P509" s="2">
        <f>(H509 + J509) - (L509 + N509)</f>
        <v>0</v>
      </c>
      <c r="Q509" s="2">
        <f>P509 * G509</f>
        <v>0</v>
      </c>
      <c r="R509">
        <v>0</v>
      </c>
      <c r="S509" s="2">
        <f>R509 * G509</f>
        <v>0</v>
      </c>
      <c r="T509" s="2">
        <f>(H509 + J509) - (L509 + N509) - R509</f>
        <v>0</v>
      </c>
      <c r="U509" s="2">
        <f>T509 * G509</f>
        <v>0</v>
      </c>
      <c r="V509" s="2">
        <f>I509 + K509 - S509</f>
        <v>0</v>
      </c>
      <c r="W509" s="2">
        <f>M509 - V509</f>
        <v>0</v>
      </c>
      <c r="X509" s="2">
        <f>IFERROR(W509 / M509 * 100, 0)</f>
        <v>0</v>
      </c>
    </row>
    <row r="510" spans="1:24">
      <c r="A510" t="s">
        <v>4654</v>
      </c>
      <c r="B510" t="s">
        <v>513</v>
      </c>
      <c r="C510" t="s">
        <v>5322</v>
      </c>
      <c r="D510" t="s">
        <v>1008</v>
      </c>
      <c r="E510" t="s">
        <v>5482</v>
      </c>
      <c r="F510" t="s">
        <v>5990</v>
      </c>
      <c r="G510">
        <v>0.8100000000000001</v>
      </c>
      <c r="H510">
        <v>0</v>
      </c>
      <c r="I510">
        <v>0</v>
      </c>
      <c r="J510">
        <v>430</v>
      </c>
      <c r="K510">
        <v>259.32</v>
      </c>
      <c r="L510">
        <v>244</v>
      </c>
      <c r="M510">
        <v>488</v>
      </c>
      <c r="N510">
        <v>31</v>
      </c>
      <c r="O510">
        <v>25.04</v>
      </c>
      <c r="P510" s="2">
        <f>(H510 + J510) - (L510 + N510)</f>
        <v>0</v>
      </c>
      <c r="Q510" s="2">
        <f>P510 * G510</f>
        <v>0</v>
      </c>
      <c r="R510">
        <v>0</v>
      </c>
      <c r="S510" s="2">
        <f>R510 * G510</f>
        <v>0</v>
      </c>
      <c r="T510" s="2">
        <f>(H510 + J510) - (L510 + N510) - R510</f>
        <v>0</v>
      </c>
      <c r="U510" s="2">
        <f>T510 * G510</f>
        <v>0</v>
      </c>
      <c r="V510" s="2">
        <f>I510 + K510 - S510</f>
        <v>0</v>
      </c>
      <c r="W510" s="2">
        <f>M510 - V510</f>
        <v>0</v>
      </c>
      <c r="X510" s="2">
        <f>IFERROR(W510 / M510 * 100, 0)</f>
        <v>0</v>
      </c>
    </row>
    <row r="511" spans="1:24">
      <c r="A511" t="s">
        <v>4655</v>
      </c>
      <c r="B511" t="s">
        <v>513</v>
      </c>
      <c r="C511" t="s">
        <v>5323</v>
      </c>
      <c r="D511" t="s">
        <v>1008</v>
      </c>
      <c r="E511" t="s">
        <v>5482</v>
      </c>
      <c r="F511" t="s">
        <v>5991</v>
      </c>
      <c r="G511">
        <v>4.39</v>
      </c>
      <c r="H511">
        <v>2</v>
      </c>
      <c r="I511">
        <v>8.81</v>
      </c>
      <c r="J511">
        <v>28</v>
      </c>
      <c r="K511">
        <v>122.96</v>
      </c>
      <c r="L511">
        <v>19</v>
      </c>
      <c r="M511">
        <v>142.5</v>
      </c>
      <c r="N511">
        <v>0</v>
      </c>
      <c r="O511">
        <v>0</v>
      </c>
      <c r="P511" s="2">
        <f>(H511 + J511) - (L511 + N511)</f>
        <v>0</v>
      </c>
      <c r="Q511" s="2">
        <f>P511 * G511</f>
        <v>0</v>
      </c>
      <c r="R511">
        <v>0</v>
      </c>
      <c r="S511" s="2">
        <f>R511 * G511</f>
        <v>0</v>
      </c>
      <c r="T511" s="2">
        <f>(H511 + J511) - (L511 + N511) - R511</f>
        <v>0</v>
      </c>
      <c r="U511" s="2">
        <f>T511 * G511</f>
        <v>0</v>
      </c>
      <c r="V511" s="2">
        <f>I511 + K511 - S511</f>
        <v>0</v>
      </c>
      <c r="W511" s="2">
        <f>M511 - V511</f>
        <v>0</v>
      </c>
      <c r="X511" s="2">
        <f>IFERROR(W511 / M511 * 100, 0)</f>
        <v>0</v>
      </c>
    </row>
    <row r="512" spans="1:24">
      <c r="A512" t="s">
        <v>4656</v>
      </c>
      <c r="B512" t="s">
        <v>513</v>
      </c>
      <c r="C512" t="s">
        <v>5324</v>
      </c>
      <c r="D512" t="s">
        <v>1008</v>
      </c>
      <c r="E512" t="s">
        <v>5482</v>
      </c>
      <c r="F512" t="s">
        <v>5992</v>
      </c>
      <c r="G512">
        <v>1.43</v>
      </c>
      <c r="H512">
        <v>50</v>
      </c>
      <c r="I512">
        <v>71.8</v>
      </c>
      <c r="J512">
        <v>164</v>
      </c>
      <c r="K512">
        <v>161.57</v>
      </c>
      <c r="L512">
        <v>140</v>
      </c>
      <c r="M512">
        <v>840</v>
      </c>
      <c r="N512">
        <v>0</v>
      </c>
      <c r="O512">
        <v>0</v>
      </c>
      <c r="P512" s="2">
        <f>(H512 + J512) - (L512 + N512)</f>
        <v>0</v>
      </c>
      <c r="Q512" s="2">
        <f>P512 * G512</f>
        <v>0</v>
      </c>
      <c r="R512">
        <v>14</v>
      </c>
      <c r="S512" s="2">
        <f>R512 * G512</f>
        <v>0</v>
      </c>
      <c r="T512" s="2">
        <f>(H512 + J512) - (L512 + N512) - R512</f>
        <v>0</v>
      </c>
      <c r="U512" s="2">
        <f>T512 * G512</f>
        <v>0</v>
      </c>
      <c r="V512" s="2">
        <f>I512 + K512 - S512</f>
        <v>0</v>
      </c>
      <c r="W512" s="2">
        <f>M512 - V512</f>
        <v>0</v>
      </c>
      <c r="X512" s="2">
        <f>IFERROR(W512 / M512 * 100, 0)</f>
        <v>0</v>
      </c>
    </row>
    <row r="513" spans="1:24">
      <c r="A513" t="s">
        <v>4657</v>
      </c>
      <c r="B513" t="s">
        <v>513</v>
      </c>
      <c r="C513" t="s">
        <v>5325</v>
      </c>
      <c r="D513" t="s">
        <v>1008</v>
      </c>
      <c r="E513" t="s">
        <v>5482</v>
      </c>
      <c r="F513" t="s">
        <v>5993</v>
      </c>
      <c r="G513">
        <v>0.71</v>
      </c>
      <c r="H513">
        <v>19</v>
      </c>
      <c r="I513">
        <v>13.42</v>
      </c>
      <c r="J513">
        <v>-20</v>
      </c>
      <c r="K513">
        <v>-90</v>
      </c>
      <c r="L513">
        <v>49</v>
      </c>
      <c r="M513">
        <v>245</v>
      </c>
      <c r="N513">
        <v>0</v>
      </c>
      <c r="O513">
        <v>0</v>
      </c>
      <c r="P513" s="2">
        <f>(H513 + J513) - (L513 + N513)</f>
        <v>0</v>
      </c>
      <c r="Q513" s="2">
        <f>P513 * G513</f>
        <v>0</v>
      </c>
      <c r="R513">
        <v>82</v>
      </c>
      <c r="S513" s="2">
        <f>R513 * G513</f>
        <v>0</v>
      </c>
      <c r="T513" s="2">
        <f>(H513 + J513) - (L513 + N513) - R513</f>
        <v>0</v>
      </c>
      <c r="U513" s="2">
        <f>T513 * G513</f>
        <v>0</v>
      </c>
      <c r="V513" s="2">
        <f>I513 + K513 - S513</f>
        <v>0</v>
      </c>
      <c r="W513" s="2">
        <f>M513 - V513</f>
        <v>0</v>
      </c>
      <c r="X513" s="2">
        <f>IFERROR(W513 / M513 * 100, 0)</f>
        <v>0</v>
      </c>
    </row>
    <row r="514" spans="1:24">
      <c r="A514" t="s">
        <v>4658</v>
      </c>
      <c r="B514" t="s">
        <v>513</v>
      </c>
      <c r="C514" t="s">
        <v>5326</v>
      </c>
      <c r="D514" t="s">
        <v>1008</v>
      </c>
      <c r="E514" t="s">
        <v>5482</v>
      </c>
      <c r="F514" t="s">
        <v>5994</v>
      </c>
      <c r="G514">
        <v>1.85</v>
      </c>
      <c r="H514">
        <v>127</v>
      </c>
      <c r="I514">
        <v>172.81</v>
      </c>
      <c r="J514">
        <v>390</v>
      </c>
      <c r="K514">
        <v>349.85</v>
      </c>
      <c r="L514">
        <v>389</v>
      </c>
      <c r="M514">
        <v>1361.5</v>
      </c>
      <c r="N514">
        <v>9</v>
      </c>
      <c r="O514">
        <v>14.58</v>
      </c>
      <c r="P514" s="2">
        <f>(H514 + J514) - (L514 + N514)</f>
        <v>0</v>
      </c>
      <c r="Q514" s="2">
        <f>P514 * G514</f>
        <v>0</v>
      </c>
      <c r="R514">
        <v>56</v>
      </c>
      <c r="S514" s="2">
        <f>R514 * G514</f>
        <v>0</v>
      </c>
      <c r="T514" s="2">
        <f>(H514 + J514) - (L514 + N514) - R514</f>
        <v>0</v>
      </c>
      <c r="U514" s="2">
        <f>T514 * G514</f>
        <v>0</v>
      </c>
      <c r="V514" s="2">
        <f>I514 + K514 - S514</f>
        <v>0</v>
      </c>
      <c r="W514" s="2">
        <f>M514 - V514</f>
        <v>0</v>
      </c>
      <c r="X514" s="2">
        <f>IFERROR(W514 / M514 * 100, 0)</f>
        <v>0</v>
      </c>
    </row>
    <row r="515" spans="1:24">
      <c r="A515" t="s">
        <v>4659</v>
      </c>
      <c r="B515" t="s">
        <v>513</v>
      </c>
      <c r="C515" t="s">
        <v>5327</v>
      </c>
      <c r="D515" t="s">
        <v>1008</v>
      </c>
      <c r="E515" t="s">
        <v>5482</v>
      </c>
      <c r="F515" t="s">
        <v>5995</v>
      </c>
      <c r="G515">
        <v>1.08</v>
      </c>
      <c r="H515">
        <v>0</v>
      </c>
      <c r="I515">
        <v>0</v>
      </c>
      <c r="J515">
        <v>206</v>
      </c>
      <c r="K515">
        <v>222.94</v>
      </c>
      <c r="L515">
        <v>164</v>
      </c>
      <c r="M515">
        <v>574</v>
      </c>
      <c r="N515">
        <v>14</v>
      </c>
      <c r="O515">
        <v>15.23</v>
      </c>
      <c r="P515" s="2">
        <f>(H515 + J515) - (L515 + N515)</f>
        <v>0</v>
      </c>
      <c r="Q515" s="2">
        <f>P515 * G515</f>
        <v>0</v>
      </c>
      <c r="R515">
        <v>0</v>
      </c>
      <c r="S515" s="2">
        <f>R515 * G515</f>
        <v>0</v>
      </c>
      <c r="T515" s="2">
        <f>(H515 + J515) - (L515 + N515) - R515</f>
        <v>0</v>
      </c>
      <c r="U515" s="2">
        <f>T515 * G515</f>
        <v>0</v>
      </c>
      <c r="V515" s="2">
        <f>I515 + K515 - S515</f>
        <v>0</v>
      </c>
      <c r="W515" s="2">
        <f>M515 - V515</f>
        <v>0</v>
      </c>
      <c r="X515" s="2">
        <f>IFERROR(W515 / M515 * 100, 0)</f>
        <v>0</v>
      </c>
    </row>
    <row r="516" spans="1:24">
      <c r="A516" t="s">
        <v>4660</v>
      </c>
      <c r="B516" t="s">
        <v>513</v>
      </c>
      <c r="C516" t="s">
        <v>5328</v>
      </c>
      <c r="D516" t="s">
        <v>1008</v>
      </c>
      <c r="E516" t="s">
        <v>5482</v>
      </c>
      <c r="F516" t="s">
        <v>5996</v>
      </c>
      <c r="G516">
        <v>1.81</v>
      </c>
      <c r="H516">
        <v>15</v>
      </c>
      <c r="I516">
        <v>27.45</v>
      </c>
      <c r="J516">
        <v>20</v>
      </c>
      <c r="K516">
        <v>36.06</v>
      </c>
      <c r="L516">
        <v>26</v>
      </c>
      <c r="M516">
        <v>117</v>
      </c>
      <c r="N516">
        <v>0</v>
      </c>
      <c r="O516">
        <v>0</v>
      </c>
      <c r="P516" s="2">
        <f>(H516 + J516) - (L516 + N516)</f>
        <v>0</v>
      </c>
      <c r="Q516" s="2">
        <f>P516 * G516</f>
        <v>0</v>
      </c>
      <c r="R516">
        <v>33</v>
      </c>
      <c r="S516" s="2">
        <f>R516 * G516</f>
        <v>0</v>
      </c>
      <c r="T516" s="2">
        <f>(H516 + J516) - (L516 + N516) - R516</f>
        <v>0</v>
      </c>
      <c r="U516" s="2">
        <f>T516 * G516</f>
        <v>0</v>
      </c>
      <c r="V516" s="2">
        <f>I516 + K516 - S516</f>
        <v>0</v>
      </c>
      <c r="W516" s="2">
        <f>M516 - V516</f>
        <v>0</v>
      </c>
      <c r="X516" s="2">
        <f>IFERROR(W516 / M516 * 100, 0)</f>
        <v>0</v>
      </c>
    </row>
    <row r="517" spans="1:24">
      <c r="A517" t="s">
        <v>4661</v>
      </c>
      <c r="B517" t="s">
        <v>513</v>
      </c>
      <c r="C517" t="s">
        <v>5329</v>
      </c>
      <c r="D517" t="s">
        <v>1008</v>
      </c>
      <c r="E517" t="s">
        <v>5482</v>
      </c>
      <c r="F517" t="s">
        <v>5997</v>
      </c>
      <c r="G517">
        <v>2.71</v>
      </c>
      <c r="H517">
        <v>0</v>
      </c>
      <c r="I517">
        <v>0</v>
      </c>
      <c r="J517">
        <v>0</v>
      </c>
      <c r="K517">
        <v>0</v>
      </c>
      <c r="L517">
        <v>35</v>
      </c>
      <c r="M517">
        <v>202</v>
      </c>
      <c r="N517">
        <v>0</v>
      </c>
      <c r="O517">
        <v>0</v>
      </c>
      <c r="P517" s="2">
        <f>(H517 + J517) - (L517 + N517)</f>
        <v>0</v>
      </c>
      <c r="Q517" s="2">
        <f>P517 * G517</f>
        <v>0</v>
      </c>
      <c r="R517">
        <v>21</v>
      </c>
      <c r="S517" s="2">
        <f>R517 * G517</f>
        <v>0</v>
      </c>
      <c r="T517" s="2">
        <f>(H517 + J517) - (L517 + N517) - R517</f>
        <v>0</v>
      </c>
      <c r="U517" s="2">
        <f>T517 * G517</f>
        <v>0</v>
      </c>
      <c r="V517" s="2">
        <f>I517 + K517 - S517</f>
        <v>0</v>
      </c>
      <c r="W517" s="2">
        <f>M517 - V517</f>
        <v>0</v>
      </c>
      <c r="X517" s="2">
        <f>IFERROR(W517 / M517 * 100, 0)</f>
        <v>0</v>
      </c>
    </row>
    <row r="518" spans="1:24">
      <c r="A518" t="s">
        <v>4662</v>
      </c>
      <c r="B518" t="s">
        <v>513</v>
      </c>
      <c r="C518" t="s">
        <v>5330</v>
      </c>
      <c r="D518" t="s">
        <v>1008</v>
      </c>
      <c r="E518" t="s">
        <v>5482</v>
      </c>
      <c r="F518" t="s">
        <v>5998</v>
      </c>
      <c r="G518">
        <v>1.77</v>
      </c>
      <c r="H518">
        <v>30</v>
      </c>
      <c r="I518">
        <v>48.33</v>
      </c>
      <c r="J518">
        <v>20</v>
      </c>
      <c r="K518">
        <v>32.22</v>
      </c>
      <c r="L518">
        <v>19</v>
      </c>
      <c r="M518">
        <v>76</v>
      </c>
      <c r="N518">
        <v>0</v>
      </c>
      <c r="O518">
        <v>0</v>
      </c>
      <c r="P518" s="2">
        <f>(H518 + J518) - (L518 + N518)</f>
        <v>0</v>
      </c>
      <c r="Q518" s="2">
        <f>P518 * G518</f>
        <v>0</v>
      </c>
      <c r="R518">
        <v>4</v>
      </c>
      <c r="S518" s="2">
        <f>R518 * G518</f>
        <v>0</v>
      </c>
      <c r="T518" s="2">
        <f>(H518 + J518) - (L518 + N518) - R518</f>
        <v>0</v>
      </c>
      <c r="U518" s="2">
        <f>T518 * G518</f>
        <v>0</v>
      </c>
      <c r="V518" s="2">
        <f>I518 + K518 - S518</f>
        <v>0</v>
      </c>
      <c r="W518" s="2">
        <f>M518 - V518</f>
        <v>0</v>
      </c>
      <c r="X518" s="2">
        <f>IFERROR(W518 / M518 * 100, 0)</f>
        <v>0</v>
      </c>
    </row>
    <row r="519" spans="1:24">
      <c r="A519" t="s">
        <v>4663</v>
      </c>
      <c r="B519" t="s">
        <v>513</v>
      </c>
      <c r="C519" t="s">
        <v>5331</v>
      </c>
      <c r="D519" t="s">
        <v>1008</v>
      </c>
      <c r="E519" t="s">
        <v>5482</v>
      </c>
      <c r="F519" t="s">
        <v>5999</v>
      </c>
      <c r="G519">
        <v>2.52</v>
      </c>
      <c r="H519">
        <v>21</v>
      </c>
      <c r="I519">
        <v>52.55</v>
      </c>
      <c r="J519">
        <v>103</v>
      </c>
      <c r="K519">
        <v>214.38</v>
      </c>
      <c r="L519">
        <v>114</v>
      </c>
      <c r="M519">
        <v>513</v>
      </c>
      <c r="N519">
        <v>0</v>
      </c>
      <c r="O519">
        <v>0</v>
      </c>
      <c r="P519" s="2">
        <f>(H519 + J519) - (L519 + N519)</f>
        <v>0</v>
      </c>
      <c r="Q519" s="2">
        <f>P519 * G519</f>
        <v>0</v>
      </c>
      <c r="R519">
        <v>38</v>
      </c>
      <c r="S519" s="2">
        <f>R519 * G519</f>
        <v>0</v>
      </c>
      <c r="T519" s="2">
        <f>(H519 + J519) - (L519 + N519) - R519</f>
        <v>0</v>
      </c>
      <c r="U519" s="2">
        <f>T519 * G519</f>
        <v>0</v>
      </c>
      <c r="V519" s="2">
        <f>I519 + K519 - S519</f>
        <v>0</v>
      </c>
      <c r="W519" s="2">
        <f>M519 - V519</f>
        <v>0</v>
      </c>
      <c r="X519" s="2">
        <f>IFERROR(W519 / M519 * 100, 0)</f>
        <v>0</v>
      </c>
    </row>
    <row r="520" spans="1:24">
      <c r="A520" t="s">
        <v>4664</v>
      </c>
      <c r="B520" t="s">
        <v>513</v>
      </c>
      <c r="C520" t="s">
        <v>5332</v>
      </c>
      <c r="D520" t="s">
        <v>1008</v>
      </c>
      <c r="E520" t="s">
        <v>5482</v>
      </c>
      <c r="F520" t="s">
        <v>6000</v>
      </c>
      <c r="G520">
        <v>18.72</v>
      </c>
      <c r="H520">
        <v>1</v>
      </c>
      <c r="I520">
        <v>18.48</v>
      </c>
      <c r="J520">
        <v>10</v>
      </c>
      <c r="K520">
        <v>187.16</v>
      </c>
      <c r="L520">
        <v>12</v>
      </c>
      <c r="M520">
        <v>744</v>
      </c>
      <c r="N520">
        <v>0</v>
      </c>
      <c r="O520">
        <v>0</v>
      </c>
      <c r="P520" s="2">
        <f>(H520 + J520) - (L520 + N520)</f>
        <v>0</v>
      </c>
      <c r="Q520" s="2">
        <f>P520 * G520</f>
        <v>0</v>
      </c>
      <c r="R520">
        <v>2</v>
      </c>
      <c r="S520" s="2">
        <f>R520 * G520</f>
        <v>0</v>
      </c>
      <c r="T520" s="2">
        <f>(H520 + J520) - (L520 + N520) - R520</f>
        <v>0</v>
      </c>
      <c r="U520" s="2">
        <f>T520 * G520</f>
        <v>0</v>
      </c>
      <c r="V520" s="2">
        <f>I520 + K520 - S520</f>
        <v>0</v>
      </c>
      <c r="W520" s="2">
        <f>M520 - V520</f>
        <v>0</v>
      </c>
      <c r="X520" s="2">
        <f>IFERROR(W520 / M520 * 100, 0)</f>
        <v>0</v>
      </c>
    </row>
    <row r="521" spans="1:24">
      <c r="A521" t="s">
        <v>4665</v>
      </c>
      <c r="B521" t="s">
        <v>513</v>
      </c>
      <c r="C521" t="s">
        <v>5333</v>
      </c>
      <c r="D521" t="s">
        <v>1008</v>
      </c>
      <c r="E521" t="s">
        <v>5482</v>
      </c>
      <c r="F521" t="s">
        <v>6001</v>
      </c>
      <c r="G521">
        <v>0.85</v>
      </c>
      <c r="H521">
        <v>59</v>
      </c>
      <c r="I521">
        <v>50.7</v>
      </c>
      <c r="J521">
        <v>1206</v>
      </c>
      <c r="K521">
        <v>903.16</v>
      </c>
      <c r="L521">
        <v>1229</v>
      </c>
      <c r="M521">
        <v>2458</v>
      </c>
      <c r="N521">
        <v>6</v>
      </c>
      <c r="O521">
        <v>6.07</v>
      </c>
      <c r="P521" s="2">
        <f>(H521 + J521) - (L521 + N521)</f>
        <v>0</v>
      </c>
      <c r="Q521" s="2">
        <f>P521 * G521</f>
        <v>0</v>
      </c>
      <c r="R521">
        <v>25</v>
      </c>
      <c r="S521" s="2">
        <f>R521 * G521</f>
        <v>0</v>
      </c>
      <c r="T521" s="2">
        <f>(H521 + J521) - (L521 + N521) - R521</f>
        <v>0</v>
      </c>
      <c r="U521" s="2">
        <f>T521 * G521</f>
        <v>0</v>
      </c>
      <c r="V521" s="2">
        <f>I521 + K521 - S521</f>
        <v>0</v>
      </c>
      <c r="W521" s="2">
        <f>M521 - V521</f>
        <v>0</v>
      </c>
      <c r="X521" s="2">
        <f>IFERROR(W521 / M521 * 100, 0)</f>
        <v>0</v>
      </c>
    </row>
    <row r="522" spans="1:24">
      <c r="A522" t="s">
        <v>4666</v>
      </c>
      <c r="B522" t="s">
        <v>513</v>
      </c>
      <c r="C522" t="s">
        <v>5334</v>
      </c>
      <c r="D522" t="s">
        <v>1008</v>
      </c>
      <c r="E522" t="s">
        <v>5482</v>
      </c>
      <c r="F522" t="s">
        <v>6002</v>
      </c>
      <c r="G522">
        <v>3.11</v>
      </c>
      <c r="H522">
        <v>34</v>
      </c>
      <c r="I522">
        <v>97.95</v>
      </c>
      <c r="J522">
        <v>125</v>
      </c>
      <c r="K522">
        <v>310.84</v>
      </c>
      <c r="L522">
        <v>92</v>
      </c>
      <c r="M522">
        <v>598</v>
      </c>
      <c r="N522">
        <v>6</v>
      </c>
      <c r="O522">
        <v>18.66</v>
      </c>
      <c r="P522" s="2">
        <f>(H522 + J522) - (L522 + N522)</f>
        <v>0</v>
      </c>
      <c r="Q522" s="2">
        <f>P522 * G522</f>
        <v>0</v>
      </c>
      <c r="R522">
        <v>30</v>
      </c>
      <c r="S522" s="2">
        <f>R522 * G522</f>
        <v>0</v>
      </c>
      <c r="T522" s="2">
        <f>(H522 + J522) - (L522 + N522) - R522</f>
        <v>0</v>
      </c>
      <c r="U522" s="2">
        <f>T522 * G522</f>
        <v>0</v>
      </c>
      <c r="V522" s="2">
        <f>I522 + K522 - S522</f>
        <v>0</v>
      </c>
      <c r="W522" s="2">
        <f>M522 - V522</f>
        <v>0</v>
      </c>
      <c r="X522" s="2">
        <f>IFERROR(W522 / M522 * 100, 0)</f>
        <v>0</v>
      </c>
    </row>
    <row r="523" spans="1:24">
      <c r="A523" t="s">
        <v>4667</v>
      </c>
      <c r="B523" t="s">
        <v>513</v>
      </c>
      <c r="C523" t="s">
        <v>5335</v>
      </c>
      <c r="D523" t="s">
        <v>1008</v>
      </c>
      <c r="E523" t="s">
        <v>5482</v>
      </c>
      <c r="F523" t="s">
        <v>6003</v>
      </c>
      <c r="G523">
        <v>2.19</v>
      </c>
      <c r="H523">
        <v>0</v>
      </c>
      <c r="I523">
        <v>0</v>
      </c>
      <c r="J523">
        <v>56</v>
      </c>
      <c r="K523">
        <v>123.23</v>
      </c>
      <c r="L523">
        <v>21</v>
      </c>
      <c r="M523">
        <v>115.5</v>
      </c>
      <c r="N523">
        <v>0</v>
      </c>
      <c r="O523">
        <v>0</v>
      </c>
      <c r="P523" s="2">
        <f>(H523 + J523) - (L523 + N523)</f>
        <v>0</v>
      </c>
      <c r="Q523" s="2">
        <f>P523 * G523</f>
        <v>0</v>
      </c>
      <c r="R523">
        <v>0</v>
      </c>
      <c r="S523" s="2">
        <f>R523 * G523</f>
        <v>0</v>
      </c>
      <c r="T523" s="2">
        <f>(H523 + J523) - (L523 + N523) - R523</f>
        <v>0</v>
      </c>
      <c r="U523" s="2">
        <f>T523 * G523</f>
        <v>0</v>
      </c>
      <c r="V523" s="2">
        <f>I523 + K523 - S523</f>
        <v>0</v>
      </c>
      <c r="W523" s="2">
        <f>M523 - V523</f>
        <v>0</v>
      </c>
      <c r="X523" s="2">
        <f>IFERROR(W523 / M523 * 100, 0)</f>
        <v>0</v>
      </c>
    </row>
    <row r="524" spans="1:24">
      <c r="A524" t="s">
        <v>4668</v>
      </c>
      <c r="B524" t="s">
        <v>513</v>
      </c>
      <c r="C524" t="s">
        <v>5336</v>
      </c>
      <c r="D524" t="s">
        <v>1008</v>
      </c>
      <c r="E524" t="s">
        <v>5482</v>
      </c>
      <c r="F524" t="s">
        <v>6004</v>
      </c>
      <c r="G524">
        <v>2.12</v>
      </c>
      <c r="H524">
        <v>0</v>
      </c>
      <c r="I524">
        <v>0</v>
      </c>
      <c r="J524">
        <v>59</v>
      </c>
      <c r="K524">
        <v>128.16</v>
      </c>
      <c r="L524">
        <v>23</v>
      </c>
      <c r="M524">
        <v>115</v>
      </c>
      <c r="N524">
        <v>0</v>
      </c>
      <c r="O524">
        <v>0</v>
      </c>
      <c r="P524" s="2">
        <f>(H524 + J524) - (L524 + N524)</f>
        <v>0</v>
      </c>
      <c r="Q524" s="2">
        <f>P524 * G524</f>
        <v>0</v>
      </c>
      <c r="R524">
        <v>0</v>
      </c>
      <c r="S524" s="2">
        <f>R524 * G524</f>
        <v>0</v>
      </c>
      <c r="T524" s="2">
        <f>(H524 + J524) - (L524 + N524) - R524</f>
        <v>0</v>
      </c>
      <c r="U524" s="2">
        <f>T524 * G524</f>
        <v>0</v>
      </c>
      <c r="V524" s="2">
        <f>I524 + K524 - S524</f>
        <v>0</v>
      </c>
      <c r="W524" s="2">
        <f>M524 - V524</f>
        <v>0</v>
      </c>
      <c r="X524" s="2">
        <f>IFERROR(W524 / M524 * 100, 0)</f>
        <v>0</v>
      </c>
    </row>
    <row r="525" spans="1:24">
      <c r="A525" t="s">
        <v>4669</v>
      </c>
      <c r="B525" t="s">
        <v>513</v>
      </c>
      <c r="C525" t="s">
        <v>5337</v>
      </c>
      <c r="D525" t="s">
        <v>1008</v>
      </c>
      <c r="E525" t="s">
        <v>5482</v>
      </c>
      <c r="F525" t="s">
        <v>6005</v>
      </c>
      <c r="G525">
        <v>0.96</v>
      </c>
      <c r="H525">
        <v>0</v>
      </c>
      <c r="I525">
        <v>0</v>
      </c>
      <c r="J525">
        <v>132</v>
      </c>
      <c r="K525">
        <v>125.45</v>
      </c>
      <c r="L525">
        <v>65</v>
      </c>
      <c r="M525">
        <v>130</v>
      </c>
      <c r="N525">
        <v>13</v>
      </c>
      <c r="O525">
        <v>12.35</v>
      </c>
      <c r="P525" s="2">
        <f>(H525 + J525) - (L525 + N525)</f>
        <v>0</v>
      </c>
      <c r="Q525" s="2">
        <f>P525 * G525</f>
        <v>0</v>
      </c>
      <c r="R525">
        <v>0</v>
      </c>
      <c r="S525" s="2">
        <f>R525 * G525</f>
        <v>0</v>
      </c>
      <c r="T525" s="2">
        <f>(H525 + J525) - (L525 + N525) - R525</f>
        <v>0</v>
      </c>
      <c r="U525" s="2">
        <f>T525 * G525</f>
        <v>0</v>
      </c>
      <c r="V525" s="2">
        <f>I525 + K525 - S525</f>
        <v>0</v>
      </c>
      <c r="W525" s="2">
        <f>M525 - V525</f>
        <v>0</v>
      </c>
      <c r="X525" s="2">
        <f>IFERROR(W525 / M525 * 100, 0)</f>
        <v>0</v>
      </c>
    </row>
    <row r="526" spans="1:24">
      <c r="A526" t="s">
        <v>4670</v>
      </c>
      <c r="B526" t="s">
        <v>513</v>
      </c>
      <c r="C526" t="s">
        <v>5338</v>
      </c>
      <c r="D526" t="s">
        <v>1007</v>
      </c>
      <c r="E526" t="s">
        <v>5482</v>
      </c>
      <c r="F526" t="s">
        <v>6006</v>
      </c>
      <c r="G526">
        <v>0</v>
      </c>
      <c r="H526">
        <v>0</v>
      </c>
      <c r="I526">
        <v>0</v>
      </c>
      <c r="J526">
        <v>-4.05</v>
      </c>
      <c r="K526">
        <v>0</v>
      </c>
      <c r="L526">
        <v>0</v>
      </c>
      <c r="M526">
        <v>0</v>
      </c>
      <c r="N526">
        <v>0</v>
      </c>
      <c r="O526">
        <v>0</v>
      </c>
      <c r="P526" s="2">
        <f>(H526 + J526) - (L526 + N526)</f>
        <v>0</v>
      </c>
      <c r="Q526" s="2">
        <f>P526 * G526</f>
        <v>0</v>
      </c>
      <c r="R526">
        <v>0</v>
      </c>
      <c r="S526" s="2">
        <f>R526 * G526</f>
        <v>0</v>
      </c>
      <c r="T526" s="2">
        <f>(H526 + J526) - (L526 + N526) - R526</f>
        <v>0</v>
      </c>
      <c r="U526" s="2">
        <f>T526 * G526</f>
        <v>0</v>
      </c>
      <c r="V526" s="2">
        <f>I526 + K526 - S526</f>
        <v>0</v>
      </c>
      <c r="W526" s="2">
        <f>M526 - V526</f>
        <v>0</v>
      </c>
      <c r="X526" s="2">
        <f>IFERROR(W526 / M526 * 100, 0)</f>
        <v>0</v>
      </c>
    </row>
    <row r="527" spans="1:24">
      <c r="A527" t="s">
        <v>4671</v>
      </c>
      <c r="B527" t="s">
        <v>513</v>
      </c>
      <c r="C527" t="s">
        <v>5339</v>
      </c>
      <c r="D527" t="s">
        <v>1007</v>
      </c>
      <c r="E527" t="s">
        <v>5482</v>
      </c>
      <c r="F527" t="s">
        <v>6007</v>
      </c>
      <c r="G527">
        <v>0</v>
      </c>
      <c r="H527">
        <v>0</v>
      </c>
      <c r="I527">
        <v>0</v>
      </c>
      <c r="J527">
        <v>-10.56</v>
      </c>
      <c r="K527">
        <v>0</v>
      </c>
      <c r="L527">
        <v>0</v>
      </c>
      <c r="M527">
        <v>0</v>
      </c>
      <c r="N527">
        <v>0</v>
      </c>
      <c r="O527">
        <v>0</v>
      </c>
      <c r="P527" s="2">
        <f>(H527 + J527) - (L527 + N527)</f>
        <v>0</v>
      </c>
      <c r="Q527" s="2">
        <f>P527 * G527</f>
        <v>0</v>
      </c>
      <c r="R527">
        <v>0</v>
      </c>
      <c r="S527" s="2">
        <f>R527 * G527</f>
        <v>0</v>
      </c>
      <c r="T527" s="2">
        <f>(H527 + J527) - (L527 + N527) - R527</f>
        <v>0</v>
      </c>
      <c r="U527" s="2">
        <f>T527 * G527</f>
        <v>0</v>
      </c>
      <c r="V527" s="2">
        <f>I527 + K527 - S527</f>
        <v>0</v>
      </c>
      <c r="W527" s="2">
        <f>M527 - V527</f>
        <v>0</v>
      </c>
      <c r="X527" s="2">
        <f>IFERROR(W527 / M527 * 100, 0)</f>
        <v>0</v>
      </c>
    </row>
    <row r="528" spans="1:24">
      <c r="A528" t="s">
        <v>4672</v>
      </c>
      <c r="B528" t="s">
        <v>513</v>
      </c>
      <c r="D528" t="s">
        <v>1007</v>
      </c>
      <c r="E528" t="s">
        <v>5482</v>
      </c>
      <c r="F528" t="s">
        <v>6008</v>
      </c>
      <c r="G528">
        <v>0</v>
      </c>
      <c r="H528">
        <v>0</v>
      </c>
      <c r="I528">
        <v>0</v>
      </c>
      <c r="J528">
        <v>-42.58</v>
      </c>
      <c r="K528">
        <v>0</v>
      </c>
      <c r="L528">
        <v>0</v>
      </c>
      <c r="M528">
        <v>0</v>
      </c>
      <c r="N528">
        <v>0</v>
      </c>
      <c r="O528">
        <v>0</v>
      </c>
      <c r="P528" s="2">
        <f>(H528 + J528) - (L528 + N528)</f>
        <v>0</v>
      </c>
      <c r="Q528" s="2">
        <f>P528 * G528</f>
        <v>0</v>
      </c>
      <c r="R528">
        <v>0</v>
      </c>
      <c r="S528" s="2">
        <f>R528 * G528</f>
        <v>0</v>
      </c>
      <c r="T528" s="2">
        <f>(H528 + J528) - (L528 + N528) - R528</f>
        <v>0</v>
      </c>
      <c r="U528" s="2">
        <f>T528 * G528</f>
        <v>0</v>
      </c>
      <c r="V528" s="2">
        <f>I528 + K528 - S528</f>
        <v>0</v>
      </c>
      <c r="W528" s="2">
        <f>M528 - V528</f>
        <v>0</v>
      </c>
      <c r="X528" s="2">
        <f>IFERROR(W528 / M528 * 100, 0)</f>
        <v>0</v>
      </c>
    </row>
    <row r="529" spans="1:24">
      <c r="A529" t="s">
        <v>4673</v>
      </c>
      <c r="B529" t="s">
        <v>513</v>
      </c>
      <c r="C529" t="s">
        <v>5340</v>
      </c>
      <c r="D529" t="s">
        <v>1007</v>
      </c>
      <c r="E529" t="s">
        <v>5482</v>
      </c>
      <c r="F529" t="s">
        <v>6009</v>
      </c>
      <c r="G529">
        <v>0</v>
      </c>
      <c r="H529">
        <v>0</v>
      </c>
      <c r="I529">
        <v>0</v>
      </c>
      <c r="J529">
        <v>-5.43</v>
      </c>
      <c r="K529">
        <v>0</v>
      </c>
      <c r="L529">
        <v>0</v>
      </c>
      <c r="M529">
        <v>0</v>
      </c>
      <c r="N529">
        <v>0</v>
      </c>
      <c r="O529">
        <v>0</v>
      </c>
      <c r="P529" s="2">
        <f>(H529 + J529) - (L529 + N529)</f>
        <v>0</v>
      </c>
      <c r="Q529" s="2">
        <f>P529 * G529</f>
        <v>0</v>
      </c>
      <c r="R529">
        <v>0</v>
      </c>
      <c r="S529" s="2">
        <f>R529 * G529</f>
        <v>0</v>
      </c>
      <c r="T529" s="2">
        <f>(H529 + J529) - (L529 + N529) - R529</f>
        <v>0</v>
      </c>
      <c r="U529" s="2">
        <f>T529 * G529</f>
        <v>0</v>
      </c>
      <c r="V529" s="2">
        <f>I529 + K529 - S529</f>
        <v>0</v>
      </c>
      <c r="W529" s="2">
        <f>M529 - V529</f>
        <v>0</v>
      </c>
      <c r="X529" s="2">
        <f>IFERROR(W529 / M529 * 100, 0)</f>
        <v>0</v>
      </c>
    </row>
    <row r="530" spans="1:24">
      <c r="A530" t="s">
        <v>4674</v>
      </c>
      <c r="B530" t="s">
        <v>512</v>
      </c>
      <c r="C530" t="s">
        <v>5341</v>
      </c>
      <c r="D530" t="s">
        <v>1008</v>
      </c>
      <c r="E530" t="s">
        <v>5482</v>
      </c>
      <c r="F530" t="s">
        <v>6010</v>
      </c>
      <c r="G530">
        <v>325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 s="2">
        <f>(H530 + J530) - (L530 + N530)</f>
        <v>0</v>
      </c>
      <c r="Q530" s="2">
        <f>P530 * G530</f>
        <v>0</v>
      </c>
      <c r="R530">
        <v>1</v>
      </c>
      <c r="S530" s="2">
        <f>R530 * G530</f>
        <v>0</v>
      </c>
      <c r="T530" s="2">
        <f>(H530 + J530) - (L530 + N530) - R530</f>
        <v>0</v>
      </c>
      <c r="U530" s="2">
        <f>T530 * G530</f>
        <v>0</v>
      </c>
      <c r="V530" s="2">
        <f>I530 + K530 - S530</f>
        <v>0</v>
      </c>
      <c r="W530" s="2">
        <f>M530 - V530</f>
        <v>0</v>
      </c>
      <c r="X530" s="2">
        <f>IFERROR(W530 / M530 * 100, 0)</f>
        <v>0</v>
      </c>
    </row>
    <row r="531" spans="1:24">
      <c r="A531" t="s">
        <v>4675</v>
      </c>
      <c r="B531" t="s">
        <v>513</v>
      </c>
      <c r="C531" t="s">
        <v>5342</v>
      </c>
      <c r="D531" t="s">
        <v>1008</v>
      </c>
      <c r="E531" t="s">
        <v>5482</v>
      </c>
      <c r="F531" t="s">
        <v>6011</v>
      </c>
      <c r="G531">
        <v>6.1</v>
      </c>
      <c r="H531">
        <v>7</v>
      </c>
      <c r="I531">
        <v>42.11</v>
      </c>
      <c r="J531">
        <v>20</v>
      </c>
      <c r="K531">
        <v>122</v>
      </c>
      <c r="L531">
        <v>22</v>
      </c>
      <c r="M531">
        <v>330</v>
      </c>
      <c r="N531">
        <v>0</v>
      </c>
      <c r="O531">
        <v>0</v>
      </c>
      <c r="P531" s="2">
        <f>(H531 + J531) - (L531 + N531)</f>
        <v>0</v>
      </c>
      <c r="Q531" s="2">
        <f>P531 * G531</f>
        <v>0</v>
      </c>
      <c r="R531">
        <v>4</v>
      </c>
      <c r="S531" s="2">
        <f>R531 * G531</f>
        <v>0</v>
      </c>
      <c r="T531" s="2">
        <f>(H531 + J531) - (L531 + N531) - R531</f>
        <v>0</v>
      </c>
      <c r="U531" s="2">
        <f>T531 * G531</f>
        <v>0</v>
      </c>
      <c r="V531" s="2">
        <f>I531 + K531 - S531</f>
        <v>0</v>
      </c>
      <c r="W531" s="2">
        <f>M531 - V531</f>
        <v>0</v>
      </c>
      <c r="X531" s="2">
        <f>IFERROR(W531 / M531 * 100, 0)</f>
        <v>0</v>
      </c>
    </row>
    <row r="532" spans="1:24">
      <c r="A532" t="s">
        <v>4676</v>
      </c>
      <c r="B532" t="s">
        <v>512</v>
      </c>
      <c r="C532" t="s">
        <v>5343</v>
      </c>
      <c r="D532" t="s">
        <v>1007</v>
      </c>
      <c r="E532" t="s">
        <v>5482</v>
      </c>
      <c r="F532" t="s">
        <v>6012</v>
      </c>
      <c r="G532">
        <v>9.76</v>
      </c>
      <c r="H532">
        <v>50</v>
      </c>
      <c r="I532">
        <v>487.83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 s="2">
        <f>(H532 + J532) - (L532 + N532)</f>
        <v>0</v>
      </c>
      <c r="Q532" s="2">
        <f>P532 * G532</f>
        <v>0</v>
      </c>
      <c r="R532">
        <v>60</v>
      </c>
      <c r="S532" s="2">
        <f>R532 * G532</f>
        <v>0</v>
      </c>
      <c r="T532" s="2">
        <f>(H532 + J532) - (L532 + N532) - R532</f>
        <v>0</v>
      </c>
      <c r="U532" s="2">
        <f>T532 * G532</f>
        <v>0</v>
      </c>
      <c r="V532" s="2">
        <f>I532 + K532 - S532</f>
        <v>0</v>
      </c>
      <c r="W532" s="2">
        <f>M532 - V532</f>
        <v>0</v>
      </c>
      <c r="X532" s="2">
        <f>IFERROR(W532 / M532 * 100, 0)</f>
        <v>0</v>
      </c>
    </row>
    <row r="533" spans="1:24">
      <c r="A533" t="s">
        <v>4677</v>
      </c>
      <c r="B533" t="s">
        <v>512</v>
      </c>
      <c r="C533" t="s">
        <v>5344</v>
      </c>
      <c r="D533" t="s">
        <v>1007</v>
      </c>
      <c r="E533" t="s">
        <v>5482</v>
      </c>
      <c r="F533" t="s">
        <v>6013</v>
      </c>
      <c r="G533">
        <v>29.33</v>
      </c>
      <c r="H533">
        <v>2</v>
      </c>
      <c r="I533">
        <v>58.67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 s="2">
        <f>(H533 + J533) - (L533 + N533)</f>
        <v>0</v>
      </c>
      <c r="Q533" s="2">
        <f>P533 * G533</f>
        <v>0</v>
      </c>
      <c r="R533">
        <v>2</v>
      </c>
      <c r="S533" s="2">
        <f>R533 * G533</f>
        <v>0</v>
      </c>
      <c r="T533" s="2">
        <f>(H533 + J533) - (L533 + N533) - R533</f>
        <v>0</v>
      </c>
      <c r="U533" s="2">
        <f>T533 * G533</f>
        <v>0</v>
      </c>
      <c r="V533" s="2">
        <f>I533 + K533 - S533</f>
        <v>0</v>
      </c>
      <c r="W533" s="2">
        <f>M533 - V533</f>
        <v>0</v>
      </c>
      <c r="X533" s="2">
        <f>IFERROR(W533 / M533 * 100, 0)</f>
        <v>0</v>
      </c>
    </row>
    <row r="534" spans="1:24">
      <c r="A534" t="s">
        <v>4678</v>
      </c>
      <c r="B534" t="s">
        <v>512</v>
      </c>
      <c r="C534" t="s">
        <v>5345</v>
      </c>
      <c r="D534" t="s">
        <v>1007</v>
      </c>
      <c r="E534" t="s">
        <v>5482</v>
      </c>
      <c r="F534" t="s">
        <v>6014</v>
      </c>
      <c r="G534">
        <v>10.4</v>
      </c>
      <c r="H534">
        <v>0</v>
      </c>
      <c r="I534">
        <v>0</v>
      </c>
      <c r="J534">
        <v>3.76</v>
      </c>
      <c r="K534">
        <v>39.09</v>
      </c>
      <c r="L534">
        <v>0</v>
      </c>
      <c r="M534">
        <v>0</v>
      </c>
      <c r="N534">
        <v>0</v>
      </c>
      <c r="O534">
        <v>0</v>
      </c>
      <c r="P534" s="2">
        <f>(H534 + J534) - (L534 + N534)</f>
        <v>0</v>
      </c>
      <c r="Q534" s="2">
        <f>P534 * G534</f>
        <v>0</v>
      </c>
      <c r="R534">
        <v>0</v>
      </c>
      <c r="S534" s="2">
        <f>R534 * G534</f>
        <v>0</v>
      </c>
      <c r="T534" s="2">
        <f>(H534 + J534) - (L534 + N534) - R534</f>
        <v>0</v>
      </c>
      <c r="U534" s="2">
        <f>T534 * G534</f>
        <v>0</v>
      </c>
      <c r="V534" s="2">
        <f>I534 + K534 - S534</f>
        <v>0</v>
      </c>
      <c r="W534" s="2">
        <f>M534 - V534</f>
        <v>0</v>
      </c>
      <c r="X534" s="2">
        <f>IFERROR(W534 / M534 * 100, 0)</f>
        <v>0</v>
      </c>
    </row>
    <row r="535" spans="1:24">
      <c r="A535" t="s">
        <v>4679</v>
      </c>
      <c r="B535" t="s">
        <v>512</v>
      </c>
      <c r="C535" t="s">
        <v>5346</v>
      </c>
      <c r="D535" t="s">
        <v>1007</v>
      </c>
      <c r="E535" t="s">
        <v>5482</v>
      </c>
      <c r="F535" t="s">
        <v>6015</v>
      </c>
      <c r="G535">
        <v>38</v>
      </c>
      <c r="H535">
        <v>3</v>
      </c>
      <c r="I535">
        <v>114</v>
      </c>
      <c r="J535">
        <v>-0.71</v>
      </c>
      <c r="K535">
        <v>-26.83</v>
      </c>
      <c r="L535">
        <v>0</v>
      </c>
      <c r="M535">
        <v>0</v>
      </c>
      <c r="N535">
        <v>0</v>
      </c>
      <c r="O535">
        <v>0</v>
      </c>
      <c r="P535" s="2">
        <f>(H535 + J535) - (L535 + N535)</f>
        <v>0</v>
      </c>
      <c r="Q535" s="2">
        <f>P535 * G535</f>
        <v>0</v>
      </c>
      <c r="R535">
        <v>1</v>
      </c>
      <c r="S535" s="2">
        <f>R535 * G535</f>
        <v>0</v>
      </c>
      <c r="T535" s="2">
        <f>(H535 + J535) - (L535 + N535) - R535</f>
        <v>0</v>
      </c>
      <c r="U535" s="2">
        <f>T535 * G535</f>
        <v>0</v>
      </c>
      <c r="V535" s="2">
        <f>I535 + K535 - S535</f>
        <v>0</v>
      </c>
      <c r="W535" s="2">
        <f>M535 - V535</f>
        <v>0</v>
      </c>
      <c r="X535" s="2">
        <f>IFERROR(W535 / M535 * 100, 0)</f>
        <v>0</v>
      </c>
    </row>
    <row r="536" spans="1:24">
      <c r="A536" t="s">
        <v>4680</v>
      </c>
      <c r="B536" t="s">
        <v>512</v>
      </c>
      <c r="C536" t="s">
        <v>5347</v>
      </c>
      <c r="D536" t="s">
        <v>1007</v>
      </c>
      <c r="E536" t="s">
        <v>5482</v>
      </c>
      <c r="F536" t="s">
        <v>6016</v>
      </c>
      <c r="G536">
        <v>18.83</v>
      </c>
      <c r="H536">
        <v>3</v>
      </c>
      <c r="I536">
        <v>56.49</v>
      </c>
      <c r="J536">
        <v>-0.1</v>
      </c>
      <c r="K536">
        <v>-1.81</v>
      </c>
      <c r="L536">
        <v>0</v>
      </c>
      <c r="M536">
        <v>0</v>
      </c>
      <c r="N536">
        <v>0</v>
      </c>
      <c r="O536">
        <v>0</v>
      </c>
      <c r="P536" s="2">
        <f>(H536 + J536) - (L536 + N536)</f>
        <v>0</v>
      </c>
      <c r="Q536" s="2">
        <f>P536 * G536</f>
        <v>0</v>
      </c>
      <c r="R536">
        <v>18</v>
      </c>
      <c r="S536" s="2">
        <f>R536 * G536</f>
        <v>0</v>
      </c>
      <c r="T536" s="2">
        <f>(H536 + J536) - (L536 + N536) - R536</f>
        <v>0</v>
      </c>
      <c r="U536" s="2">
        <f>T536 * G536</f>
        <v>0</v>
      </c>
      <c r="V536" s="2">
        <f>I536 + K536 - S536</f>
        <v>0</v>
      </c>
      <c r="W536" s="2">
        <f>M536 - V536</f>
        <v>0</v>
      </c>
      <c r="X536" s="2">
        <f>IFERROR(W536 / M536 * 100, 0)</f>
        <v>0</v>
      </c>
    </row>
    <row r="537" spans="1:24">
      <c r="A537" t="s">
        <v>4681</v>
      </c>
      <c r="B537" t="s">
        <v>512</v>
      </c>
      <c r="C537" t="s">
        <v>5348</v>
      </c>
      <c r="D537" t="s">
        <v>1007</v>
      </c>
      <c r="E537" t="s">
        <v>5482</v>
      </c>
      <c r="F537" t="s">
        <v>6017</v>
      </c>
      <c r="G537">
        <v>6.96</v>
      </c>
      <c r="H537">
        <v>0</v>
      </c>
      <c r="I537">
        <v>0</v>
      </c>
      <c r="J537">
        <v>-12.09</v>
      </c>
      <c r="K537">
        <v>-84.08</v>
      </c>
      <c r="L537">
        <v>0</v>
      </c>
      <c r="M537">
        <v>0</v>
      </c>
      <c r="N537">
        <v>0</v>
      </c>
      <c r="O537">
        <v>0</v>
      </c>
      <c r="P537" s="2">
        <f>(H537 + J537) - (L537 + N537)</f>
        <v>0</v>
      </c>
      <c r="Q537" s="2">
        <f>P537 * G537</f>
        <v>0</v>
      </c>
      <c r="R537">
        <v>0</v>
      </c>
      <c r="S537" s="2">
        <f>R537 * G537</f>
        <v>0</v>
      </c>
      <c r="T537" s="2">
        <f>(H537 + J537) - (L537 + N537) - R537</f>
        <v>0</v>
      </c>
      <c r="U537" s="2">
        <f>T537 * G537</f>
        <v>0</v>
      </c>
      <c r="V537" s="2">
        <f>I537 + K537 - S537</f>
        <v>0</v>
      </c>
      <c r="W537" s="2">
        <f>M537 - V537</f>
        <v>0</v>
      </c>
      <c r="X537" s="2">
        <f>IFERROR(W537 / M537 * 100, 0)</f>
        <v>0</v>
      </c>
    </row>
    <row r="538" spans="1:24">
      <c r="A538" t="s">
        <v>4682</v>
      </c>
      <c r="B538" t="s">
        <v>512</v>
      </c>
      <c r="C538" t="s">
        <v>5349</v>
      </c>
      <c r="D538" t="s">
        <v>1008</v>
      </c>
      <c r="E538" t="s">
        <v>5482</v>
      </c>
      <c r="F538" t="s">
        <v>6018</v>
      </c>
      <c r="G538">
        <v>350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 s="2">
        <f>(H538 + J538) - (L538 + N538)</f>
        <v>0</v>
      </c>
      <c r="Q538" s="2">
        <f>P538 * G538</f>
        <v>0</v>
      </c>
      <c r="R538">
        <v>1</v>
      </c>
      <c r="S538" s="2">
        <f>R538 * G538</f>
        <v>0</v>
      </c>
      <c r="T538" s="2">
        <f>(H538 + J538) - (L538 + N538) - R538</f>
        <v>0</v>
      </c>
      <c r="U538" s="2">
        <f>T538 * G538</f>
        <v>0</v>
      </c>
      <c r="V538" s="2">
        <f>I538 + K538 - S538</f>
        <v>0</v>
      </c>
      <c r="W538" s="2">
        <f>M538 - V538</f>
        <v>0</v>
      </c>
      <c r="X538" s="2">
        <f>IFERROR(W538 / M538 * 100, 0)</f>
        <v>0</v>
      </c>
    </row>
    <row r="539" spans="1:24">
      <c r="A539" t="s">
        <v>4683</v>
      </c>
      <c r="B539" t="s">
        <v>512</v>
      </c>
      <c r="C539" t="s">
        <v>5350</v>
      </c>
      <c r="D539" t="s">
        <v>1008</v>
      </c>
      <c r="E539" t="s">
        <v>5482</v>
      </c>
      <c r="F539" t="s">
        <v>6019</v>
      </c>
      <c r="G539">
        <v>206.45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 s="2">
        <f>(H539 + J539) - (L539 + N539)</f>
        <v>0</v>
      </c>
      <c r="Q539" s="2">
        <f>P539 * G539</f>
        <v>0</v>
      </c>
      <c r="R539">
        <v>2</v>
      </c>
      <c r="S539" s="2">
        <f>R539 * G539</f>
        <v>0</v>
      </c>
      <c r="T539" s="2">
        <f>(H539 + J539) - (L539 + N539) - R539</f>
        <v>0</v>
      </c>
      <c r="U539" s="2">
        <f>T539 * G539</f>
        <v>0</v>
      </c>
      <c r="V539" s="2">
        <f>I539 + K539 - S539</f>
        <v>0</v>
      </c>
      <c r="W539" s="2">
        <f>M539 - V539</f>
        <v>0</v>
      </c>
      <c r="X539" s="2">
        <f>IFERROR(W539 / M539 * 100, 0)</f>
        <v>0</v>
      </c>
    </row>
    <row r="540" spans="1:24">
      <c r="A540" t="s">
        <v>4684</v>
      </c>
      <c r="B540" t="s">
        <v>512</v>
      </c>
      <c r="C540" t="s">
        <v>5351</v>
      </c>
      <c r="D540" t="s">
        <v>1008</v>
      </c>
      <c r="E540" t="s">
        <v>5482</v>
      </c>
      <c r="F540" t="s">
        <v>6020</v>
      </c>
      <c r="G540">
        <v>500</v>
      </c>
      <c r="H540">
        <v>0</v>
      </c>
      <c r="I540">
        <v>0</v>
      </c>
      <c r="J540">
        <v>1</v>
      </c>
      <c r="K540">
        <v>500</v>
      </c>
      <c r="L540">
        <v>0</v>
      </c>
      <c r="M540">
        <v>0</v>
      </c>
      <c r="N540">
        <v>0</v>
      </c>
      <c r="O540">
        <v>0</v>
      </c>
      <c r="P540" s="2">
        <f>(H540 + J540) - (L540 + N540)</f>
        <v>0</v>
      </c>
      <c r="Q540" s="2">
        <f>P540 * G540</f>
        <v>0</v>
      </c>
      <c r="R540">
        <v>1</v>
      </c>
      <c r="S540" s="2">
        <f>R540 * G540</f>
        <v>0</v>
      </c>
      <c r="T540" s="2">
        <f>(H540 + J540) - (L540 + N540) - R540</f>
        <v>0</v>
      </c>
      <c r="U540" s="2">
        <f>T540 * G540</f>
        <v>0</v>
      </c>
      <c r="V540" s="2">
        <f>I540 + K540 - S540</f>
        <v>0</v>
      </c>
      <c r="W540" s="2">
        <f>M540 - V540</f>
        <v>0</v>
      </c>
      <c r="X540" s="2">
        <f>IFERROR(W540 / M540 * 100, 0)</f>
        <v>0</v>
      </c>
    </row>
    <row r="541" spans="1:24">
      <c r="A541" t="s">
        <v>4685</v>
      </c>
      <c r="B541" t="s">
        <v>512</v>
      </c>
      <c r="C541" t="s">
        <v>5352</v>
      </c>
      <c r="D541" t="s">
        <v>1008</v>
      </c>
      <c r="E541" t="s">
        <v>5482</v>
      </c>
      <c r="F541" t="s">
        <v>6021</v>
      </c>
      <c r="G541">
        <v>157.92</v>
      </c>
      <c r="H541">
        <v>0</v>
      </c>
      <c r="I541">
        <v>0</v>
      </c>
      <c r="J541">
        <v>2</v>
      </c>
      <c r="K541">
        <v>340</v>
      </c>
      <c r="L541">
        <v>0</v>
      </c>
      <c r="M541">
        <v>0</v>
      </c>
      <c r="N541">
        <v>0</v>
      </c>
      <c r="O541">
        <v>0</v>
      </c>
      <c r="P541" s="2">
        <f>(H541 + J541) - (L541 + N541)</f>
        <v>0</v>
      </c>
      <c r="Q541" s="2">
        <f>P541 * G541</f>
        <v>0</v>
      </c>
      <c r="R541">
        <v>1</v>
      </c>
      <c r="S541" s="2">
        <f>R541 * G541</f>
        <v>0</v>
      </c>
      <c r="T541" s="2">
        <f>(H541 + J541) - (L541 + N541) - R541</f>
        <v>0</v>
      </c>
      <c r="U541" s="2">
        <f>T541 * G541</f>
        <v>0</v>
      </c>
      <c r="V541" s="2">
        <f>I541 + K541 - S541</f>
        <v>0</v>
      </c>
      <c r="W541" s="2">
        <f>M541 - V541</f>
        <v>0</v>
      </c>
      <c r="X541" s="2">
        <f>IFERROR(W541 / M541 * 100, 0)</f>
        <v>0</v>
      </c>
    </row>
    <row r="542" spans="1:24">
      <c r="A542" t="s">
        <v>4686</v>
      </c>
      <c r="B542" t="s">
        <v>512</v>
      </c>
      <c r="C542" t="s">
        <v>5353</v>
      </c>
      <c r="D542" t="s">
        <v>1008</v>
      </c>
      <c r="E542" t="s">
        <v>5482</v>
      </c>
      <c r="F542" t="s">
        <v>6022</v>
      </c>
      <c r="G542">
        <v>154.96</v>
      </c>
      <c r="H542">
        <v>0</v>
      </c>
      <c r="I542">
        <v>0</v>
      </c>
      <c r="J542">
        <v>2</v>
      </c>
      <c r="K542">
        <v>309.09</v>
      </c>
      <c r="L542">
        <v>0</v>
      </c>
      <c r="M542">
        <v>0</v>
      </c>
      <c r="N542">
        <v>0</v>
      </c>
      <c r="O542">
        <v>0</v>
      </c>
      <c r="P542" s="2">
        <f>(H542 + J542) - (L542 + N542)</f>
        <v>0</v>
      </c>
      <c r="Q542" s="2">
        <f>P542 * G542</f>
        <v>0</v>
      </c>
      <c r="R542">
        <v>3</v>
      </c>
      <c r="S542" s="2">
        <f>R542 * G542</f>
        <v>0</v>
      </c>
      <c r="T542" s="2">
        <f>(H542 + J542) - (L542 + N542) - R542</f>
        <v>0</v>
      </c>
      <c r="U542" s="2">
        <f>T542 * G542</f>
        <v>0</v>
      </c>
      <c r="V542" s="2">
        <f>I542 + K542 - S542</f>
        <v>0</v>
      </c>
      <c r="W542" s="2">
        <f>M542 - V542</f>
        <v>0</v>
      </c>
      <c r="X542" s="2">
        <f>IFERROR(W542 / M542 * 100, 0)</f>
        <v>0</v>
      </c>
    </row>
    <row r="543" spans="1:24">
      <c r="A543" t="s">
        <v>4687</v>
      </c>
      <c r="B543" t="s">
        <v>512</v>
      </c>
      <c r="C543" t="s">
        <v>5354</v>
      </c>
      <c r="D543" t="s">
        <v>1008</v>
      </c>
      <c r="E543" t="s">
        <v>5482</v>
      </c>
      <c r="F543" t="s">
        <v>6023</v>
      </c>
      <c r="G543">
        <v>127.27</v>
      </c>
      <c r="H543">
        <v>0</v>
      </c>
      <c r="I543">
        <v>0</v>
      </c>
      <c r="J543">
        <v>2</v>
      </c>
      <c r="K543">
        <v>254.55</v>
      </c>
      <c r="L543">
        <v>0</v>
      </c>
      <c r="M543">
        <v>0</v>
      </c>
      <c r="N543">
        <v>0</v>
      </c>
      <c r="O543">
        <v>0</v>
      </c>
      <c r="P543" s="2">
        <f>(H543 + J543) - (L543 + N543)</f>
        <v>0</v>
      </c>
      <c r="Q543" s="2">
        <f>P543 * G543</f>
        <v>0</v>
      </c>
      <c r="R543">
        <v>3</v>
      </c>
      <c r="S543" s="2">
        <f>R543 * G543</f>
        <v>0</v>
      </c>
      <c r="T543" s="2">
        <f>(H543 + J543) - (L543 + N543) - R543</f>
        <v>0</v>
      </c>
      <c r="U543" s="2">
        <f>T543 * G543</f>
        <v>0</v>
      </c>
      <c r="V543" s="2">
        <f>I543 + K543 - S543</f>
        <v>0</v>
      </c>
      <c r="W543" s="2">
        <f>M543 - V543</f>
        <v>0</v>
      </c>
      <c r="X543" s="2">
        <f>IFERROR(W543 / M543 * 100, 0)</f>
        <v>0</v>
      </c>
    </row>
    <row r="544" spans="1:24">
      <c r="A544" t="s">
        <v>4688</v>
      </c>
      <c r="B544" t="s">
        <v>512</v>
      </c>
      <c r="C544" t="s">
        <v>5355</v>
      </c>
      <c r="D544" t="s">
        <v>1008</v>
      </c>
      <c r="E544" t="s">
        <v>5482</v>
      </c>
      <c r="F544" t="s">
        <v>6024</v>
      </c>
      <c r="G544">
        <v>145.64</v>
      </c>
      <c r="H544">
        <v>0</v>
      </c>
      <c r="I544">
        <v>0</v>
      </c>
      <c r="J544">
        <v>1</v>
      </c>
      <c r="K544">
        <v>145.46</v>
      </c>
      <c r="L544">
        <v>0</v>
      </c>
      <c r="M544">
        <v>0</v>
      </c>
      <c r="N544">
        <v>0</v>
      </c>
      <c r="O544">
        <v>0</v>
      </c>
      <c r="P544" s="2">
        <f>(H544 + J544) - (L544 + N544)</f>
        <v>0</v>
      </c>
      <c r="Q544" s="2">
        <f>P544 * G544</f>
        <v>0</v>
      </c>
      <c r="R544">
        <v>2</v>
      </c>
      <c r="S544" s="2">
        <f>R544 * G544</f>
        <v>0</v>
      </c>
      <c r="T544" s="2">
        <f>(H544 + J544) - (L544 + N544) - R544</f>
        <v>0</v>
      </c>
      <c r="U544" s="2">
        <f>T544 * G544</f>
        <v>0</v>
      </c>
      <c r="V544" s="2">
        <f>I544 + K544 - S544</f>
        <v>0</v>
      </c>
      <c r="W544" s="2">
        <f>M544 - V544</f>
        <v>0</v>
      </c>
      <c r="X544" s="2">
        <f>IFERROR(W544 / M544 * 100, 0)</f>
        <v>0</v>
      </c>
    </row>
    <row r="545" spans="1:24">
      <c r="A545" t="s">
        <v>4689</v>
      </c>
      <c r="B545" t="s">
        <v>512</v>
      </c>
      <c r="C545" t="s">
        <v>5356</v>
      </c>
      <c r="D545" t="s">
        <v>1008</v>
      </c>
      <c r="E545" t="s">
        <v>5482</v>
      </c>
      <c r="F545" t="s">
        <v>6025</v>
      </c>
      <c r="G545">
        <v>221.52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 s="2">
        <f>(H545 + J545) - (L545 + N545)</f>
        <v>0</v>
      </c>
      <c r="Q545" s="2">
        <f>P545 * G545</f>
        <v>0</v>
      </c>
      <c r="R545">
        <v>1</v>
      </c>
      <c r="S545" s="2">
        <f>R545 * G545</f>
        <v>0</v>
      </c>
      <c r="T545" s="2">
        <f>(H545 + J545) - (L545 + N545) - R545</f>
        <v>0</v>
      </c>
      <c r="U545" s="2">
        <f>T545 * G545</f>
        <v>0</v>
      </c>
      <c r="V545" s="2">
        <f>I545 + K545 - S545</f>
        <v>0</v>
      </c>
      <c r="W545" s="2">
        <f>M545 - V545</f>
        <v>0</v>
      </c>
      <c r="X545" s="2">
        <f>IFERROR(W545 / M545 * 100, 0)</f>
        <v>0</v>
      </c>
    </row>
    <row r="546" spans="1:24">
      <c r="A546" t="s">
        <v>4690</v>
      </c>
      <c r="B546" t="s">
        <v>512</v>
      </c>
      <c r="C546" t="s">
        <v>5357</v>
      </c>
      <c r="D546" t="s">
        <v>1008</v>
      </c>
      <c r="E546" t="s">
        <v>5482</v>
      </c>
      <c r="F546" t="s">
        <v>6026</v>
      </c>
      <c r="G546">
        <v>63</v>
      </c>
      <c r="H546">
        <v>0</v>
      </c>
      <c r="I546">
        <v>0</v>
      </c>
      <c r="J546">
        <v>2</v>
      </c>
      <c r="K546">
        <v>126</v>
      </c>
      <c r="L546">
        <v>0</v>
      </c>
      <c r="M546">
        <v>0</v>
      </c>
      <c r="N546">
        <v>0</v>
      </c>
      <c r="O546">
        <v>0</v>
      </c>
      <c r="P546" s="2">
        <f>(H546 + J546) - (L546 + N546)</f>
        <v>0</v>
      </c>
      <c r="Q546" s="2">
        <f>P546 * G546</f>
        <v>0</v>
      </c>
      <c r="R546">
        <v>2</v>
      </c>
      <c r="S546" s="2">
        <f>R546 * G546</f>
        <v>0</v>
      </c>
      <c r="T546" s="2">
        <f>(H546 + J546) - (L546 + N546) - R546</f>
        <v>0</v>
      </c>
      <c r="U546" s="2">
        <f>T546 * G546</f>
        <v>0</v>
      </c>
      <c r="V546" s="2">
        <f>I546 + K546 - S546</f>
        <v>0</v>
      </c>
      <c r="W546" s="2">
        <f>M546 - V546</f>
        <v>0</v>
      </c>
      <c r="X546" s="2">
        <f>IFERROR(W546 / M546 * 100, 0)</f>
        <v>0</v>
      </c>
    </row>
    <row r="547" spans="1:24">
      <c r="A547" t="s">
        <v>4691</v>
      </c>
      <c r="B547" t="s">
        <v>512</v>
      </c>
      <c r="C547" t="s">
        <v>5358</v>
      </c>
      <c r="D547" t="s">
        <v>1008</v>
      </c>
      <c r="E547" t="s">
        <v>5482</v>
      </c>
      <c r="F547" t="s">
        <v>6027</v>
      </c>
      <c r="G547">
        <v>155</v>
      </c>
      <c r="H547">
        <v>0</v>
      </c>
      <c r="I547">
        <v>0</v>
      </c>
      <c r="J547">
        <v>2</v>
      </c>
      <c r="K547">
        <v>310</v>
      </c>
      <c r="L547">
        <v>0</v>
      </c>
      <c r="M547">
        <v>0</v>
      </c>
      <c r="N547">
        <v>0</v>
      </c>
      <c r="O547">
        <v>0</v>
      </c>
      <c r="P547" s="2">
        <f>(H547 + J547) - (L547 + N547)</f>
        <v>0</v>
      </c>
      <c r="Q547" s="2">
        <f>P547 * G547</f>
        <v>0</v>
      </c>
      <c r="R547">
        <v>1</v>
      </c>
      <c r="S547" s="2">
        <f>R547 * G547</f>
        <v>0</v>
      </c>
      <c r="T547" s="2">
        <f>(H547 + J547) - (L547 + N547) - R547</f>
        <v>0</v>
      </c>
      <c r="U547" s="2">
        <f>T547 * G547</f>
        <v>0</v>
      </c>
      <c r="V547" s="2">
        <f>I547 + K547 - S547</f>
        <v>0</v>
      </c>
      <c r="W547" s="2">
        <f>M547 - V547</f>
        <v>0</v>
      </c>
      <c r="X547" s="2">
        <f>IFERROR(W547 / M547 * 100, 0)</f>
        <v>0</v>
      </c>
    </row>
    <row r="548" spans="1:24">
      <c r="A548" t="s">
        <v>4692</v>
      </c>
      <c r="B548" t="s">
        <v>512</v>
      </c>
      <c r="C548" t="s">
        <v>5359</v>
      </c>
      <c r="D548" t="s">
        <v>1008</v>
      </c>
      <c r="E548" t="s">
        <v>5482</v>
      </c>
      <c r="F548" t="s">
        <v>6028</v>
      </c>
      <c r="G548">
        <v>1.79</v>
      </c>
      <c r="H548">
        <v>0</v>
      </c>
      <c r="I548">
        <v>0</v>
      </c>
      <c r="J548">
        <v>75</v>
      </c>
      <c r="K548">
        <v>132.93</v>
      </c>
      <c r="L548">
        <v>0</v>
      </c>
      <c r="M548">
        <v>0</v>
      </c>
      <c r="N548">
        <v>0</v>
      </c>
      <c r="O548">
        <v>0</v>
      </c>
      <c r="P548" s="2">
        <f>(H548 + J548) - (L548 + N548)</f>
        <v>0</v>
      </c>
      <c r="Q548" s="2">
        <f>P548 * G548</f>
        <v>0</v>
      </c>
      <c r="R548">
        <v>0</v>
      </c>
      <c r="S548" s="2">
        <f>R548 * G548</f>
        <v>0</v>
      </c>
      <c r="T548" s="2">
        <f>(H548 + J548) - (L548 + N548) - R548</f>
        <v>0</v>
      </c>
      <c r="U548" s="2">
        <f>T548 * G548</f>
        <v>0</v>
      </c>
      <c r="V548" s="2">
        <f>I548 + K548 - S548</f>
        <v>0</v>
      </c>
      <c r="W548" s="2">
        <f>M548 - V548</f>
        <v>0</v>
      </c>
      <c r="X548" s="2">
        <f>IFERROR(W548 / M548 * 100, 0)</f>
        <v>0</v>
      </c>
    </row>
    <row r="549" spans="1:24">
      <c r="A549" t="s">
        <v>4693</v>
      </c>
      <c r="B549" t="s">
        <v>512</v>
      </c>
      <c r="C549" t="s">
        <v>5360</v>
      </c>
      <c r="D549" t="s">
        <v>1008</v>
      </c>
      <c r="E549" t="s">
        <v>5482</v>
      </c>
      <c r="F549" t="s">
        <v>6029</v>
      </c>
      <c r="G549">
        <v>3.2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4</v>
      </c>
      <c r="N549">
        <v>0</v>
      </c>
      <c r="O549">
        <v>0</v>
      </c>
      <c r="P549" s="2">
        <f>(H549 + J549) - (L549 + N549)</f>
        <v>0</v>
      </c>
      <c r="Q549" s="2">
        <f>P549 * G549</f>
        <v>0</v>
      </c>
      <c r="R549">
        <v>0</v>
      </c>
      <c r="S549" s="2">
        <f>R549 * G549</f>
        <v>0</v>
      </c>
      <c r="T549" s="2">
        <f>(H549 + J549) - (L549 + N549) - R549</f>
        <v>0</v>
      </c>
      <c r="U549" s="2">
        <f>T549 * G549</f>
        <v>0</v>
      </c>
      <c r="V549" s="2">
        <f>I549 + K549 - S549</f>
        <v>0</v>
      </c>
      <c r="W549" s="2">
        <f>M549 - V549</f>
        <v>0</v>
      </c>
      <c r="X549" s="2">
        <f>IFERROR(W549 / M549 * 100, 0)</f>
        <v>0</v>
      </c>
    </row>
    <row r="550" spans="1:24">
      <c r="A550" t="s">
        <v>4694</v>
      </c>
      <c r="B550" t="s">
        <v>513</v>
      </c>
      <c r="C550" t="s">
        <v>5361</v>
      </c>
      <c r="D550" t="s">
        <v>1007</v>
      </c>
      <c r="E550" t="s">
        <v>5482</v>
      </c>
      <c r="F550" t="s">
        <v>6030</v>
      </c>
      <c r="G550">
        <v>0</v>
      </c>
      <c r="H550">
        <v>0</v>
      </c>
      <c r="I550">
        <v>0</v>
      </c>
      <c r="J550">
        <v>-25.28</v>
      </c>
      <c r="K550">
        <v>0</v>
      </c>
      <c r="L550">
        <v>0</v>
      </c>
      <c r="M550">
        <v>0</v>
      </c>
      <c r="N550">
        <v>0</v>
      </c>
      <c r="O550">
        <v>0</v>
      </c>
      <c r="P550" s="2">
        <f>(H550 + J550) - (L550 + N550)</f>
        <v>0</v>
      </c>
      <c r="Q550" s="2">
        <f>P550 * G550</f>
        <v>0</v>
      </c>
      <c r="R550">
        <v>0</v>
      </c>
      <c r="S550" s="2">
        <f>R550 * G550</f>
        <v>0</v>
      </c>
      <c r="T550" s="2">
        <f>(H550 + J550) - (L550 + N550) - R550</f>
        <v>0</v>
      </c>
      <c r="U550" s="2">
        <f>T550 * G550</f>
        <v>0</v>
      </c>
      <c r="V550" s="2">
        <f>I550 + K550 - S550</f>
        <v>0</v>
      </c>
      <c r="W550" s="2">
        <f>M550 - V550</f>
        <v>0</v>
      </c>
      <c r="X550" s="2">
        <f>IFERROR(W550 / M550 * 100, 0)</f>
        <v>0</v>
      </c>
    </row>
    <row r="551" spans="1:24">
      <c r="A551" t="s">
        <v>4695</v>
      </c>
      <c r="B551" t="s">
        <v>513</v>
      </c>
      <c r="C551" t="s">
        <v>5362</v>
      </c>
      <c r="D551" t="s">
        <v>1007</v>
      </c>
      <c r="E551" t="s">
        <v>5482</v>
      </c>
      <c r="F551" t="s">
        <v>6031</v>
      </c>
      <c r="G551">
        <v>0</v>
      </c>
      <c r="H551">
        <v>0</v>
      </c>
      <c r="I551">
        <v>0</v>
      </c>
      <c r="J551">
        <v>-44.57</v>
      </c>
      <c r="K551">
        <v>0</v>
      </c>
      <c r="L551">
        <v>0</v>
      </c>
      <c r="M551">
        <v>0</v>
      </c>
      <c r="N551">
        <v>0</v>
      </c>
      <c r="O551">
        <v>0</v>
      </c>
      <c r="P551" s="2">
        <f>(H551 + J551) - (L551 + N551)</f>
        <v>0</v>
      </c>
      <c r="Q551" s="2">
        <f>P551 * G551</f>
        <v>0</v>
      </c>
      <c r="R551">
        <v>0</v>
      </c>
      <c r="S551" s="2">
        <f>R551 * G551</f>
        <v>0</v>
      </c>
      <c r="T551" s="2">
        <f>(H551 + J551) - (L551 + N551) - R551</f>
        <v>0</v>
      </c>
      <c r="U551" s="2">
        <f>T551 * G551</f>
        <v>0</v>
      </c>
      <c r="V551" s="2">
        <f>I551 + K551 - S551</f>
        <v>0</v>
      </c>
      <c r="W551" s="2">
        <f>M551 - V551</f>
        <v>0</v>
      </c>
      <c r="X551" s="2">
        <f>IFERROR(W551 / M551 * 100, 0)</f>
        <v>0</v>
      </c>
    </row>
    <row r="552" spans="1:24">
      <c r="A552" t="s">
        <v>4696</v>
      </c>
      <c r="B552" t="s">
        <v>512</v>
      </c>
      <c r="C552" t="s">
        <v>5363</v>
      </c>
      <c r="D552" t="s">
        <v>1007</v>
      </c>
      <c r="E552" t="s">
        <v>5482</v>
      </c>
      <c r="F552" t="s">
        <v>6032</v>
      </c>
      <c r="G552">
        <v>8.050000000000001</v>
      </c>
      <c r="H552">
        <v>0</v>
      </c>
      <c r="I552">
        <v>0</v>
      </c>
      <c r="J552">
        <v>2.75</v>
      </c>
      <c r="K552">
        <v>21.22</v>
      </c>
      <c r="L552">
        <v>0</v>
      </c>
      <c r="M552">
        <v>0</v>
      </c>
      <c r="N552">
        <v>0</v>
      </c>
      <c r="O552">
        <v>0</v>
      </c>
      <c r="P552" s="2">
        <f>(H552 + J552) - (L552 + N552)</f>
        <v>0</v>
      </c>
      <c r="Q552" s="2">
        <f>P552 * G552</f>
        <v>0</v>
      </c>
      <c r="R552">
        <v>0</v>
      </c>
      <c r="S552" s="2">
        <f>R552 * G552</f>
        <v>0</v>
      </c>
      <c r="T552" s="2">
        <f>(H552 + J552) - (L552 + N552) - R552</f>
        <v>0</v>
      </c>
      <c r="U552" s="2">
        <f>T552 * G552</f>
        <v>0</v>
      </c>
      <c r="V552" s="2">
        <f>I552 + K552 - S552</f>
        <v>0</v>
      </c>
      <c r="W552" s="2">
        <f>M552 - V552</f>
        <v>0</v>
      </c>
      <c r="X552" s="2">
        <f>IFERROR(W552 / M552 * 100, 0)</f>
        <v>0</v>
      </c>
    </row>
    <row r="553" spans="1:24">
      <c r="A553" t="s">
        <v>4697</v>
      </c>
      <c r="B553" t="s">
        <v>512</v>
      </c>
      <c r="C553" t="s">
        <v>5364</v>
      </c>
      <c r="D553" t="s">
        <v>1007</v>
      </c>
      <c r="E553" t="s">
        <v>5482</v>
      </c>
      <c r="F553" t="s">
        <v>6033</v>
      </c>
      <c r="G553">
        <v>2.67</v>
      </c>
      <c r="H553">
        <v>0</v>
      </c>
      <c r="I553">
        <v>0</v>
      </c>
      <c r="J553">
        <v>-38.99</v>
      </c>
      <c r="K553">
        <v>-103.98</v>
      </c>
      <c r="L553">
        <v>0</v>
      </c>
      <c r="M553">
        <v>0</v>
      </c>
      <c r="N553">
        <v>0</v>
      </c>
      <c r="O553">
        <v>0</v>
      </c>
      <c r="P553" s="2">
        <f>(H553 + J553) - (L553 + N553)</f>
        <v>0</v>
      </c>
      <c r="Q553" s="2">
        <f>P553 * G553</f>
        <v>0</v>
      </c>
      <c r="R553">
        <v>0</v>
      </c>
      <c r="S553" s="2">
        <f>R553 * G553</f>
        <v>0</v>
      </c>
      <c r="T553" s="2">
        <f>(H553 + J553) - (L553 + N553) - R553</f>
        <v>0</v>
      </c>
      <c r="U553" s="2">
        <f>T553 * G553</f>
        <v>0</v>
      </c>
      <c r="V553" s="2">
        <f>I553 + K553 - S553</f>
        <v>0</v>
      </c>
      <c r="W553" s="2">
        <f>M553 - V553</f>
        <v>0</v>
      </c>
      <c r="X553" s="2">
        <f>IFERROR(W553 / M553 * 100, 0)</f>
        <v>0</v>
      </c>
    </row>
    <row r="554" spans="1:24">
      <c r="A554" t="s">
        <v>4698</v>
      </c>
      <c r="B554" t="s">
        <v>513</v>
      </c>
      <c r="C554" t="s">
        <v>5365</v>
      </c>
      <c r="D554" t="s">
        <v>1008</v>
      </c>
      <c r="E554" t="s">
        <v>5482</v>
      </c>
      <c r="F554" t="s">
        <v>6034</v>
      </c>
      <c r="G554">
        <v>2.29</v>
      </c>
      <c r="H554">
        <v>7</v>
      </c>
      <c r="I554">
        <v>8.19</v>
      </c>
      <c r="J554">
        <v>228</v>
      </c>
      <c r="K554">
        <v>309.37</v>
      </c>
      <c r="L554">
        <v>230</v>
      </c>
      <c r="M554">
        <v>805</v>
      </c>
      <c r="N554">
        <v>0</v>
      </c>
      <c r="O554">
        <v>0</v>
      </c>
      <c r="P554" s="2">
        <f>(H554 + J554) - (L554 + N554)</f>
        <v>0</v>
      </c>
      <c r="Q554" s="2">
        <f>P554 * G554</f>
        <v>0</v>
      </c>
      <c r="R554">
        <v>5</v>
      </c>
      <c r="S554" s="2">
        <f>R554 * G554</f>
        <v>0</v>
      </c>
      <c r="T554" s="2">
        <f>(H554 + J554) - (L554 + N554) - R554</f>
        <v>0</v>
      </c>
      <c r="U554" s="2">
        <f>T554 * G554</f>
        <v>0</v>
      </c>
      <c r="V554" s="2">
        <f>I554 + K554 - S554</f>
        <v>0</v>
      </c>
      <c r="W554" s="2">
        <f>M554 - V554</f>
        <v>0</v>
      </c>
      <c r="X554" s="2">
        <f>IFERROR(W554 / M554 * 100, 0)</f>
        <v>0</v>
      </c>
    </row>
    <row r="555" spans="1:24">
      <c r="A555" t="s">
        <v>4699</v>
      </c>
      <c r="B555" t="s">
        <v>512</v>
      </c>
      <c r="C555" t="s">
        <v>5366</v>
      </c>
      <c r="D555" t="s">
        <v>1007</v>
      </c>
      <c r="E555" t="s">
        <v>5482</v>
      </c>
      <c r="F555" t="s">
        <v>6035</v>
      </c>
      <c r="G555">
        <v>54.76</v>
      </c>
      <c r="H555">
        <v>2</v>
      </c>
      <c r="I555">
        <v>109.53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 s="2">
        <f>(H555 + J555) - (L555 + N555)</f>
        <v>0</v>
      </c>
      <c r="Q555" s="2">
        <f>P555 * G555</f>
        <v>0</v>
      </c>
      <c r="R555">
        <v>2</v>
      </c>
      <c r="S555" s="2">
        <f>R555 * G555</f>
        <v>0</v>
      </c>
      <c r="T555" s="2">
        <f>(H555 + J555) - (L555 + N555) - R555</f>
        <v>0</v>
      </c>
      <c r="U555" s="2">
        <f>T555 * G555</f>
        <v>0</v>
      </c>
      <c r="V555" s="2">
        <f>I555 + K555 - S555</f>
        <v>0</v>
      </c>
      <c r="W555" s="2">
        <f>M555 - V555</f>
        <v>0</v>
      </c>
      <c r="X555" s="2">
        <f>IFERROR(W555 / M555 * 100, 0)</f>
        <v>0</v>
      </c>
    </row>
    <row r="556" spans="1:24">
      <c r="A556" t="s">
        <v>4700</v>
      </c>
      <c r="B556" t="s">
        <v>512</v>
      </c>
      <c r="C556" t="s">
        <v>5367</v>
      </c>
      <c r="D556" t="s">
        <v>1008</v>
      </c>
      <c r="E556" t="s">
        <v>5482</v>
      </c>
      <c r="F556" t="s">
        <v>6036</v>
      </c>
      <c r="G556">
        <v>235.83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 s="2">
        <f>(H556 + J556) - (L556 + N556)</f>
        <v>0</v>
      </c>
      <c r="Q556" s="2">
        <f>P556 * G556</f>
        <v>0</v>
      </c>
      <c r="R556">
        <v>1</v>
      </c>
      <c r="S556" s="2">
        <f>R556 * G556</f>
        <v>0</v>
      </c>
      <c r="T556" s="2">
        <f>(H556 + J556) - (L556 + N556) - R556</f>
        <v>0</v>
      </c>
      <c r="U556" s="2">
        <f>T556 * G556</f>
        <v>0</v>
      </c>
      <c r="V556" s="2">
        <f>I556 + K556 - S556</f>
        <v>0</v>
      </c>
      <c r="W556" s="2">
        <f>M556 - V556</f>
        <v>0</v>
      </c>
      <c r="X556" s="2">
        <f>IFERROR(W556 / M556 * 100, 0)</f>
        <v>0</v>
      </c>
    </row>
    <row r="557" spans="1:24">
      <c r="A557" t="s">
        <v>4701</v>
      </c>
      <c r="B557" t="s">
        <v>512</v>
      </c>
      <c r="C557" t="s">
        <v>5368</v>
      </c>
      <c r="D557" t="s">
        <v>1008</v>
      </c>
      <c r="E557" t="s">
        <v>5482</v>
      </c>
      <c r="F557" t="s">
        <v>6037</v>
      </c>
      <c r="G557">
        <v>220</v>
      </c>
      <c r="H557">
        <v>0</v>
      </c>
      <c r="I557">
        <v>0</v>
      </c>
      <c r="J557">
        <v>1</v>
      </c>
      <c r="K557">
        <v>220</v>
      </c>
      <c r="L557">
        <v>0</v>
      </c>
      <c r="M557">
        <v>0</v>
      </c>
      <c r="N557">
        <v>0</v>
      </c>
      <c r="O557">
        <v>0</v>
      </c>
      <c r="P557" s="2">
        <f>(H557 + J557) - (L557 + N557)</f>
        <v>0</v>
      </c>
      <c r="Q557" s="2">
        <f>P557 * G557</f>
        <v>0</v>
      </c>
      <c r="R557">
        <v>2</v>
      </c>
      <c r="S557" s="2">
        <f>R557 * G557</f>
        <v>0</v>
      </c>
      <c r="T557" s="2">
        <f>(H557 + J557) - (L557 + N557) - R557</f>
        <v>0</v>
      </c>
      <c r="U557" s="2">
        <f>T557 * G557</f>
        <v>0</v>
      </c>
      <c r="V557" s="2">
        <f>I557 + K557 - S557</f>
        <v>0</v>
      </c>
      <c r="W557" s="2">
        <f>M557 - V557</f>
        <v>0</v>
      </c>
      <c r="X557" s="2">
        <f>IFERROR(W557 / M557 * 100, 0)</f>
        <v>0</v>
      </c>
    </row>
    <row r="558" spans="1:24">
      <c r="A558" t="s">
        <v>4702</v>
      </c>
      <c r="B558" t="s">
        <v>512</v>
      </c>
      <c r="C558" t="s">
        <v>5369</v>
      </c>
      <c r="D558" t="s">
        <v>1008</v>
      </c>
      <c r="E558" t="s">
        <v>5482</v>
      </c>
      <c r="F558" t="s">
        <v>6038</v>
      </c>
      <c r="G558">
        <v>49</v>
      </c>
      <c r="H558">
        <v>0</v>
      </c>
      <c r="I558">
        <v>0</v>
      </c>
      <c r="J558">
        <v>4</v>
      </c>
      <c r="K558">
        <v>196</v>
      </c>
      <c r="L558">
        <v>0</v>
      </c>
      <c r="M558">
        <v>0</v>
      </c>
      <c r="N558">
        <v>0</v>
      </c>
      <c r="O558">
        <v>0</v>
      </c>
      <c r="P558" s="2">
        <f>(H558 + J558) - (L558 + N558)</f>
        <v>0</v>
      </c>
      <c r="Q558" s="2">
        <f>P558 * G558</f>
        <v>0</v>
      </c>
      <c r="R558">
        <v>0</v>
      </c>
      <c r="S558" s="2">
        <f>R558 * G558</f>
        <v>0</v>
      </c>
      <c r="T558" s="2">
        <f>(H558 + J558) - (L558 + N558) - R558</f>
        <v>0</v>
      </c>
      <c r="U558" s="2">
        <f>T558 * G558</f>
        <v>0</v>
      </c>
      <c r="V558" s="2">
        <f>I558 + K558 - S558</f>
        <v>0</v>
      </c>
      <c r="W558" s="2">
        <f>M558 - V558</f>
        <v>0</v>
      </c>
      <c r="X558" s="2">
        <f>IFERROR(W558 / M558 * 100, 0)</f>
        <v>0</v>
      </c>
    </row>
    <row r="559" spans="1:24">
      <c r="A559" t="s">
        <v>4703</v>
      </c>
      <c r="B559" t="s">
        <v>512</v>
      </c>
      <c r="C559" t="s">
        <v>5370</v>
      </c>
      <c r="D559" t="s">
        <v>1007</v>
      </c>
      <c r="E559" t="s">
        <v>5482</v>
      </c>
      <c r="F559" t="s">
        <v>6039</v>
      </c>
      <c r="G559">
        <v>57.5</v>
      </c>
      <c r="H559">
        <v>2</v>
      </c>
      <c r="I559">
        <v>115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 s="2">
        <f>(H559 + J559) - (L559 + N559)</f>
        <v>0</v>
      </c>
      <c r="Q559" s="2">
        <f>P559 * G559</f>
        <v>0</v>
      </c>
      <c r="R559">
        <v>1</v>
      </c>
      <c r="S559" s="2">
        <f>R559 * G559</f>
        <v>0</v>
      </c>
      <c r="T559" s="2">
        <f>(H559 + J559) - (L559 + N559) - R559</f>
        <v>0</v>
      </c>
      <c r="U559" s="2">
        <f>T559 * G559</f>
        <v>0</v>
      </c>
      <c r="V559" s="2">
        <f>I559 + K559 - S559</f>
        <v>0</v>
      </c>
      <c r="W559" s="2">
        <f>M559 - V559</f>
        <v>0</v>
      </c>
      <c r="X559" s="2">
        <f>IFERROR(W559 / M559 * 100, 0)</f>
        <v>0</v>
      </c>
    </row>
    <row r="560" spans="1:24">
      <c r="A560" t="s">
        <v>4704</v>
      </c>
      <c r="B560" t="s">
        <v>512</v>
      </c>
      <c r="C560" t="s">
        <v>5371</v>
      </c>
      <c r="D560" t="s">
        <v>1007</v>
      </c>
      <c r="E560" t="s">
        <v>5482</v>
      </c>
      <c r="F560" t="s">
        <v>6040</v>
      </c>
      <c r="G560">
        <v>58.6</v>
      </c>
      <c r="H560">
        <v>3</v>
      </c>
      <c r="I560">
        <v>175.8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 s="2">
        <f>(H560 + J560) - (L560 + N560)</f>
        <v>0</v>
      </c>
      <c r="Q560" s="2">
        <f>P560 * G560</f>
        <v>0</v>
      </c>
      <c r="R560">
        <v>3</v>
      </c>
      <c r="S560" s="2">
        <f>R560 * G560</f>
        <v>0</v>
      </c>
      <c r="T560" s="2">
        <f>(H560 + J560) - (L560 + N560) - R560</f>
        <v>0</v>
      </c>
      <c r="U560" s="2">
        <f>T560 * G560</f>
        <v>0</v>
      </c>
      <c r="V560" s="2">
        <f>I560 + K560 - S560</f>
        <v>0</v>
      </c>
      <c r="W560" s="2">
        <f>M560 - V560</f>
        <v>0</v>
      </c>
      <c r="X560" s="2">
        <f>IFERROR(W560 / M560 * 100, 0)</f>
        <v>0</v>
      </c>
    </row>
    <row r="561" spans="1:24">
      <c r="A561" t="s">
        <v>4705</v>
      </c>
      <c r="B561" t="s">
        <v>512</v>
      </c>
      <c r="C561" t="s">
        <v>5372</v>
      </c>
      <c r="D561" t="s">
        <v>1007</v>
      </c>
      <c r="E561" t="s">
        <v>5482</v>
      </c>
      <c r="F561" t="s">
        <v>6041</v>
      </c>
      <c r="G561">
        <v>34.4</v>
      </c>
      <c r="H561">
        <v>5</v>
      </c>
      <c r="I561">
        <v>172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 s="2">
        <f>(H561 + J561) - (L561 + N561)</f>
        <v>0</v>
      </c>
      <c r="Q561" s="2">
        <f>P561 * G561</f>
        <v>0</v>
      </c>
      <c r="R561">
        <v>5</v>
      </c>
      <c r="S561" s="2">
        <f>R561 * G561</f>
        <v>0</v>
      </c>
      <c r="T561" s="2">
        <f>(H561 + J561) - (L561 + N561) - R561</f>
        <v>0</v>
      </c>
      <c r="U561" s="2">
        <f>T561 * G561</f>
        <v>0</v>
      </c>
      <c r="V561" s="2">
        <f>I561 + K561 - S561</f>
        <v>0</v>
      </c>
      <c r="W561" s="2">
        <f>M561 - V561</f>
        <v>0</v>
      </c>
      <c r="X561" s="2">
        <f>IFERROR(W561 / M561 * 100, 0)</f>
        <v>0</v>
      </c>
    </row>
    <row r="562" spans="1:24">
      <c r="A562" t="s">
        <v>4706</v>
      </c>
      <c r="B562" t="s">
        <v>513</v>
      </c>
      <c r="C562" t="s">
        <v>5373</v>
      </c>
      <c r="D562" t="s">
        <v>1008</v>
      </c>
      <c r="E562" t="s">
        <v>5482</v>
      </c>
      <c r="F562" t="s">
        <v>6042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28</v>
      </c>
      <c r="M562">
        <v>140</v>
      </c>
      <c r="N562">
        <v>0</v>
      </c>
      <c r="O562">
        <v>0</v>
      </c>
      <c r="P562" s="2">
        <f>(H562 + J562) - (L562 + N562)</f>
        <v>0</v>
      </c>
      <c r="Q562" s="2">
        <f>P562 * G562</f>
        <v>0</v>
      </c>
      <c r="R562">
        <v>0</v>
      </c>
      <c r="S562" s="2">
        <f>R562 * G562</f>
        <v>0</v>
      </c>
      <c r="T562" s="2">
        <f>(H562 + J562) - (L562 + N562) - R562</f>
        <v>0</v>
      </c>
      <c r="U562" s="2">
        <f>T562 * G562</f>
        <v>0</v>
      </c>
      <c r="V562" s="2">
        <f>I562 + K562 - S562</f>
        <v>0</v>
      </c>
      <c r="W562" s="2">
        <f>M562 - V562</f>
        <v>0</v>
      </c>
      <c r="X562" s="2">
        <f>IFERROR(W562 / M562 * 100, 0)</f>
        <v>0</v>
      </c>
    </row>
    <row r="563" spans="1:24">
      <c r="A563" t="s">
        <v>4707</v>
      </c>
      <c r="B563" t="s">
        <v>512</v>
      </c>
      <c r="C563" t="s">
        <v>5374</v>
      </c>
      <c r="D563" t="s">
        <v>1008</v>
      </c>
      <c r="E563" t="s">
        <v>5482</v>
      </c>
      <c r="F563" t="s">
        <v>6043</v>
      </c>
      <c r="G563">
        <v>3.6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4.5</v>
      </c>
      <c r="N563">
        <v>0</v>
      </c>
      <c r="O563">
        <v>0</v>
      </c>
      <c r="P563" s="2">
        <f>(H563 + J563) - (L563 + N563)</f>
        <v>0</v>
      </c>
      <c r="Q563" s="2">
        <f>P563 * G563</f>
        <v>0</v>
      </c>
      <c r="R563">
        <v>0</v>
      </c>
      <c r="S563" s="2">
        <f>R563 * G563</f>
        <v>0</v>
      </c>
      <c r="T563" s="2">
        <f>(H563 + J563) - (L563 + N563) - R563</f>
        <v>0</v>
      </c>
      <c r="U563" s="2">
        <f>T563 * G563</f>
        <v>0</v>
      </c>
      <c r="V563" s="2">
        <f>I563 + K563 - S563</f>
        <v>0</v>
      </c>
      <c r="W563" s="2">
        <f>M563 - V563</f>
        <v>0</v>
      </c>
      <c r="X563" s="2">
        <f>IFERROR(W563 / M563 * 100, 0)</f>
        <v>0</v>
      </c>
    </row>
    <row r="564" spans="1:24">
      <c r="A564" t="s">
        <v>4708</v>
      </c>
      <c r="B564" t="s">
        <v>512</v>
      </c>
      <c r="C564" t="s">
        <v>5375</v>
      </c>
      <c r="D564" t="s">
        <v>1008</v>
      </c>
      <c r="E564" t="s">
        <v>5482</v>
      </c>
      <c r="F564" t="s">
        <v>6044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30</v>
      </c>
      <c r="N564">
        <v>0</v>
      </c>
      <c r="O564">
        <v>0</v>
      </c>
      <c r="P564" s="2">
        <f>(H564 + J564) - (L564 + N564)</f>
        <v>0</v>
      </c>
      <c r="Q564" s="2">
        <f>P564 * G564</f>
        <v>0</v>
      </c>
      <c r="R564">
        <v>0</v>
      </c>
      <c r="S564" s="2">
        <f>R564 * G564</f>
        <v>0</v>
      </c>
      <c r="T564" s="2">
        <f>(H564 + J564) - (L564 + N564) - R564</f>
        <v>0</v>
      </c>
      <c r="U564" s="2">
        <f>T564 * G564</f>
        <v>0</v>
      </c>
      <c r="V564" s="2">
        <f>I564 + K564 - S564</f>
        <v>0</v>
      </c>
      <c r="W564" s="2">
        <f>M564 - V564</f>
        <v>0</v>
      </c>
      <c r="X564" s="2">
        <f>IFERROR(W564 / M564 * 100, 0)</f>
        <v>0</v>
      </c>
    </row>
    <row r="565" spans="1:24">
      <c r="A565" t="s">
        <v>4709</v>
      </c>
      <c r="B565" t="s">
        <v>512</v>
      </c>
      <c r="C565" t="s">
        <v>5376</v>
      </c>
      <c r="D565" t="s">
        <v>1008</v>
      </c>
      <c r="E565" t="s">
        <v>5482</v>
      </c>
      <c r="F565" t="s">
        <v>6045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4.5</v>
      </c>
      <c r="N565">
        <v>0</v>
      </c>
      <c r="O565">
        <v>0</v>
      </c>
      <c r="P565" s="2">
        <f>(H565 + J565) - (L565 + N565)</f>
        <v>0</v>
      </c>
      <c r="Q565" s="2">
        <f>P565 * G565</f>
        <v>0</v>
      </c>
      <c r="R565">
        <v>0</v>
      </c>
      <c r="S565" s="2">
        <f>R565 * G565</f>
        <v>0</v>
      </c>
      <c r="T565" s="2">
        <f>(H565 + J565) - (L565 + N565) - R565</f>
        <v>0</v>
      </c>
      <c r="U565" s="2">
        <f>T565 * G565</f>
        <v>0</v>
      </c>
      <c r="V565" s="2">
        <f>I565 + K565 - S565</f>
        <v>0</v>
      </c>
      <c r="W565" s="2">
        <f>M565 - V565</f>
        <v>0</v>
      </c>
      <c r="X565" s="2">
        <f>IFERROR(W565 / M565 * 100, 0)</f>
        <v>0</v>
      </c>
    </row>
    <row r="566" spans="1:24">
      <c r="A566" t="s">
        <v>4710</v>
      </c>
      <c r="B566" t="s">
        <v>512</v>
      </c>
      <c r="C566" t="s">
        <v>5377</v>
      </c>
      <c r="D566" t="s">
        <v>1008</v>
      </c>
      <c r="E566" t="s">
        <v>5482</v>
      </c>
      <c r="F566" t="s">
        <v>6046</v>
      </c>
      <c r="G566">
        <v>3.9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 s="2">
        <f>(H566 + J566) - (L566 + N566)</f>
        <v>0</v>
      </c>
      <c r="Q566" s="2">
        <f>P566 * G566</f>
        <v>0</v>
      </c>
      <c r="R566">
        <v>30</v>
      </c>
      <c r="S566" s="2">
        <f>R566 * G566</f>
        <v>0</v>
      </c>
      <c r="T566" s="2">
        <f>(H566 + J566) - (L566 + N566) - R566</f>
        <v>0</v>
      </c>
      <c r="U566" s="2">
        <f>T566 * G566</f>
        <v>0</v>
      </c>
      <c r="V566" s="2">
        <f>I566 + K566 - S566</f>
        <v>0</v>
      </c>
      <c r="W566" s="2">
        <f>M566 - V566</f>
        <v>0</v>
      </c>
      <c r="X566" s="2">
        <f>IFERROR(W566 / M566 * 100, 0)</f>
        <v>0</v>
      </c>
    </row>
    <row r="567" spans="1:24">
      <c r="A567" t="s">
        <v>4711</v>
      </c>
      <c r="B567" t="s">
        <v>512</v>
      </c>
      <c r="C567" t="s">
        <v>5378</v>
      </c>
      <c r="D567" t="s">
        <v>1008</v>
      </c>
      <c r="E567" t="s">
        <v>5482</v>
      </c>
      <c r="F567" t="s">
        <v>6047</v>
      </c>
      <c r="G567">
        <v>125</v>
      </c>
      <c r="H567">
        <v>0</v>
      </c>
      <c r="I567">
        <v>0</v>
      </c>
      <c r="J567">
        <v>1</v>
      </c>
      <c r="K567">
        <v>125</v>
      </c>
      <c r="L567">
        <v>0</v>
      </c>
      <c r="M567">
        <v>0</v>
      </c>
      <c r="N567">
        <v>0</v>
      </c>
      <c r="O567">
        <v>0</v>
      </c>
      <c r="P567" s="2">
        <f>(H567 + J567) - (L567 + N567)</f>
        <v>0</v>
      </c>
      <c r="Q567" s="2">
        <f>P567 * G567</f>
        <v>0</v>
      </c>
      <c r="R567">
        <v>1</v>
      </c>
      <c r="S567" s="2">
        <f>R567 * G567</f>
        <v>0</v>
      </c>
      <c r="T567" s="2">
        <f>(H567 + J567) - (L567 + N567) - R567</f>
        <v>0</v>
      </c>
      <c r="U567" s="2">
        <f>T567 * G567</f>
        <v>0</v>
      </c>
      <c r="V567" s="2">
        <f>I567 + K567 - S567</f>
        <v>0</v>
      </c>
      <c r="W567" s="2">
        <f>M567 - V567</f>
        <v>0</v>
      </c>
      <c r="X567" s="2">
        <f>IFERROR(W567 / M567 * 100, 0)</f>
        <v>0</v>
      </c>
    </row>
    <row r="568" spans="1:24">
      <c r="A568" t="s">
        <v>4712</v>
      </c>
      <c r="B568" t="s">
        <v>512</v>
      </c>
      <c r="C568" t="s">
        <v>5379</v>
      </c>
      <c r="D568" t="s">
        <v>1007</v>
      </c>
      <c r="E568" t="s">
        <v>5482</v>
      </c>
      <c r="F568" t="s">
        <v>6048</v>
      </c>
      <c r="G568">
        <v>20.65</v>
      </c>
      <c r="H568">
        <v>2</v>
      </c>
      <c r="I568">
        <v>41.3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 s="2">
        <f>(H568 + J568) - (L568 + N568)</f>
        <v>0</v>
      </c>
      <c r="Q568" s="2">
        <f>P568 * G568</f>
        <v>0</v>
      </c>
      <c r="R568">
        <v>0.5</v>
      </c>
      <c r="S568" s="2">
        <f>R568 * G568</f>
        <v>0</v>
      </c>
      <c r="T568" s="2">
        <f>(H568 + J568) - (L568 + N568) - R568</f>
        <v>0</v>
      </c>
      <c r="U568" s="2">
        <f>T568 * G568</f>
        <v>0</v>
      </c>
      <c r="V568" s="2">
        <f>I568 + K568 - S568</f>
        <v>0</v>
      </c>
      <c r="W568" s="2">
        <f>M568 - V568</f>
        <v>0</v>
      </c>
      <c r="X568" s="2">
        <f>IFERROR(W568 / M568 * 100, 0)</f>
        <v>0</v>
      </c>
    </row>
    <row r="569" spans="1:24">
      <c r="A569" t="s">
        <v>4713</v>
      </c>
      <c r="B569" t="s">
        <v>512</v>
      </c>
      <c r="C569" t="s">
        <v>5380</v>
      </c>
      <c r="D569" t="s">
        <v>1008</v>
      </c>
      <c r="E569" t="s">
        <v>5482</v>
      </c>
      <c r="F569" t="s">
        <v>6049</v>
      </c>
      <c r="G569">
        <v>71.36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 s="2">
        <f>(H569 + J569) - (L569 + N569)</f>
        <v>0</v>
      </c>
      <c r="Q569" s="2">
        <f>P569 * G569</f>
        <v>0</v>
      </c>
      <c r="R569">
        <v>2</v>
      </c>
      <c r="S569" s="2">
        <f>R569 * G569</f>
        <v>0</v>
      </c>
      <c r="T569" s="2">
        <f>(H569 + J569) - (L569 + N569) - R569</f>
        <v>0</v>
      </c>
      <c r="U569" s="2">
        <f>T569 * G569</f>
        <v>0</v>
      </c>
      <c r="V569" s="2">
        <f>I569 + K569 - S569</f>
        <v>0</v>
      </c>
      <c r="W569" s="2">
        <f>M569 - V569</f>
        <v>0</v>
      </c>
      <c r="X569" s="2">
        <f>IFERROR(W569 / M569 * 100, 0)</f>
        <v>0</v>
      </c>
    </row>
    <row r="570" spans="1:24">
      <c r="A570" t="s">
        <v>4714</v>
      </c>
      <c r="B570" t="s">
        <v>512</v>
      </c>
      <c r="C570" t="s">
        <v>5381</v>
      </c>
      <c r="D570" t="s">
        <v>1008</v>
      </c>
      <c r="E570" t="s">
        <v>5482</v>
      </c>
      <c r="F570" t="s">
        <v>6050</v>
      </c>
      <c r="G570">
        <v>170</v>
      </c>
      <c r="H570">
        <v>0</v>
      </c>
      <c r="I570">
        <v>0</v>
      </c>
      <c r="J570">
        <v>2</v>
      </c>
      <c r="K570">
        <v>340</v>
      </c>
      <c r="L570">
        <v>0</v>
      </c>
      <c r="M570">
        <v>0</v>
      </c>
      <c r="N570">
        <v>0</v>
      </c>
      <c r="O570">
        <v>0</v>
      </c>
      <c r="P570" s="2">
        <f>(H570 + J570) - (L570 + N570)</f>
        <v>0</v>
      </c>
      <c r="Q570" s="2">
        <f>P570 * G570</f>
        <v>0</v>
      </c>
      <c r="R570">
        <v>1</v>
      </c>
      <c r="S570" s="2">
        <f>R570 * G570</f>
        <v>0</v>
      </c>
      <c r="T570" s="2">
        <f>(H570 + J570) - (L570 + N570) - R570</f>
        <v>0</v>
      </c>
      <c r="U570" s="2">
        <f>T570 * G570</f>
        <v>0</v>
      </c>
      <c r="V570" s="2">
        <f>I570 + K570 - S570</f>
        <v>0</v>
      </c>
      <c r="W570" s="2">
        <f>M570 - V570</f>
        <v>0</v>
      </c>
      <c r="X570" s="2">
        <f>IFERROR(W570 / M570 * 100, 0)</f>
        <v>0</v>
      </c>
    </row>
    <row r="571" spans="1:24">
      <c r="A571" t="s">
        <v>4715</v>
      </c>
      <c r="B571" t="s">
        <v>512</v>
      </c>
      <c r="C571" t="s">
        <v>5382</v>
      </c>
      <c r="D571" t="s">
        <v>1008</v>
      </c>
      <c r="E571" t="s">
        <v>5482</v>
      </c>
      <c r="F571" t="s">
        <v>6051</v>
      </c>
      <c r="G571">
        <v>45.79</v>
      </c>
      <c r="H571">
        <v>0</v>
      </c>
      <c r="I571">
        <v>0</v>
      </c>
      <c r="J571">
        <v>10</v>
      </c>
      <c r="K571">
        <v>457.9</v>
      </c>
      <c r="L571">
        <v>0</v>
      </c>
      <c r="M571">
        <v>0</v>
      </c>
      <c r="N571">
        <v>0</v>
      </c>
      <c r="O571">
        <v>0</v>
      </c>
      <c r="P571" s="2">
        <f>(H571 + J571) - (L571 + N571)</f>
        <v>0</v>
      </c>
      <c r="Q571" s="2">
        <f>P571 * G571</f>
        <v>0</v>
      </c>
      <c r="R571">
        <v>0</v>
      </c>
      <c r="S571" s="2">
        <f>R571 * G571</f>
        <v>0</v>
      </c>
      <c r="T571" s="2">
        <f>(H571 + J571) - (L571 + N571) - R571</f>
        <v>0</v>
      </c>
      <c r="U571" s="2">
        <f>T571 * G571</f>
        <v>0</v>
      </c>
      <c r="V571" s="2">
        <f>I571 + K571 - S571</f>
        <v>0</v>
      </c>
      <c r="W571" s="2">
        <f>M571 - V571</f>
        <v>0</v>
      </c>
      <c r="X571" s="2">
        <f>IFERROR(W571 / M571 * 100, 0)</f>
        <v>0</v>
      </c>
    </row>
    <row r="572" spans="1:24">
      <c r="A572" t="s">
        <v>4716</v>
      </c>
      <c r="B572" t="s">
        <v>512</v>
      </c>
      <c r="C572" t="s">
        <v>5383</v>
      </c>
      <c r="D572" t="s">
        <v>1007</v>
      </c>
      <c r="E572" t="s">
        <v>5482</v>
      </c>
      <c r="F572" t="s">
        <v>6052</v>
      </c>
      <c r="G572">
        <v>19.69</v>
      </c>
      <c r="H572">
        <v>1</v>
      </c>
      <c r="I572">
        <v>20.46</v>
      </c>
      <c r="J572">
        <v>4.5</v>
      </c>
      <c r="K572">
        <v>87.86</v>
      </c>
      <c r="L572">
        <v>0</v>
      </c>
      <c r="M572">
        <v>0</v>
      </c>
      <c r="N572">
        <v>0</v>
      </c>
      <c r="O572">
        <v>0</v>
      </c>
      <c r="P572" s="2">
        <f>(H572 + J572) - (L572 + N572)</f>
        <v>0</v>
      </c>
      <c r="Q572" s="2">
        <f>P572 * G572</f>
        <v>0</v>
      </c>
      <c r="R572">
        <v>1</v>
      </c>
      <c r="S572" s="2">
        <f>R572 * G572</f>
        <v>0</v>
      </c>
      <c r="T572" s="2">
        <f>(H572 + J572) - (L572 + N572) - R572</f>
        <v>0</v>
      </c>
      <c r="U572" s="2">
        <f>T572 * G572</f>
        <v>0</v>
      </c>
      <c r="V572" s="2">
        <f>I572 + K572 - S572</f>
        <v>0</v>
      </c>
      <c r="W572" s="2">
        <f>M572 - V572</f>
        <v>0</v>
      </c>
      <c r="X572" s="2">
        <f>IFERROR(W572 / M572 * 100, 0)</f>
        <v>0</v>
      </c>
    </row>
    <row r="573" spans="1:24">
      <c r="A573" t="s">
        <v>4717</v>
      </c>
      <c r="B573" t="s">
        <v>512</v>
      </c>
      <c r="C573" t="s">
        <v>5384</v>
      </c>
      <c r="D573" t="s">
        <v>1008</v>
      </c>
      <c r="E573" t="s">
        <v>5482</v>
      </c>
      <c r="F573" t="s">
        <v>6053</v>
      </c>
      <c r="G573">
        <v>228.63</v>
      </c>
      <c r="H573">
        <v>2</v>
      </c>
      <c r="I573">
        <v>457.27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 s="2">
        <f>(H573 + J573) - (L573 + N573)</f>
        <v>0</v>
      </c>
      <c r="Q573" s="2">
        <f>P573 * G573</f>
        <v>0</v>
      </c>
      <c r="R573">
        <v>1</v>
      </c>
      <c r="S573" s="2">
        <f>R573 * G573</f>
        <v>0</v>
      </c>
      <c r="T573" s="2">
        <f>(H573 + J573) - (L573 + N573) - R573</f>
        <v>0</v>
      </c>
      <c r="U573" s="2">
        <f>T573 * G573</f>
        <v>0</v>
      </c>
      <c r="V573" s="2">
        <f>I573 + K573 - S573</f>
        <v>0</v>
      </c>
      <c r="W573" s="2">
        <f>M573 - V573</f>
        <v>0</v>
      </c>
      <c r="X573" s="2">
        <f>IFERROR(W573 / M573 * 100, 0)</f>
        <v>0</v>
      </c>
    </row>
    <row r="574" spans="1:24">
      <c r="A574" t="s">
        <v>4718</v>
      </c>
      <c r="B574" t="s">
        <v>512</v>
      </c>
      <c r="C574" t="s">
        <v>5385</v>
      </c>
      <c r="D574" t="s">
        <v>1008</v>
      </c>
      <c r="E574" t="s">
        <v>5482</v>
      </c>
      <c r="F574" t="s">
        <v>6054</v>
      </c>
      <c r="G574">
        <v>90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 s="2">
        <f>(H574 + J574) - (L574 + N574)</f>
        <v>0</v>
      </c>
      <c r="Q574" s="2">
        <f>P574 * G574</f>
        <v>0</v>
      </c>
      <c r="R574">
        <v>2</v>
      </c>
      <c r="S574" s="2">
        <f>R574 * G574</f>
        <v>0</v>
      </c>
      <c r="T574" s="2">
        <f>(H574 + J574) - (L574 + N574) - R574</f>
        <v>0</v>
      </c>
      <c r="U574" s="2">
        <f>T574 * G574</f>
        <v>0</v>
      </c>
      <c r="V574" s="2">
        <f>I574 + K574 - S574</f>
        <v>0</v>
      </c>
      <c r="W574" s="2">
        <f>M574 - V574</f>
        <v>0</v>
      </c>
      <c r="X574" s="2">
        <f>IFERROR(W574 / M574 * 100, 0)</f>
        <v>0</v>
      </c>
    </row>
    <row r="575" spans="1:24">
      <c r="A575" t="s">
        <v>4719</v>
      </c>
      <c r="B575" t="s">
        <v>512</v>
      </c>
      <c r="C575" t="s">
        <v>5386</v>
      </c>
      <c r="D575" t="s">
        <v>1008</v>
      </c>
      <c r="E575" t="s">
        <v>5482</v>
      </c>
      <c r="F575" t="s">
        <v>6055</v>
      </c>
      <c r="G575">
        <v>9</v>
      </c>
      <c r="H575">
        <v>0</v>
      </c>
      <c r="I575">
        <v>0</v>
      </c>
      <c r="J575">
        <v>0</v>
      </c>
      <c r="K575">
        <v>0</v>
      </c>
      <c r="L575">
        <v>11</v>
      </c>
      <c r="M575">
        <v>1100</v>
      </c>
      <c r="N575">
        <v>0</v>
      </c>
      <c r="O575">
        <v>0</v>
      </c>
      <c r="P575" s="2">
        <f>(H575 + J575) - (L575 + N575)</f>
        <v>0</v>
      </c>
      <c r="Q575" s="2">
        <f>P575 * G575</f>
        <v>0</v>
      </c>
      <c r="R575">
        <v>0</v>
      </c>
      <c r="S575" s="2">
        <f>R575 * G575</f>
        <v>0</v>
      </c>
      <c r="T575" s="2">
        <f>(H575 + J575) - (L575 + N575) - R575</f>
        <v>0</v>
      </c>
      <c r="U575" s="2">
        <f>T575 * G575</f>
        <v>0</v>
      </c>
      <c r="V575" s="2">
        <f>I575 + K575 - S575</f>
        <v>0</v>
      </c>
      <c r="W575" s="2">
        <f>M575 - V575</f>
        <v>0</v>
      </c>
      <c r="X575" s="2">
        <f>IFERROR(W575 / M575 * 100, 0)</f>
        <v>0</v>
      </c>
    </row>
    <row r="576" spans="1:24">
      <c r="A576" t="s">
        <v>4720</v>
      </c>
      <c r="B576" t="s">
        <v>512</v>
      </c>
      <c r="C576" t="s">
        <v>5387</v>
      </c>
      <c r="D576" t="s">
        <v>1007</v>
      </c>
      <c r="E576" t="s">
        <v>5482</v>
      </c>
      <c r="F576" t="s">
        <v>6056</v>
      </c>
      <c r="G576">
        <v>25</v>
      </c>
      <c r="H576">
        <v>0</v>
      </c>
      <c r="I576">
        <v>0</v>
      </c>
      <c r="J576">
        <v>2</v>
      </c>
      <c r="K576">
        <v>50</v>
      </c>
      <c r="L576">
        <v>2.4</v>
      </c>
      <c r="M576">
        <v>67.2</v>
      </c>
      <c r="N576">
        <v>0</v>
      </c>
      <c r="O576">
        <v>0</v>
      </c>
      <c r="P576" s="2">
        <f>(H576 + J576) - (L576 + N576)</f>
        <v>0</v>
      </c>
      <c r="Q576" s="2">
        <f>P576 * G576</f>
        <v>0</v>
      </c>
      <c r="R576">
        <v>0</v>
      </c>
      <c r="S576" s="2">
        <f>R576 * G576</f>
        <v>0</v>
      </c>
      <c r="T576" s="2">
        <f>(H576 + J576) - (L576 + N576) - R576</f>
        <v>0</v>
      </c>
      <c r="U576" s="2">
        <f>T576 * G576</f>
        <v>0</v>
      </c>
      <c r="V576" s="2">
        <f>I576 + K576 - S576</f>
        <v>0</v>
      </c>
      <c r="W576" s="2">
        <f>M576 - V576</f>
        <v>0</v>
      </c>
      <c r="X576" s="2">
        <f>IFERROR(W576 / M576 * 100, 0)</f>
        <v>0</v>
      </c>
    </row>
    <row r="577" spans="1:24">
      <c r="A577" t="s">
        <v>4721</v>
      </c>
      <c r="B577" t="s">
        <v>512</v>
      </c>
      <c r="C577" t="s">
        <v>5388</v>
      </c>
      <c r="D577" t="s">
        <v>1007</v>
      </c>
      <c r="E577" t="s">
        <v>5482</v>
      </c>
      <c r="F577" t="s">
        <v>6057</v>
      </c>
      <c r="G577">
        <v>21.54</v>
      </c>
      <c r="H577">
        <v>0</v>
      </c>
      <c r="I577">
        <v>0</v>
      </c>
      <c r="J577">
        <v>-0.03</v>
      </c>
      <c r="K577">
        <v>-0.6</v>
      </c>
      <c r="L577">
        <v>0</v>
      </c>
      <c r="M577">
        <v>0</v>
      </c>
      <c r="N577">
        <v>0</v>
      </c>
      <c r="O577">
        <v>0</v>
      </c>
      <c r="P577" s="2">
        <f>(H577 + J577) - (L577 + N577)</f>
        <v>0</v>
      </c>
      <c r="Q577" s="2">
        <f>P577 * G577</f>
        <v>0</v>
      </c>
      <c r="R577">
        <v>0</v>
      </c>
      <c r="S577" s="2">
        <f>R577 * G577</f>
        <v>0</v>
      </c>
      <c r="T577" s="2">
        <f>(H577 + J577) - (L577 + N577) - R577</f>
        <v>0</v>
      </c>
      <c r="U577" s="2">
        <f>T577 * G577</f>
        <v>0</v>
      </c>
      <c r="V577" s="2">
        <f>I577 + K577 - S577</f>
        <v>0</v>
      </c>
      <c r="W577" s="2">
        <f>M577 - V577</f>
        <v>0</v>
      </c>
      <c r="X577" s="2">
        <f>IFERROR(W577 / M577 * 100, 0)</f>
        <v>0</v>
      </c>
    </row>
    <row r="578" spans="1:24">
      <c r="A578" t="s">
        <v>4722</v>
      </c>
      <c r="B578" t="s">
        <v>512</v>
      </c>
      <c r="C578" t="s">
        <v>5389</v>
      </c>
      <c r="D578" t="s">
        <v>1007</v>
      </c>
      <c r="E578" t="s">
        <v>5482</v>
      </c>
      <c r="F578" t="s">
        <v>6058</v>
      </c>
      <c r="G578">
        <v>12.33</v>
      </c>
      <c r="H578">
        <v>40</v>
      </c>
      <c r="I578">
        <v>484.28</v>
      </c>
      <c r="J578">
        <v>48.4</v>
      </c>
      <c r="K578">
        <v>605.61</v>
      </c>
      <c r="L578">
        <v>0</v>
      </c>
      <c r="M578">
        <v>0</v>
      </c>
      <c r="N578">
        <v>0</v>
      </c>
      <c r="O578">
        <v>0</v>
      </c>
      <c r="P578" s="2">
        <f>(H578 + J578) - (L578 + N578)</f>
        <v>0</v>
      </c>
      <c r="Q578" s="2">
        <f>P578 * G578</f>
        <v>0</v>
      </c>
      <c r="R578">
        <v>70</v>
      </c>
      <c r="S578" s="2">
        <f>R578 * G578</f>
        <v>0</v>
      </c>
      <c r="T578" s="2">
        <f>(H578 + J578) - (L578 + N578) - R578</f>
        <v>0</v>
      </c>
      <c r="U578" s="2">
        <f>T578 * G578</f>
        <v>0</v>
      </c>
      <c r="V578" s="2">
        <f>I578 + K578 - S578</f>
        <v>0</v>
      </c>
      <c r="W578" s="2">
        <f>M578 - V578</f>
        <v>0</v>
      </c>
      <c r="X578" s="2">
        <f>IFERROR(W578 / M578 * 100, 0)</f>
        <v>0</v>
      </c>
    </row>
    <row r="579" spans="1:24">
      <c r="A579" t="s">
        <v>4723</v>
      </c>
      <c r="B579" t="s">
        <v>512</v>
      </c>
      <c r="C579" t="s">
        <v>5390</v>
      </c>
      <c r="D579" t="s">
        <v>1007</v>
      </c>
      <c r="E579" t="s">
        <v>5482</v>
      </c>
      <c r="F579" t="s">
        <v>6059</v>
      </c>
      <c r="G579">
        <v>23.33</v>
      </c>
      <c r="H579">
        <v>0</v>
      </c>
      <c r="I579">
        <v>0</v>
      </c>
      <c r="J579">
        <v>-4.92</v>
      </c>
      <c r="K579">
        <v>-114.87</v>
      </c>
      <c r="L579">
        <v>0</v>
      </c>
      <c r="M579">
        <v>0</v>
      </c>
      <c r="N579">
        <v>0</v>
      </c>
      <c r="O579">
        <v>0</v>
      </c>
      <c r="P579" s="2">
        <f>(H579 + J579) - (L579 + N579)</f>
        <v>0</v>
      </c>
      <c r="Q579" s="2">
        <f>P579 * G579</f>
        <v>0</v>
      </c>
      <c r="R579">
        <v>0</v>
      </c>
      <c r="S579" s="2">
        <f>R579 * G579</f>
        <v>0</v>
      </c>
      <c r="T579" s="2">
        <f>(H579 + J579) - (L579 + N579) - R579</f>
        <v>0</v>
      </c>
      <c r="U579" s="2">
        <f>T579 * G579</f>
        <v>0</v>
      </c>
      <c r="V579" s="2">
        <f>I579 + K579 - S579</f>
        <v>0</v>
      </c>
      <c r="W579" s="2">
        <f>M579 - V579</f>
        <v>0</v>
      </c>
      <c r="X579" s="2">
        <f>IFERROR(W579 / M579 * 100, 0)</f>
        <v>0</v>
      </c>
    </row>
    <row r="580" spans="1:24">
      <c r="A580" t="s">
        <v>4724</v>
      </c>
      <c r="B580" t="s">
        <v>512</v>
      </c>
      <c r="C580" t="s">
        <v>5391</v>
      </c>
      <c r="D580" t="s">
        <v>1007</v>
      </c>
      <c r="E580" t="s">
        <v>5482</v>
      </c>
      <c r="F580" t="s">
        <v>6060</v>
      </c>
      <c r="G580">
        <v>19.5</v>
      </c>
      <c r="H580">
        <v>2</v>
      </c>
      <c r="I580">
        <v>39</v>
      </c>
      <c r="J580">
        <v>-2.85</v>
      </c>
      <c r="K580">
        <v>-55.5</v>
      </c>
      <c r="L580">
        <v>0</v>
      </c>
      <c r="M580">
        <v>0</v>
      </c>
      <c r="N580">
        <v>0</v>
      </c>
      <c r="O580">
        <v>0</v>
      </c>
      <c r="P580" s="2">
        <f>(H580 + J580) - (L580 + N580)</f>
        <v>0</v>
      </c>
      <c r="Q580" s="2">
        <f>P580 * G580</f>
        <v>0</v>
      </c>
      <c r="R580">
        <v>3</v>
      </c>
      <c r="S580" s="2">
        <f>R580 * G580</f>
        <v>0</v>
      </c>
      <c r="T580" s="2">
        <f>(H580 + J580) - (L580 + N580) - R580</f>
        <v>0</v>
      </c>
      <c r="U580" s="2">
        <f>T580 * G580</f>
        <v>0</v>
      </c>
      <c r="V580" s="2">
        <f>I580 + K580 - S580</f>
        <v>0</v>
      </c>
      <c r="W580" s="2">
        <f>M580 - V580</f>
        <v>0</v>
      </c>
      <c r="X580" s="2">
        <f>IFERROR(W580 / M580 * 100, 0)</f>
        <v>0</v>
      </c>
    </row>
    <row r="581" spans="1:24">
      <c r="A581" t="s">
        <v>4725</v>
      </c>
      <c r="B581" t="s">
        <v>512</v>
      </c>
      <c r="C581" t="s">
        <v>5392</v>
      </c>
      <c r="D581" t="s">
        <v>1007</v>
      </c>
      <c r="E581" t="s">
        <v>5482</v>
      </c>
      <c r="F581" t="s">
        <v>6061</v>
      </c>
      <c r="G581">
        <v>5.57</v>
      </c>
      <c r="H581">
        <v>15</v>
      </c>
      <c r="I581">
        <v>91.69</v>
      </c>
      <c r="J581">
        <v>27.08</v>
      </c>
      <c r="K581">
        <v>142.61</v>
      </c>
      <c r="L581">
        <v>0</v>
      </c>
      <c r="M581">
        <v>0</v>
      </c>
      <c r="N581">
        <v>0</v>
      </c>
      <c r="O581">
        <v>0</v>
      </c>
      <c r="P581" s="2">
        <f>(H581 + J581) - (L581 + N581)</f>
        <v>0</v>
      </c>
      <c r="Q581" s="2">
        <f>P581 * G581</f>
        <v>0</v>
      </c>
      <c r="R581">
        <v>16</v>
      </c>
      <c r="S581" s="2">
        <f>R581 * G581</f>
        <v>0</v>
      </c>
      <c r="T581" s="2">
        <f>(H581 + J581) - (L581 + N581) - R581</f>
        <v>0</v>
      </c>
      <c r="U581" s="2">
        <f>T581 * G581</f>
        <v>0</v>
      </c>
      <c r="V581" s="2">
        <f>I581 + K581 - S581</f>
        <v>0</v>
      </c>
      <c r="W581" s="2">
        <f>M581 - V581</f>
        <v>0</v>
      </c>
      <c r="X581" s="2">
        <f>IFERROR(W581 / M581 * 100, 0)</f>
        <v>0</v>
      </c>
    </row>
    <row r="582" spans="1:24">
      <c r="A582" t="s">
        <v>4726</v>
      </c>
      <c r="B582" t="s">
        <v>512</v>
      </c>
      <c r="C582" t="s">
        <v>5393</v>
      </c>
      <c r="D582" t="s">
        <v>1007</v>
      </c>
      <c r="E582" t="s">
        <v>5482</v>
      </c>
      <c r="F582" t="s">
        <v>6062</v>
      </c>
      <c r="G582">
        <v>20</v>
      </c>
      <c r="H582">
        <v>4</v>
      </c>
      <c r="I582">
        <v>80</v>
      </c>
      <c r="J582">
        <v>-3.53</v>
      </c>
      <c r="K582">
        <v>-70.65000000000001</v>
      </c>
      <c r="L582">
        <v>0</v>
      </c>
      <c r="M582">
        <v>0</v>
      </c>
      <c r="N582">
        <v>0</v>
      </c>
      <c r="O582">
        <v>0</v>
      </c>
      <c r="P582" s="2">
        <f>(H582 + J582) - (L582 + N582)</f>
        <v>0</v>
      </c>
      <c r="Q582" s="2">
        <f>P582 * G582</f>
        <v>0</v>
      </c>
      <c r="R582">
        <v>5</v>
      </c>
      <c r="S582" s="2">
        <f>R582 * G582</f>
        <v>0</v>
      </c>
      <c r="T582" s="2">
        <f>(H582 + J582) - (L582 + N582) - R582</f>
        <v>0</v>
      </c>
      <c r="U582" s="2">
        <f>T582 * G582</f>
        <v>0</v>
      </c>
      <c r="V582" s="2">
        <f>I582 + K582 - S582</f>
        <v>0</v>
      </c>
      <c r="W582" s="2">
        <f>M582 - V582</f>
        <v>0</v>
      </c>
      <c r="X582" s="2">
        <f>IFERROR(W582 / M582 * 100, 0)</f>
        <v>0</v>
      </c>
    </row>
    <row r="583" spans="1:24">
      <c r="A583" t="s">
        <v>4727</v>
      </c>
      <c r="B583" t="s">
        <v>512</v>
      </c>
      <c r="C583" t="s">
        <v>5394</v>
      </c>
      <c r="D583" t="s">
        <v>1007</v>
      </c>
      <c r="E583" t="s">
        <v>5482</v>
      </c>
      <c r="F583" t="s">
        <v>6063</v>
      </c>
      <c r="G583">
        <v>15.06</v>
      </c>
      <c r="H583">
        <v>0</v>
      </c>
      <c r="I583">
        <v>0</v>
      </c>
      <c r="J583">
        <v>-0.08</v>
      </c>
      <c r="K583">
        <v>-1.2</v>
      </c>
      <c r="L583">
        <v>0</v>
      </c>
      <c r="M583">
        <v>0</v>
      </c>
      <c r="N583">
        <v>0</v>
      </c>
      <c r="O583">
        <v>0</v>
      </c>
      <c r="P583" s="2">
        <f>(H583 + J583) - (L583 + N583)</f>
        <v>0</v>
      </c>
      <c r="Q583" s="2">
        <f>P583 * G583</f>
        <v>0</v>
      </c>
      <c r="R583">
        <v>0</v>
      </c>
      <c r="S583" s="2">
        <f>R583 * G583</f>
        <v>0</v>
      </c>
      <c r="T583" s="2">
        <f>(H583 + J583) - (L583 + N583) - R583</f>
        <v>0</v>
      </c>
      <c r="U583" s="2">
        <f>T583 * G583</f>
        <v>0</v>
      </c>
      <c r="V583" s="2">
        <f>I583 + K583 - S583</f>
        <v>0</v>
      </c>
      <c r="W583" s="2">
        <f>M583 - V583</f>
        <v>0</v>
      </c>
      <c r="X583" s="2">
        <f>IFERROR(W583 / M583 * 100, 0)</f>
        <v>0</v>
      </c>
    </row>
    <row r="584" spans="1:24">
      <c r="A584" t="s">
        <v>4728</v>
      </c>
      <c r="B584" t="s">
        <v>512</v>
      </c>
      <c r="C584" t="s">
        <v>5395</v>
      </c>
      <c r="D584" t="s">
        <v>1007</v>
      </c>
      <c r="E584" t="s">
        <v>5482</v>
      </c>
      <c r="F584" t="s">
        <v>6064</v>
      </c>
      <c r="G584">
        <v>88.20999999999999</v>
      </c>
      <c r="H584">
        <v>1</v>
      </c>
      <c r="I584">
        <v>88.20999999999999</v>
      </c>
      <c r="J584">
        <v>-3.66</v>
      </c>
      <c r="K584">
        <v>-322.42</v>
      </c>
      <c r="L584">
        <v>0</v>
      </c>
      <c r="M584">
        <v>0</v>
      </c>
      <c r="N584">
        <v>0</v>
      </c>
      <c r="O584">
        <v>0</v>
      </c>
      <c r="P584" s="2">
        <f>(H584 + J584) - (L584 + N584)</f>
        <v>0</v>
      </c>
      <c r="Q584" s="2">
        <f>P584 * G584</f>
        <v>0</v>
      </c>
      <c r="R584">
        <v>1</v>
      </c>
      <c r="S584" s="2">
        <f>R584 * G584</f>
        <v>0</v>
      </c>
      <c r="T584" s="2">
        <f>(H584 + J584) - (L584 + N584) - R584</f>
        <v>0</v>
      </c>
      <c r="U584" s="2">
        <f>T584 * G584</f>
        <v>0</v>
      </c>
      <c r="V584" s="2">
        <f>I584 + K584 - S584</f>
        <v>0</v>
      </c>
      <c r="W584" s="2">
        <f>M584 - V584</f>
        <v>0</v>
      </c>
      <c r="X584" s="2">
        <f>IFERROR(W584 / M584 * 100, 0)</f>
        <v>0</v>
      </c>
    </row>
    <row r="585" spans="1:24">
      <c r="A585" t="s">
        <v>4729</v>
      </c>
      <c r="B585" t="s">
        <v>512</v>
      </c>
      <c r="C585" t="s">
        <v>5396</v>
      </c>
      <c r="D585" t="s">
        <v>1007</v>
      </c>
      <c r="E585" t="s">
        <v>5482</v>
      </c>
      <c r="F585" t="s">
        <v>6065</v>
      </c>
      <c r="G585">
        <v>25.02</v>
      </c>
      <c r="H585">
        <v>12</v>
      </c>
      <c r="I585">
        <v>300.29</v>
      </c>
      <c r="J585">
        <v>-7.89</v>
      </c>
      <c r="K585">
        <v>-197.37</v>
      </c>
      <c r="L585">
        <v>0</v>
      </c>
      <c r="M585">
        <v>0</v>
      </c>
      <c r="N585">
        <v>0</v>
      </c>
      <c r="O585">
        <v>0</v>
      </c>
      <c r="P585" s="2">
        <f>(H585 + J585) - (L585 + N585)</f>
        <v>0</v>
      </c>
      <c r="Q585" s="2">
        <f>P585 * G585</f>
        <v>0</v>
      </c>
      <c r="R585">
        <v>3</v>
      </c>
      <c r="S585" s="2">
        <f>R585 * G585</f>
        <v>0</v>
      </c>
      <c r="T585" s="2">
        <f>(H585 + J585) - (L585 + N585) - R585</f>
        <v>0</v>
      </c>
      <c r="U585" s="2">
        <f>T585 * G585</f>
        <v>0</v>
      </c>
      <c r="V585" s="2">
        <f>I585 + K585 - S585</f>
        <v>0</v>
      </c>
      <c r="W585" s="2">
        <f>M585 - V585</f>
        <v>0</v>
      </c>
      <c r="X585" s="2">
        <f>IFERROR(W585 / M585 * 100, 0)</f>
        <v>0</v>
      </c>
    </row>
    <row r="586" spans="1:24">
      <c r="A586" t="s">
        <v>4730</v>
      </c>
      <c r="B586" t="s">
        <v>512</v>
      </c>
      <c r="C586" t="s">
        <v>5397</v>
      </c>
      <c r="D586" t="s">
        <v>1007</v>
      </c>
      <c r="E586" t="s">
        <v>5482</v>
      </c>
      <c r="F586" t="s">
        <v>6066</v>
      </c>
      <c r="G586">
        <v>55.4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 s="2">
        <f>(H586 + J586) - (L586 + N586)</f>
        <v>0</v>
      </c>
      <c r="Q586" s="2">
        <f>P586 * G586</f>
        <v>0</v>
      </c>
      <c r="R586">
        <v>0.25</v>
      </c>
      <c r="S586" s="2">
        <f>R586 * G586</f>
        <v>0</v>
      </c>
      <c r="T586" s="2">
        <f>(H586 + J586) - (L586 + N586) - R586</f>
        <v>0</v>
      </c>
      <c r="U586" s="2">
        <f>T586 * G586</f>
        <v>0</v>
      </c>
      <c r="V586" s="2">
        <f>I586 + K586 - S586</f>
        <v>0</v>
      </c>
      <c r="W586" s="2">
        <f>M586 - V586</f>
        <v>0</v>
      </c>
      <c r="X586" s="2">
        <f>IFERROR(W586 / M586 * 100, 0)</f>
        <v>0</v>
      </c>
    </row>
    <row r="587" spans="1:24">
      <c r="A587" t="s">
        <v>4731</v>
      </c>
      <c r="B587" t="s">
        <v>512</v>
      </c>
      <c r="C587" t="s">
        <v>5398</v>
      </c>
      <c r="D587" t="s">
        <v>1007</v>
      </c>
      <c r="E587" t="s">
        <v>5482</v>
      </c>
      <c r="F587" t="s">
        <v>6067</v>
      </c>
      <c r="G587">
        <v>35.51</v>
      </c>
      <c r="H587">
        <v>2</v>
      </c>
      <c r="I587">
        <v>76.11</v>
      </c>
      <c r="J587">
        <v>-4.17</v>
      </c>
      <c r="K587">
        <v>-162.05</v>
      </c>
      <c r="L587">
        <v>0</v>
      </c>
      <c r="M587">
        <v>0</v>
      </c>
      <c r="N587">
        <v>0</v>
      </c>
      <c r="O587">
        <v>0</v>
      </c>
      <c r="P587" s="2">
        <f>(H587 + J587) - (L587 + N587)</f>
        <v>0</v>
      </c>
      <c r="Q587" s="2">
        <f>P587 * G587</f>
        <v>0</v>
      </c>
      <c r="R587">
        <v>1</v>
      </c>
      <c r="S587" s="2">
        <f>R587 * G587</f>
        <v>0</v>
      </c>
      <c r="T587" s="2">
        <f>(H587 + J587) - (L587 + N587) - R587</f>
        <v>0</v>
      </c>
      <c r="U587" s="2">
        <f>T587 * G587</f>
        <v>0</v>
      </c>
      <c r="V587" s="2">
        <f>I587 + K587 - S587</f>
        <v>0</v>
      </c>
      <c r="W587" s="2">
        <f>M587 - V587</f>
        <v>0</v>
      </c>
      <c r="X587" s="2">
        <f>IFERROR(W587 / M587 * 100, 0)</f>
        <v>0</v>
      </c>
    </row>
    <row r="588" spans="1:24">
      <c r="A588" t="s">
        <v>4732</v>
      </c>
      <c r="B588" t="s">
        <v>512</v>
      </c>
      <c r="C588" t="s">
        <v>5399</v>
      </c>
      <c r="D588" t="s">
        <v>1007</v>
      </c>
      <c r="E588" t="s">
        <v>5482</v>
      </c>
      <c r="F588" t="s">
        <v>6068</v>
      </c>
      <c r="G588">
        <v>8.960000000000001</v>
      </c>
      <c r="H588">
        <v>42</v>
      </c>
      <c r="I588">
        <v>357</v>
      </c>
      <c r="J588">
        <v>99.44</v>
      </c>
      <c r="K588">
        <v>910.73</v>
      </c>
      <c r="L588">
        <v>0</v>
      </c>
      <c r="M588">
        <v>0</v>
      </c>
      <c r="N588">
        <v>0</v>
      </c>
      <c r="O588">
        <v>0</v>
      </c>
      <c r="P588" s="2">
        <f>(H588 + J588) - (L588 + N588)</f>
        <v>0</v>
      </c>
      <c r="Q588" s="2">
        <f>P588 * G588</f>
        <v>0</v>
      </c>
      <c r="R588">
        <v>120</v>
      </c>
      <c r="S588" s="2">
        <f>R588 * G588</f>
        <v>0</v>
      </c>
      <c r="T588" s="2">
        <f>(H588 + J588) - (L588 + N588) - R588</f>
        <v>0</v>
      </c>
      <c r="U588" s="2">
        <f>T588 * G588</f>
        <v>0</v>
      </c>
      <c r="V588" s="2">
        <f>I588 + K588 - S588</f>
        <v>0</v>
      </c>
      <c r="W588" s="2">
        <f>M588 - V588</f>
        <v>0</v>
      </c>
      <c r="X588" s="2">
        <f>IFERROR(W588 / M588 * 100, 0)</f>
        <v>0</v>
      </c>
    </row>
    <row r="589" spans="1:24">
      <c r="A589" t="s">
        <v>4733</v>
      </c>
      <c r="B589" t="s">
        <v>512</v>
      </c>
      <c r="C589" t="s">
        <v>5400</v>
      </c>
      <c r="D589" t="s">
        <v>1007</v>
      </c>
      <c r="E589" t="s">
        <v>5482</v>
      </c>
      <c r="F589" t="s">
        <v>6069</v>
      </c>
      <c r="G589">
        <v>16.87</v>
      </c>
      <c r="H589">
        <v>2</v>
      </c>
      <c r="I589">
        <v>33.73</v>
      </c>
      <c r="J589">
        <v>-29.17</v>
      </c>
      <c r="K589">
        <v>-492.04</v>
      </c>
      <c r="L589">
        <v>0</v>
      </c>
      <c r="M589">
        <v>0</v>
      </c>
      <c r="N589">
        <v>0</v>
      </c>
      <c r="O589">
        <v>0</v>
      </c>
      <c r="P589" s="2">
        <f>(H589 + J589) - (L589 + N589)</f>
        <v>0</v>
      </c>
      <c r="Q589" s="2">
        <f>P589 * G589</f>
        <v>0</v>
      </c>
      <c r="R589">
        <v>22</v>
      </c>
      <c r="S589" s="2">
        <f>R589 * G589</f>
        <v>0</v>
      </c>
      <c r="T589" s="2">
        <f>(H589 + J589) - (L589 + N589) - R589</f>
        <v>0</v>
      </c>
      <c r="U589" s="2">
        <f>T589 * G589</f>
        <v>0</v>
      </c>
      <c r="V589" s="2">
        <f>I589 + K589 - S589</f>
        <v>0</v>
      </c>
      <c r="W589" s="2">
        <f>M589 - V589</f>
        <v>0</v>
      </c>
      <c r="X589" s="2">
        <f>IFERROR(W589 / M589 * 100, 0)</f>
        <v>0</v>
      </c>
    </row>
    <row r="590" spans="1:24">
      <c r="A590" t="s">
        <v>4734</v>
      </c>
      <c r="B590" t="s">
        <v>512</v>
      </c>
      <c r="C590" t="s">
        <v>5401</v>
      </c>
      <c r="D590" t="s">
        <v>1007</v>
      </c>
      <c r="E590" t="s">
        <v>5482</v>
      </c>
      <c r="F590" t="s">
        <v>6070</v>
      </c>
      <c r="G590">
        <v>14.5</v>
      </c>
      <c r="H590">
        <v>0</v>
      </c>
      <c r="I590">
        <v>0</v>
      </c>
      <c r="J590">
        <v>-7.5</v>
      </c>
      <c r="K590">
        <v>-108.81</v>
      </c>
      <c r="L590">
        <v>0</v>
      </c>
      <c r="M590">
        <v>0</v>
      </c>
      <c r="N590">
        <v>0</v>
      </c>
      <c r="O590">
        <v>0</v>
      </c>
      <c r="P590" s="2">
        <f>(H590 + J590) - (L590 + N590)</f>
        <v>0</v>
      </c>
      <c r="Q590" s="2">
        <f>P590 * G590</f>
        <v>0</v>
      </c>
      <c r="R590">
        <v>0</v>
      </c>
      <c r="S590" s="2">
        <f>R590 * G590</f>
        <v>0</v>
      </c>
      <c r="T590" s="2">
        <f>(H590 + J590) - (L590 + N590) - R590</f>
        <v>0</v>
      </c>
      <c r="U590" s="2">
        <f>T590 * G590</f>
        <v>0</v>
      </c>
      <c r="V590" s="2">
        <f>I590 + K590 - S590</f>
        <v>0</v>
      </c>
      <c r="W590" s="2">
        <f>M590 - V590</f>
        <v>0</v>
      </c>
      <c r="X590" s="2">
        <f>IFERROR(W590 / M590 * 100, 0)</f>
        <v>0</v>
      </c>
    </row>
    <row r="591" spans="1:24">
      <c r="A591" t="s">
        <v>4735</v>
      </c>
      <c r="B591" t="s">
        <v>512</v>
      </c>
      <c r="C591" t="s">
        <v>5402</v>
      </c>
      <c r="D591" t="s">
        <v>1008</v>
      </c>
      <c r="E591" t="s">
        <v>5482</v>
      </c>
      <c r="F591" t="s">
        <v>6071</v>
      </c>
      <c r="G591">
        <v>0.27</v>
      </c>
      <c r="H591">
        <v>0</v>
      </c>
      <c r="I591">
        <v>0</v>
      </c>
      <c r="J591">
        <v>-17.3</v>
      </c>
      <c r="K591">
        <v>-4.67</v>
      </c>
      <c r="L591">
        <v>0</v>
      </c>
      <c r="M591">
        <v>0</v>
      </c>
      <c r="N591">
        <v>0</v>
      </c>
      <c r="O591">
        <v>0</v>
      </c>
      <c r="P591" s="2">
        <f>(H591 + J591) - (L591 + N591)</f>
        <v>0</v>
      </c>
      <c r="Q591" s="2">
        <f>P591 * G591</f>
        <v>0</v>
      </c>
      <c r="R591">
        <v>0</v>
      </c>
      <c r="S591" s="2">
        <f>R591 * G591</f>
        <v>0</v>
      </c>
      <c r="T591" s="2">
        <f>(H591 + J591) - (L591 + N591) - R591</f>
        <v>0</v>
      </c>
      <c r="U591" s="2">
        <f>T591 * G591</f>
        <v>0</v>
      </c>
      <c r="V591" s="2">
        <f>I591 + K591 - S591</f>
        <v>0</v>
      </c>
      <c r="W591" s="2">
        <f>M591 - V591</f>
        <v>0</v>
      </c>
      <c r="X591" s="2">
        <f>IFERROR(W591 / M591 * 100, 0)</f>
        <v>0</v>
      </c>
    </row>
    <row r="592" spans="1:24">
      <c r="A592" t="s">
        <v>4736</v>
      </c>
      <c r="B592" t="s">
        <v>512</v>
      </c>
      <c r="C592" t="s">
        <v>5403</v>
      </c>
      <c r="D592" t="s">
        <v>1007</v>
      </c>
      <c r="E592" t="s">
        <v>5482</v>
      </c>
      <c r="F592" t="s">
        <v>6072</v>
      </c>
      <c r="G592">
        <v>13.91</v>
      </c>
      <c r="H592">
        <v>0</v>
      </c>
      <c r="I592">
        <v>0</v>
      </c>
      <c r="J592">
        <v>5.54</v>
      </c>
      <c r="K592">
        <v>106.68</v>
      </c>
      <c r="L592">
        <v>0</v>
      </c>
      <c r="M592">
        <v>0</v>
      </c>
      <c r="N592">
        <v>0</v>
      </c>
      <c r="O592">
        <v>0</v>
      </c>
      <c r="P592" s="2">
        <f>(H592 + J592) - (L592 + N592)</f>
        <v>0</v>
      </c>
      <c r="Q592" s="2">
        <f>P592 * G592</f>
        <v>0</v>
      </c>
      <c r="R592">
        <v>0</v>
      </c>
      <c r="S592" s="2">
        <f>R592 * G592</f>
        <v>0</v>
      </c>
      <c r="T592" s="2">
        <f>(H592 + J592) - (L592 + N592) - R592</f>
        <v>0</v>
      </c>
      <c r="U592" s="2">
        <f>T592 * G592</f>
        <v>0</v>
      </c>
      <c r="V592" s="2">
        <f>I592 + K592 - S592</f>
        <v>0</v>
      </c>
      <c r="W592" s="2">
        <f>M592 - V592</f>
        <v>0</v>
      </c>
      <c r="X592" s="2">
        <f>IFERROR(W592 / M592 * 100, 0)</f>
        <v>0</v>
      </c>
    </row>
    <row r="593" spans="1:24">
      <c r="A593" t="s">
        <v>4737</v>
      </c>
      <c r="B593" t="s">
        <v>512</v>
      </c>
      <c r="C593" t="s">
        <v>5404</v>
      </c>
      <c r="D593" t="s">
        <v>1007</v>
      </c>
      <c r="E593" t="s">
        <v>5482</v>
      </c>
      <c r="F593" t="s">
        <v>6073</v>
      </c>
      <c r="G593">
        <v>34.09</v>
      </c>
      <c r="H593">
        <v>13</v>
      </c>
      <c r="I593">
        <v>313.86</v>
      </c>
      <c r="J593">
        <v>-1.48</v>
      </c>
      <c r="K593">
        <v>32.39</v>
      </c>
      <c r="L593">
        <v>0</v>
      </c>
      <c r="M593">
        <v>0</v>
      </c>
      <c r="N593">
        <v>0</v>
      </c>
      <c r="O593">
        <v>0</v>
      </c>
      <c r="P593" s="2">
        <f>(H593 + J593) - (L593 + N593)</f>
        <v>0</v>
      </c>
      <c r="Q593" s="2">
        <f>P593 * G593</f>
        <v>0</v>
      </c>
      <c r="R593">
        <v>1</v>
      </c>
      <c r="S593" s="2">
        <f>R593 * G593</f>
        <v>0</v>
      </c>
      <c r="T593" s="2">
        <f>(H593 + J593) - (L593 + N593) - R593</f>
        <v>0</v>
      </c>
      <c r="U593" s="2">
        <f>T593 * G593</f>
        <v>0</v>
      </c>
      <c r="V593" s="2">
        <f>I593 + K593 - S593</f>
        <v>0</v>
      </c>
      <c r="W593" s="2">
        <f>M593 - V593</f>
        <v>0</v>
      </c>
      <c r="X593" s="2">
        <f>IFERROR(W593 / M593 * 100, 0)</f>
        <v>0</v>
      </c>
    </row>
    <row r="594" spans="1:24">
      <c r="A594" t="s">
        <v>4738</v>
      </c>
      <c r="B594" t="s">
        <v>512</v>
      </c>
      <c r="C594" t="s">
        <v>5405</v>
      </c>
      <c r="D594" t="s">
        <v>1007</v>
      </c>
      <c r="E594" t="s">
        <v>5482</v>
      </c>
      <c r="F594" t="s">
        <v>6074</v>
      </c>
      <c r="G594">
        <v>36.7</v>
      </c>
      <c r="H594">
        <v>5</v>
      </c>
      <c r="I594">
        <v>190.84</v>
      </c>
      <c r="J594">
        <v>-1.14</v>
      </c>
      <c r="K594">
        <v>-49.17</v>
      </c>
      <c r="L594">
        <v>0</v>
      </c>
      <c r="M594">
        <v>0</v>
      </c>
      <c r="N594">
        <v>0</v>
      </c>
      <c r="O594">
        <v>0</v>
      </c>
      <c r="P594" s="2">
        <f>(H594 + J594) - (L594 + N594)</f>
        <v>0</v>
      </c>
      <c r="Q594" s="2">
        <f>P594 * G594</f>
        <v>0</v>
      </c>
      <c r="R594">
        <v>4</v>
      </c>
      <c r="S594" s="2">
        <f>R594 * G594</f>
        <v>0</v>
      </c>
      <c r="T594" s="2">
        <f>(H594 + J594) - (L594 + N594) - R594</f>
        <v>0</v>
      </c>
      <c r="U594" s="2">
        <f>T594 * G594</f>
        <v>0</v>
      </c>
      <c r="V594" s="2">
        <f>I594 + K594 - S594</f>
        <v>0</v>
      </c>
      <c r="W594" s="2">
        <f>M594 - V594</f>
        <v>0</v>
      </c>
      <c r="X594" s="2">
        <f>IFERROR(W594 / M594 * 100, 0)</f>
        <v>0</v>
      </c>
    </row>
    <row r="595" spans="1:24">
      <c r="A595" t="s">
        <v>4739</v>
      </c>
      <c r="B595" t="s">
        <v>512</v>
      </c>
      <c r="C595" t="s">
        <v>5406</v>
      </c>
      <c r="D595" t="s">
        <v>1007</v>
      </c>
      <c r="E595" t="s">
        <v>5482</v>
      </c>
      <c r="F595" t="s">
        <v>6075</v>
      </c>
      <c r="G595">
        <v>2.43</v>
      </c>
      <c r="H595">
        <v>4</v>
      </c>
      <c r="I595">
        <v>11.29</v>
      </c>
      <c r="J595">
        <v>33.32</v>
      </c>
      <c r="K595">
        <v>79.18000000000001</v>
      </c>
      <c r="L595">
        <v>0</v>
      </c>
      <c r="M595">
        <v>0</v>
      </c>
      <c r="N595">
        <v>0</v>
      </c>
      <c r="O595">
        <v>0</v>
      </c>
      <c r="P595" s="2">
        <f>(H595 + J595) - (L595 + N595)</f>
        <v>0</v>
      </c>
      <c r="Q595" s="2">
        <f>P595 * G595</f>
        <v>0</v>
      </c>
      <c r="R595">
        <v>5</v>
      </c>
      <c r="S595" s="2">
        <f>R595 * G595</f>
        <v>0</v>
      </c>
      <c r="T595" s="2">
        <f>(H595 + J595) - (L595 + N595) - R595</f>
        <v>0</v>
      </c>
      <c r="U595" s="2">
        <f>T595 * G595</f>
        <v>0</v>
      </c>
      <c r="V595" s="2">
        <f>I595 + K595 - S595</f>
        <v>0</v>
      </c>
      <c r="W595" s="2">
        <f>M595 - V595</f>
        <v>0</v>
      </c>
      <c r="X595" s="2">
        <f>IFERROR(W595 / M595 * 100, 0)</f>
        <v>0</v>
      </c>
    </row>
    <row r="596" spans="1:24">
      <c r="A596" t="s">
        <v>4740</v>
      </c>
      <c r="B596" t="s">
        <v>512</v>
      </c>
      <c r="C596" t="s">
        <v>5407</v>
      </c>
      <c r="D596" t="s">
        <v>1007</v>
      </c>
      <c r="E596" t="s">
        <v>5482</v>
      </c>
      <c r="F596" t="s">
        <v>6076</v>
      </c>
      <c r="G596">
        <v>20.48</v>
      </c>
      <c r="H596">
        <v>0</v>
      </c>
      <c r="I596">
        <v>0</v>
      </c>
      <c r="J596">
        <v>-2.08</v>
      </c>
      <c r="K596">
        <v>-43.07</v>
      </c>
      <c r="L596">
        <v>0</v>
      </c>
      <c r="M596">
        <v>0</v>
      </c>
      <c r="N596">
        <v>0</v>
      </c>
      <c r="O596">
        <v>0</v>
      </c>
      <c r="P596" s="2">
        <f>(H596 + J596) - (L596 + N596)</f>
        <v>0</v>
      </c>
      <c r="Q596" s="2">
        <f>P596 * G596</f>
        <v>0</v>
      </c>
      <c r="R596">
        <v>0</v>
      </c>
      <c r="S596" s="2">
        <f>R596 * G596</f>
        <v>0</v>
      </c>
      <c r="T596" s="2">
        <f>(H596 + J596) - (L596 + N596) - R596</f>
        <v>0</v>
      </c>
      <c r="U596" s="2">
        <f>T596 * G596</f>
        <v>0</v>
      </c>
      <c r="V596" s="2">
        <f>I596 + K596 - S596</f>
        <v>0</v>
      </c>
      <c r="W596" s="2">
        <f>M596 - V596</f>
        <v>0</v>
      </c>
      <c r="X596" s="2">
        <f>IFERROR(W596 / M596 * 100, 0)</f>
        <v>0</v>
      </c>
    </row>
    <row r="597" spans="1:24">
      <c r="A597" t="s">
        <v>4741</v>
      </c>
      <c r="B597" t="s">
        <v>512</v>
      </c>
      <c r="C597" t="s">
        <v>5408</v>
      </c>
      <c r="D597" t="s">
        <v>1007</v>
      </c>
      <c r="E597" t="s">
        <v>5482</v>
      </c>
      <c r="F597" t="s">
        <v>6077</v>
      </c>
      <c r="G597">
        <v>8.800000000000001</v>
      </c>
      <c r="H597">
        <v>60</v>
      </c>
      <c r="I597">
        <v>528</v>
      </c>
      <c r="J597">
        <v>158.74</v>
      </c>
      <c r="K597">
        <v>1396.91</v>
      </c>
      <c r="L597">
        <v>0</v>
      </c>
      <c r="M597">
        <v>0</v>
      </c>
      <c r="N597">
        <v>0</v>
      </c>
      <c r="O597">
        <v>0</v>
      </c>
      <c r="P597" s="2">
        <f>(H597 + J597) - (L597 + N597)</f>
        <v>0</v>
      </c>
      <c r="Q597" s="2">
        <f>P597 * G597</f>
        <v>0</v>
      </c>
      <c r="R597">
        <v>105</v>
      </c>
      <c r="S597" s="2">
        <f>R597 * G597</f>
        <v>0</v>
      </c>
      <c r="T597" s="2">
        <f>(H597 + J597) - (L597 + N597) - R597</f>
        <v>0</v>
      </c>
      <c r="U597" s="2">
        <f>T597 * G597</f>
        <v>0</v>
      </c>
      <c r="V597" s="2">
        <f>I597 + K597 - S597</f>
        <v>0</v>
      </c>
      <c r="W597" s="2">
        <f>M597 - V597</f>
        <v>0</v>
      </c>
      <c r="X597" s="2">
        <f>IFERROR(W597 / M597 * 100, 0)</f>
        <v>0</v>
      </c>
    </row>
    <row r="598" spans="1:24">
      <c r="A598" t="s">
        <v>4742</v>
      </c>
      <c r="B598" t="s">
        <v>512</v>
      </c>
      <c r="C598" t="s">
        <v>5409</v>
      </c>
      <c r="D598" t="s">
        <v>1007</v>
      </c>
      <c r="E598" t="s">
        <v>5482</v>
      </c>
      <c r="F598" t="s">
        <v>6078</v>
      </c>
      <c r="G598">
        <v>41.53</v>
      </c>
      <c r="H598">
        <v>9</v>
      </c>
      <c r="I598">
        <v>347.33</v>
      </c>
      <c r="J598">
        <v>15.7</v>
      </c>
      <c r="K598">
        <v>678.74</v>
      </c>
      <c r="L598">
        <v>0</v>
      </c>
      <c r="M598">
        <v>0</v>
      </c>
      <c r="N598">
        <v>0</v>
      </c>
      <c r="O598">
        <v>0</v>
      </c>
      <c r="P598" s="2">
        <f>(H598 + J598) - (L598 + N598)</f>
        <v>0</v>
      </c>
      <c r="Q598" s="2">
        <f>P598 * G598</f>
        <v>0</v>
      </c>
      <c r="R598">
        <v>13</v>
      </c>
      <c r="S598" s="2">
        <f>R598 * G598</f>
        <v>0</v>
      </c>
      <c r="T598" s="2">
        <f>(H598 + J598) - (L598 + N598) - R598</f>
        <v>0</v>
      </c>
      <c r="U598" s="2">
        <f>T598 * G598</f>
        <v>0</v>
      </c>
      <c r="V598" s="2">
        <f>I598 + K598 - S598</f>
        <v>0</v>
      </c>
      <c r="W598" s="2">
        <f>M598 - V598</f>
        <v>0</v>
      </c>
      <c r="X598" s="2">
        <f>IFERROR(W598 / M598 * 100, 0)</f>
        <v>0</v>
      </c>
    </row>
    <row r="599" spans="1:24">
      <c r="A599" t="s">
        <v>4743</v>
      </c>
      <c r="B599" t="s">
        <v>512</v>
      </c>
      <c r="C599" t="s">
        <v>5410</v>
      </c>
      <c r="D599" t="s">
        <v>1007</v>
      </c>
      <c r="E599" t="s">
        <v>5482</v>
      </c>
      <c r="F599" t="s">
        <v>6079</v>
      </c>
      <c r="G599">
        <v>8.220000000000001</v>
      </c>
      <c r="H599">
        <v>60</v>
      </c>
      <c r="I599">
        <v>514.72</v>
      </c>
      <c r="J599">
        <v>115.94</v>
      </c>
      <c r="K599">
        <v>929.6</v>
      </c>
      <c r="L599">
        <v>0</v>
      </c>
      <c r="M599">
        <v>0</v>
      </c>
      <c r="N599">
        <v>0</v>
      </c>
      <c r="O599">
        <v>0</v>
      </c>
      <c r="P599" s="2">
        <f>(H599 + J599) - (L599 + N599)</f>
        <v>0</v>
      </c>
      <c r="Q599" s="2">
        <f>P599 * G599</f>
        <v>0</v>
      </c>
      <c r="R599">
        <v>110</v>
      </c>
      <c r="S599" s="2">
        <f>R599 * G599</f>
        <v>0</v>
      </c>
      <c r="T599" s="2">
        <f>(H599 + J599) - (L599 + N599) - R599</f>
        <v>0</v>
      </c>
      <c r="U599" s="2">
        <f>T599 * G599</f>
        <v>0</v>
      </c>
      <c r="V599" s="2">
        <f>I599 + K599 - S599</f>
        <v>0</v>
      </c>
      <c r="W599" s="2">
        <f>M599 - V599</f>
        <v>0</v>
      </c>
      <c r="X599" s="2">
        <f>IFERROR(W599 / M599 * 100, 0)</f>
        <v>0</v>
      </c>
    </row>
    <row r="600" spans="1:24">
      <c r="A600" t="s">
        <v>4744</v>
      </c>
      <c r="B600" t="s">
        <v>512</v>
      </c>
      <c r="C600" t="s">
        <v>5411</v>
      </c>
      <c r="D600" t="s">
        <v>1007</v>
      </c>
      <c r="E600" t="s">
        <v>5482</v>
      </c>
      <c r="F600" t="s">
        <v>6080</v>
      </c>
      <c r="G600">
        <v>23.33</v>
      </c>
      <c r="H600">
        <v>47</v>
      </c>
      <c r="I600">
        <v>1096.66</v>
      </c>
      <c r="J600">
        <v>-3.13</v>
      </c>
      <c r="K600">
        <v>-73.09999999999999</v>
      </c>
      <c r="L600">
        <v>0</v>
      </c>
      <c r="M600">
        <v>0</v>
      </c>
      <c r="N600">
        <v>0</v>
      </c>
      <c r="O600">
        <v>0</v>
      </c>
      <c r="P600" s="2">
        <f>(H600 + J600) - (L600 + N600)</f>
        <v>0</v>
      </c>
      <c r="Q600" s="2">
        <f>P600 * G600</f>
        <v>0</v>
      </c>
      <c r="R600">
        <v>36</v>
      </c>
      <c r="S600" s="2">
        <f>R600 * G600</f>
        <v>0</v>
      </c>
      <c r="T600" s="2">
        <f>(H600 + J600) - (L600 + N600) - R600</f>
        <v>0</v>
      </c>
      <c r="U600" s="2">
        <f>T600 * G600</f>
        <v>0</v>
      </c>
      <c r="V600" s="2">
        <f>I600 + K600 - S600</f>
        <v>0</v>
      </c>
      <c r="W600" s="2">
        <f>M600 - V600</f>
        <v>0</v>
      </c>
      <c r="X600" s="2">
        <f>IFERROR(W600 / M600 * 100, 0)</f>
        <v>0</v>
      </c>
    </row>
    <row r="601" spans="1:24">
      <c r="A601" t="s">
        <v>4745</v>
      </c>
      <c r="B601" t="s">
        <v>512</v>
      </c>
      <c r="C601" t="s">
        <v>5412</v>
      </c>
      <c r="D601" t="s">
        <v>1007</v>
      </c>
      <c r="E601" t="s">
        <v>5482</v>
      </c>
      <c r="F601" t="s">
        <v>6081</v>
      </c>
      <c r="G601">
        <v>11</v>
      </c>
      <c r="H601">
        <v>0</v>
      </c>
      <c r="I601">
        <v>0</v>
      </c>
      <c r="J601">
        <v>-2.31</v>
      </c>
      <c r="K601">
        <v>-25.41</v>
      </c>
      <c r="L601">
        <v>0</v>
      </c>
      <c r="M601">
        <v>0</v>
      </c>
      <c r="N601">
        <v>0</v>
      </c>
      <c r="O601">
        <v>0</v>
      </c>
      <c r="P601" s="2">
        <f>(H601 + J601) - (L601 + N601)</f>
        <v>0</v>
      </c>
      <c r="Q601" s="2">
        <f>P601 * G601</f>
        <v>0</v>
      </c>
      <c r="R601">
        <v>0</v>
      </c>
      <c r="S601" s="2">
        <f>R601 * G601</f>
        <v>0</v>
      </c>
      <c r="T601" s="2">
        <f>(H601 + J601) - (L601 + N601) - R601</f>
        <v>0</v>
      </c>
      <c r="U601" s="2">
        <f>T601 * G601</f>
        <v>0</v>
      </c>
      <c r="V601" s="2">
        <f>I601 + K601 - S601</f>
        <v>0</v>
      </c>
      <c r="W601" s="2">
        <f>M601 - V601</f>
        <v>0</v>
      </c>
      <c r="X601" s="2">
        <f>IFERROR(W601 / M601 * 100, 0)</f>
        <v>0</v>
      </c>
    </row>
    <row r="602" spans="1:24">
      <c r="A602" t="s">
        <v>4746</v>
      </c>
      <c r="B602" t="s">
        <v>512</v>
      </c>
      <c r="C602" t="s">
        <v>5413</v>
      </c>
      <c r="D602" t="s">
        <v>1007</v>
      </c>
      <c r="E602" t="s">
        <v>5482</v>
      </c>
      <c r="F602" t="s">
        <v>6082</v>
      </c>
      <c r="G602">
        <v>6.46</v>
      </c>
      <c r="H602">
        <v>0</v>
      </c>
      <c r="I602">
        <v>0</v>
      </c>
      <c r="J602">
        <v>12.29</v>
      </c>
      <c r="K602">
        <v>115.91</v>
      </c>
      <c r="L602">
        <v>0</v>
      </c>
      <c r="M602">
        <v>0</v>
      </c>
      <c r="N602">
        <v>0</v>
      </c>
      <c r="O602">
        <v>0</v>
      </c>
      <c r="P602" s="2">
        <f>(H602 + J602) - (L602 + N602)</f>
        <v>0</v>
      </c>
      <c r="Q602" s="2">
        <f>P602 * G602</f>
        <v>0</v>
      </c>
      <c r="R602">
        <v>9</v>
      </c>
      <c r="S602" s="2">
        <f>R602 * G602</f>
        <v>0</v>
      </c>
      <c r="T602" s="2">
        <f>(H602 + J602) - (L602 + N602) - R602</f>
        <v>0</v>
      </c>
      <c r="U602" s="2">
        <f>T602 * G602</f>
        <v>0</v>
      </c>
      <c r="V602" s="2">
        <f>I602 + K602 - S602</f>
        <v>0</v>
      </c>
      <c r="W602" s="2">
        <f>M602 - V602</f>
        <v>0</v>
      </c>
      <c r="X602" s="2">
        <f>IFERROR(W602 / M602 * 100, 0)</f>
        <v>0</v>
      </c>
    </row>
    <row r="603" spans="1:24">
      <c r="A603" t="s">
        <v>4747</v>
      </c>
      <c r="B603" t="s">
        <v>512</v>
      </c>
      <c r="C603" t="s">
        <v>5414</v>
      </c>
      <c r="D603" t="s">
        <v>1007</v>
      </c>
      <c r="E603" t="s">
        <v>5482</v>
      </c>
      <c r="F603" t="s">
        <v>6083</v>
      </c>
      <c r="G603">
        <v>17.34</v>
      </c>
      <c r="H603">
        <v>5</v>
      </c>
      <c r="I603">
        <v>86.68000000000001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 s="2">
        <f>(H603 + J603) - (L603 + N603)</f>
        <v>0</v>
      </c>
      <c r="Q603" s="2">
        <f>P603 * G603</f>
        <v>0</v>
      </c>
      <c r="R603">
        <v>1</v>
      </c>
      <c r="S603" s="2">
        <f>R603 * G603</f>
        <v>0</v>
      </c>
      <c r="T603" s="2">
        <f>(H603 + J603) - (L603 + N603) - R603</f>
        <v>0</v>
      </c>
      <c r="U603" s="2">
        <f>T603 * G603</f>
        <v>0</v>
      </c>
      <c r="V603" s="2">
        <f>I603 + K603 - S603</f>
        <v>0</v>
      </c>
      <c r="W603" s="2">
        <f>M603 - V603</f>
        <v>0</v>
      </c>
      <c r="X603" s="2">
        <f>IFERROR(W603 / M603 * 100, 0)</f>
        <v>0</v>
      </c>
    </row>
    <row r="604" spans="1:24">
      <c r="A604" t="s">
        <v>4748</v>
      </c>
      <c r="B604" t="s">
        <v>512</v>
      </c>
      <c r="C604" t="s">
        <v>5415</v>
      </c>
      <c r="D604" t="s">
        <v>1007</v>
      </c>
      <c r="E604" t="s">
        <v>5482</v>
      </c>
      <c r="F604" t="s">
        <v>6084</v>
      </c>
      <c r="G604">
        <v>42.74</v>
      </c>
      <c r="H604">
        <v>0</v>
      </c>
      <c r="I604">
        <v>0</v>
      </c>
      <c r="J604">
        <v>-147.76</v>
      </c>
      <c r="K604">
        <v>-7301.18</v>
      </c>
      <c r="L604">
        <v>0</v>
      </c>
      <c r="M604">
        <v>0</v>
      </c>
      <c r="N604">
        <v>0</v>
      </c>
      <c r="O604">
        <v>0</v>
      </c>
      <c r="P604" s="2">
        <f>(H604 + J604) - (L604 + N604)</f>
        <v>0</v>
      </c>
      <c r="Q604" s="2">
        <f>P604 * G604</f>
        <v>0</v>
      </c>
      <c r="R604">
        <v>0</v>
      </c>
      <c r="S604" s="2">
        <f>R604 * G604</f>
        <v>0</v>
      </c>
      <c r="T604" s="2">
        <f>(H604 + J604) - (L604 + N604) - R604</f>
        <v>0</v>
      </c>
      <c r="U604" s="2">
        <f>T604 * G604</f>
        <v>0</v>
      </c>
      <c r="V604" s="2">
        <f>I604 + K604 - S604</f>
        <v>0</v>
      </c>
      <c r="W604" s="2">
        <f>M604 - V604</f>
        <v>0</v>
      </c>
      <c r="X604" s="2">
        <f>IFERROR(W604 / M604 * 100, 0)</f>
        <v>0</v>
      </c>
    </row>
    <row r="605" spans="1:24">
      <c r="A605" t="s">
        <v>4749</v>
      </c>
      <c r="B605" t="s">
        <v>512</v>
      </c>
      <c r="C605" t="s">
        <v>5416</v>
      </c>
      <c r="D605" t="s">
        <v>1008</v>
      </c>
      <c r="E605" t="s">
        <v>5482</v>
      </c>
      <c r="F605" t="s">
        <v>6085</v>
      </c>
      <c r="G605">
        <v>165</v>
      </c>
      <c r="H605">
        <v>0</v>
      </c>
      <c r="I605">
        <v>0</v>
      </c>
      <c r="J605">
        <v>1</v>
      </c>
      <c r="K605">
        <v>165</v>
      </c>
      <c r="L605">
        <v>0</v>
      </c>
      <c r="M605">
        <v>0</v>
      </c>
      <c r="N605">
        <v>0</v>
      </c>
      <c r="O605">
        <v>0</v>
      </c>
      <c r="P605" s="2">
        <f>(H605 + J605) - (L605 + N605)</f>
        <v>0</v>
      </c>
      <c r="Q605" s="2">
        <f>P605 * G605</f>
        <v>0</v>
      </c>
      <c r="R605">
        <v>1</v>
      </c>
      <c r="S605" s="2">
        <f>R605 * G605</f>
        <v>0</v>
      </c>
      <c r="T605" s="2">
        <f>(H605 + J605) - (L605 + N605) - R605</f>
        <v>0</v>
      </c>
      <c r="U605" s="2">
        <f>T605 * G605</f>
        <v>0</v>
      </c>
      <c r="V605" s="2">
        <f>I605 + K605 - S605</f>
        <v>0</v>
      </c>
      <c r="W605" s="2">
        <f>M605 - V605</f>
        <v>0</v>
      </c>
      <c r="X605" s="2">
        <f>IFERROR(W605 / M605 * 100, 0)</f>
        <v>0</v>
      </c>
    </row>
    <row r="606" spans="1:24">
      <c r="A606" t="s">
        <v>4750</v>
      </c>
      <c r="B606" t="s">
        <v>512</v>
      </c>
      <c r="C606" t="s">
        <v>5417</v>
      </c>
      <c r="D606" t="s">
        <v>1007</v>
      </c>
      <c r="E606" t="s">
        <v>5482</v>
      </c>
      <c r="F606" t="s">
        <v>6086</v>
      </c>
      <c r="G606">
        <v>35</v>
      </c>
      <c r="H606">
        <v>0</v>
      </c>
      <c r="I606">
        <v>0</v>
      </c>
      <c r="J606">
        <v>-0.5</v>
      </c>
      <c r="K606">
        <v>-17.5</v>
      </c>
      <c r="L606">
        <v>0</v>
      </c>
      <c r="M606">
        <v>0</v>
      </c>
      <c r="N606">
        <v>0</v>
      </c>
      <c r="O606">
        <v>0</v>
      </c>
      <c r="P606" s="2">
        <f>(H606 + J606) - (L606 + N606)</f>
        <v>0</v>
      </c>
      <c r="Q606" s="2">
        <f>P606 * G606</f>
        <v>0</v>
      </c>
      <c r="R606">
        <v>0</v>
      </c>
      <c r="S606" s="2">
        <f>R606 * G606</f>
        <v>0</v>
      </c>
      <c r="T606" s="2">
        <f>(H606 + J606) - (L606 + N606) - R606</f>
        <v>0</v>
      </c>
      <c r="U606" s="2">
        <f>T606 * G606</f>
        <v>0</v>
      </c>
      <c r="V606" s="2">
        <f>I606 + K606 - S606</f>
        <v>0</v>
      </c>
      <c r="W606" s="2">
        <f>M606 - V606</f>
        <v>0</v>
      </c>
      <c r="X606" s="2">
        <f>IFERROR(W606 / M606 * 100, 0)</f>
        <v>0</v>
      </c>
    </row>
    <row r="607" spans="1:24">
      <c r="A607" t="s">
        <v>4751</v>
      </c>
      <c r="B607" t="s">
        <v>512</v>
      </c>
      <c r="C607" t="s">
        <v>5418</v>
      </c>
      <c r="D607" t="s">
        <v>1008</v>
      </c>
      <c r="E607" t="s">
        <v>5482</v>
      </c>
      <c r="F607" t="s">
        <v>6087</v>
      </c>
      <c r="G607">
        <v>65</v>
      </c>
      <c r="H607">
        <v>0</v>
      </c>
      <c r="I607">
        <v>0</v>
      </c>
      <c r="J607">
        <v>2</v>
      </c>
      <c r="K607">
        <v>130</v>
      </c>
      <c r="L607">
        <v>0</v>
      </c>
      <c r="M607">
        <v>0</v>
      </c>
      <c r="N607">
        <v>0</v>
      </c>
      <c r="O607">
        <v>0</v>
      </c>
      <c r="P607" s="2">
        <f>(H607 + J607) - (L607 + N607)</f>
        <v>0</v>
      </c>
      <c r="Q607" s="2">
        <f>P607 * G607</f>
        <v>0</v>
      </c>
      <c r="R607">
        <v>0</v>
      </c>
      <c r="S607" s="2">
        <f>R607 * G607</f>
        <v>0</v>
      </c>
      <c r="T607" s="2">
        <f>(H607 + J607) - (L607 + N607) - R607</f>
        <v>0</v>
      </c>
      <c r="U607" s="2">
        <f>T607 * G607</f>
        <v>0</v>
      </c>
      <c r="V607" s="2">
        <f>I607 + K607 - S607</f>
        <v>0</v>
      </c>
      <c r="W607" s="2">
        <f>M607 - V607</f>
        <v>0</v>
      </c>
      <c r="X607" s="2">
        <f>IFERROR(W607 / M607 * 100, 0)</f>
        <v>0</v>
      </c>
    </row>
    <row r="608" spans="1:24">
      <c r="A608" t="s">
        <v>4752</v>
      </c>
      <c r="B608" t="s">
        <v>512</v>
      </c>
      <c r="C608" t="s">
        <v>5419</v>
      </c>
      <c r="D608" t="s">
        <v>1007</v>
      </c>
      <c r="E608" t="s">
        <v>5482</v>
      </c>
      <c r="F608" t="s">
        <v>6088</v>
      </c>
      <c r="G608">
        <v>15.71</v>
      </c>
      <c r="H608">
        <v>0</v>
      </c>
      <c r="I608">
        <v>0</v>
      </c>
      <c r="J608">
        <v>14</v>
      </c>
      <c r="K608">
        <v>220</v>
      </c>
      <c r="L608">
        <v>0</v>
      </c>
      <c r="M608">
        <v>0</v>
      </c>
      <c r="N608">
        <v>0</v>
      </c>
      <c r="O608">
        <v>0</v>
      </c>
      <c r="P608" s="2">
        <f>(H608 + J608) - (L608 + N608)</f>
        <v>0</v>
      </c>
      <c r="Q608" s="2">
        <f>P608 * G608</f>
        <v>0</v>
      </c>
      <c r="R608">
        <v>14</v>
      </c>
      <c r="S608" s="2">
        <f>R608 * G608</f>
        <v>0</v>
      </c>
      <c r="T608" s="2">
        <f>(H608 + J608) - (L608 + N608) - R608</f>
        <v>0</v>
      </c>
      <c r="U608" s="2">
        <f>T608 * G608</f>
        <v>0</v>
      </c>
      <c r="V608" s="2">
        <f>I608 + K608 - S608</f>
        <v>0</v>
      </c>
      <c r="W608" s="2">
        <f>M608 - V608</f>
        <v>0</v>
      </c>
      <c r="X608" s="2">
        <f>IFERROR(W608 / M608 * 100, 0)</f>
        <v>0</v>
      </c>
    </row>
    <row r="609" spans="1:24">
      <c r="A609" t="s">
        <v>4753</v>
      </c>
      <c r="B609" t="s">
        <v>512</v>
      </c>
      <c r="C609" t="s">
        <v>5420</v>
      </c>
      <c r="D609" t="s">
        <v>1007</v>
      </c>
      <c r="E609" t="s">
        <v>5482</v>
      </c>
      <c r="F609" t="s">
        <v>6089</v>
      </c>
      <c r="G609">
        <v>19.7</v>
      </c>
      <c r="H609">
        <v>5</v>
      </c>
      <c r="I609">
        <v>98.5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 s="2">
        <f>(H609 + J609) - (L609 + N609)</f>
        <v>0</v>
      </c>
      <c r="Q609" s="2">
        <f>P609 * G609</f>
        <v>0</v>
      </c>
      <c r="R609">
        <v>8</v>
      </c>
      <c r="S609" s="2">
        <f>R609 * G609</f>
        <v>0</v>
      </c>
      <c r="T609" s="2">
        <f>(H609 + J609) - (L609 + N609) - R609</f>
        <v>0</v>
      </c>
      <c r="U609" s="2">
        <f>T609 * G609</f>
        <v>0</v>
      </c>
      <c r="V609" s="2">
        <f>I609 + K609 - S609</f>
        <v>0</v>
      </c>
      <c r="W609" s="2">
        <f>M609 - V609</f>
        <v>0</v>
      </c>
      <c r="X609" s="2">
        <f>IFERROR(W609 / M609 * 100, 0)</f>
        <v>0</v>
      </c>
    </row>
    <row r="610" spans="1:24">
      <c r="A610" t="s">
        <v>4754</v>
      </c>
      <c r="B610" t="s">
        <v>512</v>
      </c>
      <c r="C610" t="s">
        <v>5421</v>
      </c>
      <c r="D610" t="s">
        <v>1007</v>
      </c>
      <c r="E610" t="s">
        <v>5482</v>
      </c>
      <c r="F610" t="s">
        <v>6090</v>
      </c>
      <c r="G610">
        <v>34.75</v>
      </c>
      <c r="H610">
        <v>5</v>
      </c>
      <c r="I610">
        <v>161.28</v>
      </c>
      <c r="J610">
        <v>10</v>
      </c>
      <c r="K610">
        <v>360</v>
      </c>
      <c r="L610">
        <v>0</v>
      </c>
      <c r="M610">
        <v>0</v>
      </c>
      <c r="N610">
        <v>0</v>
      </c>
      <c r="O610">
        <v>0</v>
      </c>
      <c r="P610" s="2">
        <f>(H610 + J610) - (L610 + N610)</f>
        <v>0</v>
      </c>
      <c r="Q610" s="2">
        <f>P610 * G610</f>
        <v>0</v>
      </c>
      <c r="R610">
        <v>15</v>
      </c>
      <c r="S610" s="2">
        <f>R610 * G610</f>
        <v>0</v>
      </c>
      <c r="T610" s="2">
        <f>(H610 + J610) - (L610 + N610) - R610</f>
        <v>0</v>
      </c>
      <c r="U610" s="2">
        <f>T610 * G610</f>
        <v>0</v>
      </c>
      <c r="V610" s="2">
        <f>I610 + K610 - S610</f>
        <v>0</v>
      </c>
      <c r="W610" s="2">
        <f>M610 - V610</f>
        <v>0</v>
      </c>
      <c r="X610" s="2">
        <f>IFERROR(W610 / M610 * 100, 0)</f>
        <v>0</v>
      </c>
    </row>
    <row r="611" spans="1:24">
      <c r="A611" t="s">
        <v>4755</v>
      </c>
      <c r="B611" t="s">
        <v>512</v>
      </c>
      <c r="C611" t="s">
        <v>5422</v>
      </c>
      <c r="D611" t="s">
        <v>1007</v>
      </c>
      <c r="E611" t="s">
        <v>5482</v>
      </c>
      <c r="F611" t="s">
        <v>6091</v>
      </c>
      <c r="G611">
        <v>152.36</v>
      </c>
      <c r="H611">
        <v>0</v>
      </c>
      <c r="I611">
        <v>0</v>
      </c>
      <c r="J611">
        <v>0.1</v>
      </c>
      <c r="K611">
        <v>15.24</v>
      </c>
      <c r="L611">
        <v>0</v>
      </c>
      <c r="M611">
        <v>0</v>
      </c>
      <c r="N611">
        <v>0</v>
      </c>
      <c r="O611">
        <v>0</v>
      </c>
      <c r="P611" s="2">
        <f>(H611 + J611) - (L611 + N611)</f>
        <v>0</v>
      </c>
      <c r="Q611" s="2">
        <f>P611 * G611</f>
        <v>0</v>
      </c>
      <c r="R611">
        <v>0</v>
      </c>
      <c r="S611" s="2">
        <f>R611 * G611</f>
        <v>0</v>
      </c>
      <c r="T611" s="2">
        <f>(H611 + J611) - (L611 + N611) - R611</f>
        <v>0</v>
      </c>
      <c r="U611" s="2">
        <f>T611 * G611</f>
        <v>0</v>
      </c>
      <c r="V611" s="2">
        <f>I611 + K611 - S611</f>
        <v>0</v>
      </c>
      <c r="W611" s="2">
        <f>M611 - V611</f>
        <v>0</v>
      </c>
      <c r="X611" s="2">
        <f>IFERROR(W611 / M611 * 100, 0)</f>
        <v>0</v>
      </c>
    </row>
    <row r="612" spans="1:24">
      <c r="A612" t="s">
        <v>4756</v>
      </c>
      <c r="B612" t="s">
        <v>512</v>
      </c>
      <c r="C612" t="s">
        <v>5423</v>
      </c>
      <c r="D612" t="s">
        <v>1008</v>
      </c>
      <c r="E612" t="s">
        <v>5482</v>
      </c>
      <c r="F612" t="s">
        <v>6092</v>
      </c>
      <c r="G612">
        <v>71.17</v>
      </c>
      <c r="H612">
        <v>3</v>
      </c>
      <c r="I612">
        <v>213.52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 s="2">
        <f>(H612 + J612) - (L612 + N612)</f>
        <v>0</v>
      </c>
      <c r="Q612" s="2">
        <f>P612 * G612</f>
        <v>0</v>
      </c>
      <c r="R612">
        <v>3</v>
      </c>
      <c r="S612" s="2">
        <f>R612 * G612</f>
        <v>0</v>
      </c>
      <c r="T612" s="2">
        <f>(H612 + J612) - (L612 + N612) - R612</f>
        <v>0</v>
      </c>
      <c r="U612" s="2">
        <f>T612 * G612</f>
        <v>0</v>
      </c>
      <c r="V612" s="2">
        <f>I612 + K612 - S612</f>
        <v>0</v>
      </c>
      <c r="W612" s="2">
        <f>M612 - V612</f>
        <v>0</v>
      </c>
      <c r="X612" s="2">
        <f>IFERROR(W612 / M612 * 100, 0)</f>
        <v>0</v>
      </c>
    </row>
    <row r="613" spans="1:24">
      <c r="A613" t="s">
        <v>4757</v>
      </c>
      <c r="B613" t="s">
        <v>512</v>
      </c>
      <c r="C613" t="s">
        <v>5424</v>
      </c>
      <c r="D613" t="s">
        <v>1008</v>
      </c>
      <c r="E613" t="s">
        <v>5482</v>
      </c>
      <c r="F613" t="s">
        <v>6093</v>
      </c>
      <c r="G613">
        <v>30</v>
      </c>
      <c r="H613">
        <v>1</v>
      </c>
      <c r="I613">
        <v>30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 s="2">
        <f>(H613 + J613) - (L613 + N613)</f>
        <v>0</v>
      </c>
      <c r="Q613" s="2">
        <f>P613 * G613</f>
        <v>0</v>
      </c>
      <c r="R613">
        <v>1</v>
      </c>
      <c r="S613" s="2">
        <f>R613 * G613</f>
        <v>0</v>
      </c>
      <c r="T613" s="2">
        <f>(H613 + J613) - (L613 + N613) - R613</f>
        <v>0</v>
      </c>
      <c r="U613" s="2">
        <f>T613 * G613</f>
        <v>0</v>
      </c>
      <c r="V613" s="2">
        <f>I613 + K613 - S613</f>
        <v>0</v>
      </c>
      <c r="W613" s="2">
        <f>M613 - V613</f>
        <v>0</v>
      </c>
      <c r="X613" s="2">
        <f>IFERROR(W613 / M613 * 100, 0)</f>
        <v>0</v>
      </c>
    </row>
    <row r="614" spans="1:24">
      <c r="A614" t="s">
        <v>4758</v>
      </c>
      <c r="B614" t="s">
        <v>512</v>
      </c>
      <c r="C614" t="s">
        <v>5425</v>
      </c>
      <c r="D614" t="s">
        <v>1008</v>
      </c>
      <c r="E614" t="s">
        <v>5482</v>
      </c>
      <c r="F614" t="s">
        <v>6094</v>
      </c>
      <c r="G614">
        <v>180</v>
      </c>
      <c r="H614">
        <v>1</v>
      </c>
      <c r="I614">
        <v>180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 s="2">
        <f>(H614 + J614) - (L614 + N614)</f>
        <v>0</v>
      </c>
      <c r="Q614" s="2">
        <f>P614 * G614</f>
        <v>0</v>
      </c>
      <c r="R614">
        <v>1</v>
      </c>
      <c r="S614" s="2">
        <f>R614 * G614</f>
        <v>0</v>
      </c>
      <c r="T614" s="2">
        <f>(H614 + J614) - (L614 + N614) - R614</f>
        <v>0</v>
      </c>
      <c r="U614" s="2">
        <f>T614 * G614</f>
        <v>0</v>
      </c>
      <c r="V614" s="2">
        <f>I614 + K614 - S614</f>
        <v>0</v>
      </c>
      <c r="W614" s="2">
        <f>M614 - V614</f>
        <v>0</v>
      </c>
      <c r="X614" s="2">
        <f>IFERROR(W614 / M614 * 100, 0)</f>
        <v>0</v>
      </c>
    </row>
    <row r="615" spans="1:24">
      <c r="A615" t="s">
        <v>4759</v>
      </c>
      <c r="B615" t="s">
        <v>512</v>
      </c>
      <c r="C615" t="s">
        <v>5426</v>
      </c>
      <c r="D615" t="s">
        <v>1008</v>
      </c>
      <c r="E615" t="s">
        <v>5482</v>
      </c>
      <c r="F615" t="s">
        <v>6095</v>
      </c>
      <c r="G615">
        <v>49.67</v>
      </c>
      <c r="H615">
        <v>3</v>
      </c>
      <c r="I615">
        <v>149.01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 s="2">
        <f>(H615 + J615) - (L615 + N615)</f>
        <v>0</v>
      </c>
      <c r="Q615" s="2">
        <f>P615 * G615</f>
        <v>0</v>
      </c>
      <c r="R615">
        <v>3</v>
      </c>
      <c r="S615" s="2">
        <f>R615 * G615</f>
        <v>0</v>
      </c>
      <c r="T615" s="2">
        <f>(H615 + J615) - (L615 + N615) - R615</f>
        <v>0</v>
      </c>
      <c r="U615" s="2">
        <f>T615 * G615</f>
        <v>0</v>
      </c>
      <c r="V615" s="2">
        <f>I615 + K615 - S615</f>
        <v>0</v>
      </c>
      <c r="W615" s="2">
        <f>M615 - V615</f>
        <v>0</v>
      </c>
      <c r="X615" s="2">
        <f>IFERROR(W615 / M615 * 100, 0)</f>
        <v>0</v>
      </c>
    </row>
    <row r="616" spans="1:24">
      <c r="A616" t="s">
        <v>4760</v>
      </c>
      <c r="B616" t="s">
        <v>512</v>
      </c>
      <c r="C616" t="s">
        <v>5427</v>
      </c>
      <c r="D616" t="s">
        <v>1007</v>
      </c>
      <c r="E616" t="s">
        <v>5482</v>
      </c>
      <c r="F616" t="s">
        <v>6096</v>
      </c>
      <c r="G616">
        <v>19.75</v>
      </c>
      <c r="H616">
        <v>0</v>
      </c>
      <c r="I616">
        <v>0</v>
      </c>
      <c r="J616">
        <v>13.58</v>
      </c>
      <c r="K616">
        <v>268.25</v>
      </c>
      <c r="L616">
        <v>0</v>
      </c>
      <c r="M616">
        <v>0</v>
      </c>
      <c r="N616">
        <v>0</v>
      </c>
      <c r="O616">
        <v>0</v>
      </c>
      <c r="P616" s="2">
        <f>(H616 + J616) - (L616 + N616)</f>
        <v>0</v>
      </c>
      <c r="Q616" s="2">
        <f>P616 * G616</f>
        <v>0</v>
      </c>
      <c r="R616">
        <v>0</v>
      </c>
      <c r="S616" s="2">
        <f>R616 * G616</f>
        <v>0</v>
      </c>
      <c r="T616" s="2">
        <f>(H616 + J616) - (L616 + N616) - R616</f>
        <v>0</v>
      </c>
      <c r="U616" s="2">
        <f>T616 * G616</f>
        <v>0</v>
      </c>
      <c r="V616" s="2">
        <f>I616 + K616 - S616</f>
        <v>0</v>
      </c>
      <c r="W616" s="2">
        <f>M616 - V616</f>
        <v>0</v>
      </c>
      <c r="X616" s="2">
        <f>IFERROR(W616 / M616 * 100, 0)</f>
        <v>0</v>
      </c>
    </row>
    <row r="617" spans="1:24">
      <c r="A617" t="s">
        <v>4761</v>
      </c>
      <c r="B617" t="s">
        <v>512</v>
      </c>
      <c r="C617" t="s">
        <v>5428</v>
      </c>
      <c r="D617" t="s">
        <v>1008</v>
      </c>
      <c r="E617" t="s">
        <v>5482</v>
      </c>
      <c r="F617" t="s">
        <v>6097</v>
      </c>
      <c r="G617">
        <v>165</v>
      </c>
      <c r="H617">
        <v>0</v>
      </c>
      <c r="I617">
        <v>0</v>
      </c>
      <c r="J617">
        <v>1</v>
      </c>
      <c r="K617">
        <v>165</v>
      </c>
      <c r="L617">
        <v>0</v>
      </c>
      <c r="M617">
        <v>0</v>
      </c>
      <c r="N617">
        <v>0</v>
      </c>
      <c r="O617">
        <v>0</v>
      </c>
      <c r="P617" s="2">
        <f>(H617 + J617) - (L617 + N617)</f>
        <v>0</v>
      </c>
      <c r="Q617" s="2">
        <f>P617 * G617</f>
        <v>0</v>
      </c>
      <c r="R617">
        <v>1</v>
      </c>
      <c r="S617" s="2">
        <f>R617 * G617</f>
        <v>0</v>
      </c>
      <c r="T617" s="2">
        <f>(H617 + J617) - (L617 + N617) - R617</f>
        <v>0</v>
      </c>
      <c r="U617" s="2">
        <f>T617 * G617</f>
        <v>0</v>
      </c>
      <c r="V617" s="2">
        <f>I617 + K617 - S617</f>
        <v>0</v>
      </c>
      <c r="W617" s="2">
        <f>M617 - V617</f>
        <v>0</v>
      </c>
      <c r="X617" s="2">
        <f>IFERROR(W617 / M617 * 100, 0)</f>
        <v>0</v>
      </c>
    </row>
    <row r="618" spans="1:24">
      <c r="A618" t="s">
        <v>4762</v>
      </c>
      <c r="B618" t="s">
        <v>513</v>
      </c>
      <c r="C618" t="s">
        <v>5429</v>
      </c>
      <c r="D618" t="s">
        <v>1008</v>
      </c>
      <c r="E618" t="s">
        <v>5482</v>
      </c>
      <c r="F618" t="s">
        <v>6098</v>
      </c>
      <c r="G618">
        <v>1.59</v>
      </c>
      <c r="H618">
        <v>11</v>
      </c>
      <c r="I618">
        <v>15.94</v>
      </c>
      <c r="J618">
        <v>243</v>
      </c>
      <c r="K618">
        <v>378.57</v>
      </c>
      <c r="L618">
        <v>235</v>
      </c>
      <c r="M618">
        <v>646.25</v>
      </c>
      <c r="N618">
        <v>18</v>
      </c>
      <c r="O618">
        <v>28.11</v>
      </c>
      <c r="P618" s="2">
        <f>(H618 + J618) - (L618 + N618)</f>
        <v>0</v>
      </c>
      <c r="Q618" s="2">
        <f>P618 * G618</f>
        <v>0</v>
      </c>
      <c r="R618">
        <v>5</v>
      </c>
      <c r="S618" s="2">
        <f>R618 * G618</f>
        <v>0</v>
      </c>
      <c r="T618" s="2">
        <f>(H618 + J618) - (L618 + N618) - R618</f>
        <v>0</v>
      </c>
      <c r="U618" s="2">
        <f>T618 * G618</f>
        <v>0</v>
      </c>
      <c r="V618" s="2">
        <f>I618 + K618 - S618</f>
        <v>0</v>
      </c>
      <c r="W618" s="2">
        <f>M618 - V618</f>
        <v>0</v>
      </c>
      <c r="X618" s="2">
        <f>IFERROR(W618 / M618 * 100, 0)</f>
        <v>0</v>
      </c>
    </row>
    <row r="619" spans="1:24">
      <c r="A619" t="s">
        <v>4763</v>
      </c>
      <c r="B619" t="s">
        <v>512</v>
      </c>
      <c r="C619" t="s">
        <v>5430</v>
      </c>
      <c r="D619" t="s">
        <v>1007</v>
      </c>
      <c r="E619" t="s">
        <v>5482</v>
      </c>
      <c r="F619" t="s">
        <v>6099</v>
      </c>
      <c r="G619">
        <v>23.92</v>
      </c>
      <c r="H619">
        <v>0</v>
      </c>
      <c r="I619">
        <v>0</v>
      </c>
      <c r="J619">
        <v>1</v>
      </c>
      <c r="K619">
        <v>23.92</v>
      </c>
      <c r="L619">
        <v>0</v>
      </c>
      <c r="M619">
        <v>0</v>
      </c>
      <c r="N619">
        <v>0</v>
      </c>
      <c r="O619">
        <v>0</v>
      </c>
      <c r="P619" s="2">
        <f>(H619 + J619) - (L619 + N619)</f>
        <v>0</v>
      </c>
      <c r="Q619" s="2">
        <f>P619 * G619</f>
        <v>0</v>
      </c>
      <c r="R619">
        <v>0</v>
      </c>
      <c r="S619" s="2">
        <f>R619 * G619</f>
        <v>0</v>
      </c>
      <c r="T619" s="2">
        <f>(H619 + J619) - (L619 + N619) - R619</f>
        <v>0</v>
      </c>
      <c r="U619" s="2">
        <f>T619 * G619</f>
        <v>0</v>
      </c>
      <c r="V619" s="2">
        <f>I619 + K619 - S619</f>
        <v>0</v>
      </c>
      <c r="W619" s="2">
        <f>M619 - V619</f>
        <v>0</v>
      </c>
      <c r="X619" s="2">
        <f>IFERROR(W619 / M619 * 100, 0)</f>
        <v>0</v>
      </c>
    </row>
    <row r="620" spans="1:24">
      <c r="A620" t="s">
        <v>4764</v>
      </c>
      <c r="B620" t="s">
        <v>513</v>
      </c>
      <c r="C620" t="s">
        <v>5431</v>
      </c>
      <c r="D620" t="s">
        <v>1008</v>
      </c>
      <c r="E620" t="s">
        <v>5482</v>
      </c>
      <c r="F620" t="s">
        <v>6100</v>
      </c>
      <c r="G620">
        <v>1.15</v>
      </c>
      <c r="H620">
        <v>0</v>
      </c>
      <c r="I620">
        <v>0</v>
      </c>
      <c r="J620">
        <v>78</v>
      </c>
      <c r="K620">
        <v>87.42</v>
      </c>
      <c r="L620">
        <v>50</v>
      </c>
      <c r="M620">
        <v>200</v>
      </c>
      <c r="N620">
        <v>0</v>
      </c>
      <c r="O620">
        <v>0</v>
      </c>
      <c r="P620" s="2">
        <f>(H620 + J620) - (L620 + N620)</f>
        <v>0</v>
      </c>
      <c r="Q620" s="2">
        <f>P620 * G620</f>
        <v>0</v>
      </c>
      <c r="R620">
        <v>0</v>
      </c>
      <c r="S620" s="2">
        <f>R620 * G620</f>
        <v>0</v>
      </c>
      <c r="T620" s="2">
        <f>(H620 + J620) - (L620 + N620) - R620</f>
        <v>0</v>
      </c>
      <c r="U620" s="2">
        <f>T620 * G620</f>
        <v>0</v>
      </c>
      <c r="V620" s="2">
        <f>I620 + K620 - S620</f>
        <v>0</v>
      </c>
      <c r="W620" s="2">
        <f>M620 - V620</f>
        <v>0</v>
      </c>
      <c r="X620" s="2">
        <f>IFERROR(W620 / M620 * 100, 0)</f>
        <v>0</v>
      </c>
    </row>
    <row r="621" spans="1:24">
      <c r="A621" t="s">
        <v>4765</v>
      </c>
      <c r="B621" t="s">
        <v>513</v>
      </c>
      <c r="C621" t="s">
        <v>5432</v>
      </c>
      <c r="D621" t="s">
        <v>1008</v>
      </c>
      <c r="E621" t="s">
        <v>5482</v>
      </c>
      <c r="F621" t="s">
        <v>6101</v>
      </c>
      <c r="G621">
        <v>1.14</v>
      </c>
      <c r="H621">
        <v>0</v>
      </c>
      <c r="I621">
        <v>0</v>
      </c>
      <c r="J621">
        <v>6</v>
      </c>
      <c r="K621">
        <v>6.87</v>
      </c>
      <c r="L621">
        <v>7</v>
      </c>
      <c r="M621">
        <v>21</v>
      </c>
      <c r="N621">
        <v>0</v>
      </c>
      <c r="O621">
        <v>0</v>
      </c>
      <c r="P621" s="2">
        <f>(H621 + J621) - (L621 + N621)</f>
        <v>0</v>
      </c>
      <c r="Q621" s="2">
        <f>P621 * G621</f>
        <v>0</v>
      </c>
      <c r="R621">
        <v>0</v>
      </c>
      <c r="S621" s="2">
        <f>R621 * G621</f>
        <v>0</v>
      </c>
      <c r="T621" s="2">
        <f>(H621 + J621) - (L621 + N621) - R621</f>
        <v>0</v>
      </c>
      <c r="U621" s="2">
        <f>T621 * G621</f>
        <v>0</v>
      </c>
      <c r="V621" s="2">
        <f>I621 + K621 - S621</f>
        <v>0</v>
      </c>
      <c r="W621" s="2">
        <f>M621 - V621</f>
        <v>0</v>
      </c>
      <c r="X621" s="2">
        <f>IFERROR(W621 / M621 * 100, 0)</f>
        <v>0</v>
      </c>
    </row>
    <row r="622" spans="1:24">
      <c r="A622" t="s">
        <v>4766</v>
      </c>
      <c r="B622" t="s">
        <v>513</v>
      </c>
      <c r="C622" t="s">
        <v>5433</v>
      </c>
      <c r="D622" t="s">
        <v>1008</v>
      </c>
      <c r="E622" t="s">
        <v>5482</v>
      </c>
      <c r="F622" t="s">
        <v>6102</v>
      </c>
      <c r="G622">
        <v>3.99</v>
      </c>
      <c r="H622">
        <v>10</v>
      </c>
      <c r="I622">
        <v>36.96</v>
      </c>
      <c r="J622">
        <v>45</v>
      </c>
      <c r="K622">
        <v>178.41</v>
      </c>
      <c r="L622">
        <v>37</v>
      </c>
      <c r="M622">
        <v>203.5</v>
      </c>
      <c r="N622">
        <v>0</v>
      </c>
      <c r="O622">
        <v>0</v>
      </c>
      <c r="P622" s="2">
        <f>(H622 + J622) - (L622 + N622)</f>
        <v>0</v>
      </c>
      <c r="Q622" s="2">
        <f>P622 * G622</f>
        <v>0</v>
      </c>
      <c r="R622">
        <v>15</v>
      </c>
      <c r="S622" s="2">
        <f>R622 * G622</f>
        <v>0</v>
      </c>
      <c r="T622" s="2">
        <f>(H622 + J622) - (L622 + N622) - R622</f>
        <v>0</v>
      </c>
      <c r="U622" s="2">
        <f>T622 * G622</f>
        <v>0</v>
      </c>
      <c r="V622" s="2">
        <f>I622 + K622 - S622</f>
        <v>0</v>
      </c>
      <c r="W622" s="2">
        <f>M622 - V622</f>
        <v>0</v>
      </c>
      <c r="X622" s="2">
        <f>IFERROR(W622 / M622 * 100, 0)</f>
        <v>0</v>
      </c>
    </row>
    <row r="623" spans="1:24">
      <c r="A623" t="s">
        <v>4767</v>
      </c>
      <c r="B623" t="s">
        <v>513</v>
      </c>
      <c r="C623" t="s">
        <v>5434</v>
      </c>
      <c r="D623" t="s">
        <v>1008</v>
      </c>
      <c r="E623" t="s">
        <v>5482</v>
      </c>
      <c r="F623" t="s">
        <v>6103</v>
      </c>
      <c r="G623">
        <v>1.51</v>
      </c>
      <c r="H623">
        <v>0</v>
      </c>
      <c r="I623">
        <v>0</v>
      </c>
      <c r="J623">
        <v>218</v>
      </c>
      <c r="K623">
        <v>315.8</v>
      </c>
      <c r="L623">
        <v>199</v>
      </c>
      <c r="M623">
        <v>796</v>
      </c>
      <c r="N623">
        <v>13</v>
      </c>
      <c r="O623">
        <v>18.73</v>
      </c>
      <c r="P623" s="2">
        <f>(H623 + J623) - (L623 + N623)</f>
        <v>0</v>
      </c>
      <c r="Q623" s="2">
        <f>P623 * G623</f>
        <v>0</v>
      </c>
      <c r="R623">
        <v>0</v>
      </c>
      <c r="S623" s="2">
        <f>R623 * G623</f>
        <v>0</v>
      </c>
      <c r="T623" s="2">
        <f>(H623 + J623) - (L623 + N623) - R623</f>
        <v>0</v>
      </c>
      <c r="U623" s="2">
        <f>T623 * G623</f>
        <v>0</v>
      </c>
      <c r="V623" s="2">
        <f>I623 + K623 - S623</f>
        <v>0</v>
      </c>
      <c r="W623" s="2">
        <f>M623 - V623</f>
        <v>0</v>
      </c>
      <c r="X623" s="2">
        <f>IFERROR(W623 / M623 * 100, 0)</f>
        <v>0</v>
      </c>
    </row>
    <row r="624" spans="1:24">
      <c r="A624" t="s">
        <v>4768</v>
      </c>
      <c r="B624" t="s">
        <v>513</v>
      </c>
      <c r="C624" t="s">
        <v>5435</v>
      </c>
      <c r="D624" t="s">
        <v>1008</v>
      </c>
      <c r="E624" t="s">
        <v>5482</v>
      </c>
      <c r="F624" t="s">
        <v>6104</v>
      </c>
      <c r="G624">
        <v>0.85</v>
      </c>
      <c r="H624">
        <v>31</v>
      </c>
      <c r="I624">
        <v>27.56</v>
      </c>
      <c r="J624">
        <v>20</v>
      </c>
      <c r="K624">
        <v>16.9</v>
      </c>
      <c r="L624">
        <v>29</v>
      </c>
      <c r="M624">
        <v>145</v>
      </c>
      <c r="N624">
        <v>0</v>
      </c>
      <c r="O624">
        <v>0</v>
      </c>
      <c r="P624" s="2">
        <f>(H624 + J624) - (L624 + N624)</f>
        <v>0</v>
      </c>
      <c r="Q624" s="2">
        <f>P624 * G624</f>
        <v>0</v>
      </c>
      <c r="R624">
        <v>38</v>
      </c>
      <c r="S624" s="2">
        <f>R624 * G624</f>
        <v>0</v>
      </c>
      <c r="T624" s="2">
        <f>(H624 + J624) - (L624 + N624) - R624</f>
        <v>0</v>
      </c>
      <c r="U624" s="2">
        <f>T624 * G624</f>
        <v>0</v>
      </c>
      <c r="V624" s="2">
        <f>I624 + K624 - S624</f>
        <v>0</v>
      </c>
      <c r="W624" s="2">
        <f>M624 - V624</f>
        <v>0</v>
      </c>
      <c r="X624" s="2">
        <f>IFERROR(W624 / M624 * 100, 0)</f>
        <v>0</v>
      </c>
    </row>
    <row r="625" spans="1:24">
      <c r="A625" t="s">
        <v>4769</v>
      </c>
      <c r="B625" t="s">
        <v>513</v>
      </c>
      <c r="C625" t="s">
        <v>5436</v>
      </c>
      <c r="D625" t="s">
        <v>1008</v>
      </c>
      <c r="E625" t="s">
        <v>5482</v>
      </c>
      <c r="F625" t="s">
        <v>6105</v>
      </c>
      <c r="G625">
        <v>1.81</v>
      </c>
      <c r="H625">
        <v>23</v>
      </c>
      <c r="I625">
        <v>39.69</v>
      </c>
      <c r="J625">
        <v>56</v>
      </c>
      <c r="K625">
        <v>96.56</v>
      </c>
      <c r="L625">
        <v>30</v>
      </c>
      <c r="M625">
        <v>135</v>
      </c>
      <c r="N625">
        <v>0</v>
      </c>
      <c r="O625">
        <v>0</v>
      </c>
      <c r="P625" s="2">
        <f>(H625 + J625) - (L625 + N625)</f>
        <v>0</v>
      </c>
      <c r="Q625" s="2">
        <f>P625 * G625</f>
        <v>0</v>
      </c>
      <c r="R625">
        <v>6</v>
      </c>
      <c r="S625" s="2">
        <f>R625 * G625</f>
        <v>0</v>
      </c>
      <c r="T625" s="2">
        <f>(H625 + J625) - (L625 + N625) - R625</f>
        <v>0</v>
      </c>
      <c r="U625" s="2">
        <f>T625 * G625</f>
        <v>0</v>
      </c>
      <c r="V625" s="2">
        <f>I625 + K625 - S625</f>
        <v>0</v>
      </c>
      <c r="W625" s="2">
        <f>M625 - V625</f>
        <v>0</v>
      </c>
      <c r="X625" s="2">
        <f>IFERROR(W625 / M625 * 100, 0)</f>
        <v>0</v>
      </c>
    </row>
    <row r="626" spans="1:24">
      <c r="A626" t="s">
        <v>4770</v>
      </c>
      <c r="B626" t="s">
        <v>512</v>
      </c>
      <c r="C626" t="s">
        <v>5437</v>
      </c>
      <c r="D626" t="s">
        <v>1007</v>
      </c>
      <c r="E626" t="s">
        <v>5482</v>
      </c>
      <c r="F626" t="s">
        <v>6106</v>
      </c>
      <c r="G626">
        <v>4.36</v>
      </c>
      <c r="H626">
        <v>18</v>
      </c>
      <c r="I626">
        <v>79.38</v>
      </c>
      <c r="J626">
        <v>343.54</v>
      </c>
      <c r="K626">
        <v>1495.27</v>
      </c>
      <c r="L626">
        <v>0</v>
      </c>
      <c r="M626">
        <v>0</v>
      </c>
      <c r="N626">
        <v>0</v>
      </c>
      <c r="O626">
        <v>0</v>
      </c>
      <c r="P626" s="2">
        <f>(H626 + J626) - (L626 + N626)</f>
        <v>0</v>
      </c>
      <c r="Q626" s="2">
        <f>P626 * G626</f>
        <v>0</v>
      </c>
      <c r="R626">
        <v>36</v>
      </c>
      <c r="S626" s="2">
        <f>R626 * G626</f>
        <v>0</v>
      </c>
      <c r="T626" s="2">
        <f>(H626 + J626) - (L626 + N626) - R626</f>
        <v>0</v>
      </c>
      <c r="U626" s="2">
        <f>T626 * G626</f>
        <v>0</v>
      </c>
      <c r="V626" s="2">
        <f>I626 + K626 - S626</f>
        <v>0</v>
      </c>
      <c r="W626" s="2">
        <f>M626 - V626</f>
        <v>0</v>
      </c>
      <c r="X626" s="2">
        <f>IFERROR(W626 / M626 * 100, 0)</f>
        <v>0</v>
      </c>
    </row>
    <row r="627" spans="1:24">
      <c r="A627" t="s">
        <v>4771</v>
      </c>
      <c r="B627" t="s">
        <v>512</v>
      </c>
      <c r="C627" t="s">
        <v>5438</v>
      </c>
      <c r="D627" t="s">
        <v>1007</v>
      </c>
      <c r="E627" t="s">
        <v>5482</v>
      </c>
      <c r="F627" t="s">
        <v>6107</v>
      </c>
      <c r="G627">
        <v>24.08</v>
      </c>
      <c r="H627">
        <v>11</v>
      </c>
      <c r="I627">
        <v>264.83</v>
      </c>
      <c r="J627">
        <v>-1.44</v>
      </c>
      <c r="K627">
        <v>-34.67</v>
      </c>
      <c r="L627">
        <v>0</v>
      </c>
      <c r="M627">
        <v>0</v>
      </c>
      <c r="N627">
        <v>0</v>
      </c>
      <c r="O627">
        <v>0</v>
      </c>
      <c r="P627" s="2">
        <f>(H627 + J627) - (L627 + N627)</f>
        <v>0</v>
      </c>
      <c r="Q627" s="2">
        <f>P627 * G627</f>
        <v>0</v>
      </c>
      <c r="R627">
        <v>3</v>
      </c>
      <c r="S627" s="2">
        <f>R627 * G627</f>
        <v>0</v>
      </c>
      <c r="T627" s="2">
        <f>(H627 + J627) - (L627 + N627) - R627</f>
        <v>0</v>
      </c>
      <c r="U627" s="2">
        <f>T627 * G627</f>
        <v>0</v>
      </c>
      <c r="V627" s="2">
        <f>I627 + K627 - S627</f>
        <v>0</v>
      </c>
      <c r="W627" s="2">
        <f>M627 - V627</f>
        <v>0</v>
      </c>
      <c r="X627" s="2">
        <f>IFERROR(W627 / M627 * 100, 0)</f>
        <v>0</v>
      </c>
    </row>
    <row r="628" spans="1:24">
      <c r="A628" t="s">
        <v>4772</v>
      </c>
      <c r="B628" t="s">
        <v>512</v>
      </c>
      <c r="C628" t="s">
        <v>5439</v>
      </c>
      <c r="D628" t="s">
        <v>1007</v>
      </c>
      <c r="E628" t="s">
        <v>5482</v>
      </c>
      <c r="F628" t="s">
        <v>6108</v>
      </c>
      <c r="G628">
        <v>12.63</v>
      </c>
      <c r="H628">
        <v>1</v>
      </c>
      <c r="I628">
        <v>25.57</v>
      </c>
      <c r="J628">
        <v>7.57</v>
      </c>
      <c r="K628">
        <v>79.84999999999999</v>
      </c>
      <c r="L628">
        <v>0</v>
      </c>
      <c r="M628">
        <v>0</v>
      </c>
      <c r="N628">
        <v>0</v>
      </c>
      <c r="O628">
        <v>0</v>
      </c>
      <c r="P628" s="2">
        <f>(H628 + J628) - (L628 + N628)</f>
        <v>0</v>
      </c>
      <c r="Q628" s="2">
        <f>P628 * G628</f>
        <v>0</v>
      </c>
      <c r="R628">
        <v>1</v>
      </c>
      <c r="S628" s="2">
        <f>R628 * G628</f>
        <v>0</v>
      </c>
      <c r="T628" s="2">
        <f>(H628 + J628) - (L628 + N628) - R628</f>
        <v>0</v>
      </c>
      <c r="U628" s="2">
        <f>T628 * G628</f>
        <v>0</v>
      </c>
      <c r="V628" s="2">
        <f>I628 + K628 - S628</f>
        <v>0</v>
      </c>
      <c r="W628" s="2">
        <f>M628 - V628</f>
        <v>0</v>
      </c>
      <c r="X628" s="2">
        <f>IFERROR(W628 / M628 * 100, 0)</f>
        <v>0</v>
      </c>
    </row>
    <row r="629" spans="1:24">
      <c r="A629" t="s">
        <v>4773</v>
      </c>
      <c r="B629" t="s">
        <v>512</v>
      </c>
      <c r="C629" t="s">
        <v>5440</v>
      </c>
      <c r="D629" t="s">
        <v>1007</v>
      </c>
      <c r="E629" t="s">
        <v>5482</v>
      </c>
      <c r="F629" t="s">
        <v>6109</v>
      </c>
      <c r="G629">
        <v>28</v>
      </c>
      <c r="H629">
        <v>0</v>
      </c>
      <c r="I629">
        <v>0</v>
      </c>
      <c r="J629">
        <v>-0.74</v>
      </c>
      <c r="K629">
        <v>-27.54</v>
      </c>
      <c r="L629">
        <v>0</v>
      </c>
      <c r="M629">
        <v>0</v>
      </c>
      <c r="N629">
        <v>0</v>
      </c>
      <c r="O629">
        <v>0</v>
      </c>
      <c r="P629" s="2">
        <f>(H629 + J629) - (L629 + N629)</f>
        <v>0</v>
      </c>
      <c r="Q629" s="2">
        <f>P629 * G629</f>
        <v>0</v>
      </c>
      <c r="R629">
        <v>0</v>
      </c>
      <c r="S629" s="2">
        <f>R629 * G629</f>
        <v>0</v>
      </c>
      <c r="T629" s="2">
        <f>(H629 + J629) - (L629 + N629) - R629</f>
        <v>0</v>
      </c>
      <c r="U629" s="2">
        <f>T629 * G629</f>
        <v>0</v>
      </c>
      <c r="V629" s="2">
        <f>I629 + K629 - S629</f>
        <v>0</v>
      </c>
      <c r="W629" s="2">
        <f>M629 - V629</f>
        <v>0</v>
      </c>
      <c r="X629" s="2">
        <f>IFERROR(W629 / M629 * 100, 0)</f>
        <v>0</v>
      </c>
    </row>
    <row r="630" spans="1:24">
      <c r="A630" t="s">
        <v>4774</v>
      </c>
      <c r="B630" t="s">
        <v>512</v>
      </c>
      <c r="C630" t="s">
        <v>5441</v>
      </c>
      <c r="D630" t="s">
        <v>1007</v>
      </c>
      <c r="E630" t="s">
        <v>5482</v>
      </c>
      <c r="F630" t="s">
        <v>6110</v>
      </c>
      <c r="G630">
        <v>20.09</v>
      </c>
      <c r="H630">
        <v>8</v>
      </c>
      <c r="I630">
        <v>176.91</v>
      </c>
      <c r="J630">
        <v>1.29</v>
      </c>
      <c r="K630">
        <v>9.75</v>
      </c>
      <c r="L630">
        <v>0</v>
      </c>
      <c r="M630">
        <v>0</v>
      </c>
      <c r="N630">
        <v>0</v>
      </c>
      <c r="O630">
        <v>0</v>
      </c>
      <c r="P630" s="2">
        <f>(H630 + J630) - (L630 + N630)</f>
        <v>0</v>
      </c>
      <c r="Q630" s="2">
        <f>P630 * G630</f>
        <v>0</v>
      </c>
      <c r="R630">
        <v>8</v>
      </c>
      <c r="S630" s="2">
        <f>R630 * G630</f>
        <v>0</v>
      </c>
      <c r="T630" s="2">
        <f>(H630 + J630) - (L630 + N630) - R630</f>
        <v>0</v>
      </c>
      <c r="U630" s="2">
        <f>T630 * G630</f>
        <v>0</v>
      </c>
      <c r="V630" s="2">
        <f>I630 + K630 - S630</f>
        <v>0</v>
      </c>
      <c r="W630" s="2">
        <f>M630 - V630</f>
        <v>0</v>
      </c>
      <c r="X630" s="2">
        <f>IFERROR(W630 / M630 * 100, 0)</f>
        <v>0</v>
      </c>
    </row>
    <row r="631" spans="1:24">
      <c r="A631" t="s">
        <v>4775</v>
      </c>
      <c r="B631" t="s">
        <v>512</v>
      </c>
      <c r="C631" t="s">
        <v>5442</v>
      </c>
      <c r="D631" t="s">
        <v>1007</v>
      </c>
      <c r="E631" t="s">
        <v>5482</v>
      </c>
      <c r="F631" t="s">
        <v>6111</v>
      </c>
      <c r="G631">
        <v>7.22</v>
      </c>
      <c r="H631">
        <v>0</v>
      </c>
      <c r="I631">
        <v>0</v>
      </c>
      <c r="J631">
        <v>3.85</v>
      </c>
      <c r="K631">
        <v>28.87</v>
      </c>
      <c r="L631">
        <v>0</v>
      </c>
      <c r="M631">
        <v>0</v>
      </c>
      <c r="N631">
        <v>0</v>
      </c>
      <c r="O631">
        <v>0</v>
      </c>
      <c r="P631" s="2">
        <f>(H631 + J631) - (L631 + N631)</f>
        <v>0</v>
      </c>
      <c r="Q631" s="2">
        <f>P631 * G631</f>
        <v>0</v>
      </c>
      <c r="R631">
        <v>0</v>
      </c>
      <c r="S631" s="2">
        <f>R631 * G631</f>
        <v>0</v>
      </c>
      <c r="T631" s="2">
        <f>(H631 + J631) - (L631 + N631) - R631</f>
        <v>0</v>
      </c>
      <c r="U631" s="2">
        <f>T631 * G631</f>
        <v>0</v>
      </c>
      <c r="V631" s="2">
        <f>I631 + K631 - S631</f>
        <v>0</v>
      </c>
      <c r="W631" s="2">
        <f>M631 - V631</f>
        <v>0</v>
      </c>
      <c r="X631" s="2">
        <f>IFERROR(W631 / M631 * 100, 0)</f>
        <v>0</v>
      </c>
    </row>
    <row r="632" spans="1:24">
      <c r="A632" t="s">
        <v>4776</v>
      </c>
      <c r="B632" t="s">
        <v>512</v>
      </c>
      <c r="C632" t="s">
        <v>5443</v>
      </c>
      <c r="D632" t="s">
        <v>1007</v>
      </c>
      <c r="E632" t="s">
        <v>5482</v>
      </c>
      <c r="F632" t="s">
        <v>6112</v>
      </c>
      <c r="G632">
        <v>8.4</v>
      </c>
      <c r="H632">
        <v>0</v>
      </c>
      <c r="I632">
        <v>0</v>
      </c>
      <c r="J632">
        <v>-51.26</v>
      </c>
      <c r="K632">
        <v>-430.6</v>
      </c>
      <c r="L632">
        <v>0</v>
      </c>
      <c r="M632">
        <v>0</v>
      </c>
      <c r="N632">
        <v>0</v>
      </c>
      <c r="O632">
        <v>0</v>
      </c>
      <c r="P632" s="2">
        <f>(H632 + J632) - (L632 + N632)</f>
        <v>0</v>
      </c>
      <c r="Q632" s="2">
        <f>P632 * G632</f>
        <v>0</v>
      </c>
      <c r="R632">
        <v>0</v>
      </c>
      <c r="S632" s="2">
        <f>R632 * G632</f>
        <v>0</v>
      </c>
      <c r="T632" s="2">
        <f>(H632 + J632) - (L632 + N632) - R632</f>
        <v>0</v>
      </c>
      <c r="U632" s="2">
        <f>T632 * G632</f>
        <v>0</v>
      </c>
      <c r="V632" s="2">
        <f>I632 + K632 - S632</f>
        <v>0</v>
      </c>
      <c r="W632" s="2">
        <f>M632 - V632</f>
        <v>0</v>
      </c>
      <c r="X632" s="2">
        <f>IFERROR(W632 / M632 * 100, 0)</f>
        <v>0</v>
      </c>
    </row>
    <row r="633" spans="1:24">
      <c r="A633" t="s">
        <v>4777</v>
      </c>
      <c r="B633" t="s">
        <v>512</v>
      </c>
      <c r="C633" t="s">
        <v>5444</v>
      </c>
      <c r="D633" t="s">
        <v>1007</v>
      </c>
      <c r="E633" t="s">
        <v>5482</v>
      </c>
      <c r="F633" t="s">
        <v>6113</v>
      </c>
      <c r="G633">
        <v>3.68</v>
      </c>
      <c r="H633">
        <v>3</v>
      </c>
      <c r="I633">
        <v>8.199999999999999</v>
      </c>
      <c r="J633">
        <v>34.45</v>
      </c>
      <c r="K633">
        <v>128.7</v>
      </c>
      <c r="L633">
        <v>0</v>
      </c>
      <c r="M633">
        <v>0</v>
      </c>
      <c r="N633">
        <v>0</v>
      </c>
      <c r="O633">
        <v>0</v>
      </c>
      <c r="P633" s="2">
        <f>(H633 + J633) - (L633 + N633)</f>
        <v>0</v>
      </c>
      <c r="Q633" s="2">
        <f>P633 * G633</f>
        <v>0</v>
      </c>
      <c r="R633">
        <v>1</v>
      </c>
      <c r="S633" s="2">
        <f>R633 * G633</f>
        <v>0</v>
      </c>
      <c r="T633" s="2">
        <f>(H633 + J633) - (L633 + N633) - R633</f>
        <v>0</v>
      </c>
      <c r="U633" s="2">
        <f>T633 * G633</f>
        <v>0</v>
      </c>
      <c r="V633" s="2">
        <f>I633 + K633 - S633</f>
        <v>0</v>
      </c>
      <c r="W633" s="2">
        <f>M633 - V633</f>
        <v>0</v>
      </c>
      <c r="X633" s="2">
        <f>IFERROR(W633 / M633 * 100, 0)</f>
        <v>0</v>
      </c>
    </row>
    <row r="634" spans="1:24">
      <c r="A634" t="s">
        <v>4778</v>
      </c>
      <c r="B634" t="s">
        <v>512</v>
      </c>
      <c r="C634" t="s">
        <v>5445</v>
      </c>
      <c r="D634" t="s">
        <v>1007</v>
      </c>
      <c r="E634" t="s">
        <v>5482</v>
      </c>
      <c r="F634" t="s">
        <v>6114</v>
      </c>
      <c r="G634">
        <v>13.57</v>
      </c>
      <c r="H634">
        <v>0</v>
      </c>
      <c r="I634">
        <v>0</v>
      </c>
      <c r="J634">
        <v>42.72</v>
      </c>
      <c r="K634">
        <v>585.78</v>
      </c>
      <c r="L634">
        <v>0</v>
      </c>
      <c r="M634">
        <v>0</v>
      </c>
      <c r="N634">
        <v>0</v>
      </c>
      <c r="O634">
        <v>0</v>
      </c>
      <c r="P634" s="2">
        <f>(H634 + J634) - (L634 + N634)</f>
        <v>0</v>
      </c>
      <c r="Q634" s="2">
        <f>P634 * G634</f>
        <v>0</v>
      </c>
      <c r="R634">
        <v>0</v>
      </c>
      <c r="S634" s="2">
        <f>R634 * G634</f>
        <v>0</v>
      </c>
      <c r="T634" s="2">
        <f>(H634 + J634) - (L634 + N634) - R634</f>
        <v>0</v>
      </c>
      <c r="U634" s="2">
        <f>T634 * G634</f>
        <v>0</v>
      </c>
      <c r="V634" s="2">
        <f>I634 + K634 - S634</f>
        <v>0</v>
      </c>
      <c r="W634" s="2">
        <f>M634 - V634</f>
        <v>0</v>
      </c>
      <c r="X634" s="2">
        <f>IFERROR(W634 / M634 * 100, 0)</f>
        <v>0</v>
      </c>
    </row>
    <row r="635" spans="1:24">
      <c r="A635" t="s">
        <v>4779</v>
      </c>
      <c r="B635" t="s">
        <v>512</v>
      </c>
      <c r="C635" t="s">
        <v>5446</v>
      </c>
      <c r="D635" t="s">
        <v>1007</v>
      </c>
      <c r="E635" t="s">
        <v>5482</v>
      </c>
      <c r="F635" t="s">
        <v>6115</v>
      </c>
      <c r="G635">
        <v>6.1</v>
      </c>
      <c r="H635">
        <v>45</v>
      </c>
      <c r="I635">
        <v>272.04</v>
      </c>
      <c r="J635">
        <v>-3.64</v>
      </c>
      <c r="K635">
        <v>-19.58</v>
      </c>
      <c r="L635">
        <v>0</v>
      </c>
      <c r="M635">
        <v>0</v>
      </c>
      <c r="N635">
        <v>0</v>
      </c>
      <c r="O635">
        <v>0</v>
      </c>
      <c r="P635" s="2">
        <f>(H635 + J635) - (L635 + N635)</f>
        <v>0</v>
      </c>
      <c r="Q635" s="2">
        <f>P635 * G635</f>
        <v>0</v>
      </c>
      <c r="R635">
        <v>20</v>
      </c>
      <c r="S635" s="2">
        <f>R635 * G635</f>
        <v>0</v>
      </c>
      <c r="T635" s="2">
        <f>(H635 + J635) - (L635 + N635) - R635</f>
        <v>0</v>
      </c>
      <c r="U635" s="2">
        <f>T635 * G635</f>
        <v>0</v>
      </c>
      <c r="V635" s="2">
        <f>I635 + K635 - S635</f>
        <v>0</v>
      </c>
      <c r="W635" s="2">
        <f>M635 - V635</f>
        <v>0</v>
      </c>
      <c r="X635" s="2">
        <f>IFERROR(W635 / M635 * 100, 0)</f>
        <v>0</v>
      </c>
    </row>
    <row r="636" spans="1:24">
      <c r="A636" t="s">
        <v>4780</v>
      </c>
      <c r="B636" t="s">
        <v>512</v>
      </c>
      <c r="C636" t="s">
        <v>5447</v>
      </c>
      <c r="D636" t="s">
        <v>1007</v>
      </c>
      <c r="E636" t="s">
        <v>5482</v>
      </c>
      <c r="F636" t="s">
        <v>6116</v>
      </c>
      <c r="G636">
        <v>32.61</v>
      </c>
      <c r="H636">
        <v>20</v>
      </c>
      <c r="I636">
        <v>691.66</v>
      </c>
      <c r="J636">
        <v>68.31999999999999</v>
      </c>
      <c r="K636">
        <v>2156.73</v>
      </c>
      <c r="L636">
        <v>0</v>
      </c>
      <c r="M636">
        <v>0</v>
      </c>
      <c r="N636">
        <v>0</v>
      </c>
      <c r="O636">
        <v>0</v>
      </c>
      <c r="P636" s="2">
        <f>(H636 + J636) - (L636 + N636)</f>
        <v>0</v>
      </c>
      <c r="Q636" s="2">
        <f>P636 * G636</f>
        <v>0</v>
      </c>
      <c r="R636">
        <v>30</v>
      </c>
      <c r="S636" s="2">
        <f>R636 * G636</f>
        <v>0</v>
      </c>
      <c r="T636" s="2">
        <f>(H636 + J636) - (L636 + N636) - R636</f>
        <v>0</v>
      </c>
      <c r="U636" s="2">
        <f>T636 * G636</f>
        <v>0</v>
      </c>
      <c r="V636" s="2">
        <f>I636 + K636 - S636</f>
        <v>0</v>
      </c>
      <c r="W636" s="2">
        <f>M636 - V636</f>
        <v>0</v>
      </c>
      <c r="X636" s="2">
        <f>IFERROR(W636 / M636 * 100, 0)</f>
        <v>0</v>
      </c>
    </row>
    <row r="637" spans="1:24">
      <c r="A637" t="s">
        <v>4781</v>
      </c>
      <c r="B637" t="s">
        <v>512</v>
      </c>
      <c r="C637" t="s">
        <v>5448</v>
      </c>
      <c r="D637" t="s">
        <v>1007</v>
      </c>
      <c r="E637" t="s">
        <v>5482</v>
      </c>
      <c r="F637" t="s">
        <v>6117</v>
      </c>
      <c r="G637">
        <v>4.71</v>
      </c>
      <c r="H637">
        <v>0</v>
      </c>
      <c r="I637">
        <v>0</v>
      </c>
      <c r="J637">
        <v>44.9</v>
      </c>
      <c r="K637">
        <v>211.03</v>
      </c>
      <c r="L637">
        <v>0</v>
      </c>
      <c r="M637">
        <v>0</v>
      </c>
      <c r="N637">
        <v>0</v>
      </c>
      <c r="O637">
        <v>0</v>
      </c>
      <c r="P637" s="2">
        <f>(H637 + J637) - (L637 + N637)</f>
        <v>0</v>
      </c>
      <c r="Q637" s="2">
        <f>P637 * G637</f>
        <v>0</v>
      </c>
      <c r="R637">
        <v>0</v>
      </c>
      <c r="S637" s="2">
        <f>R637 * G637</f>
        <v>0</v>
      </c>
      <c r="T637" s="2">
        <f>(H637 + J637) - (L637 + N637) - R637</f>
        <v>0</v>
      </c>
      <c r="U637" s="2">
        <f>T637 * G637</f>
        <v>0</v>
      </c>
      <c r="V637" s="2">
        <f>I637 + K637 - S637</f>
        <v>0</v>
      </c>
      <c r="W637" s="2">
        <f>M637 - V637</f>
        <v>0</v>
      </c>
      <c r="X637" s="2">
        <f>IFERROR(W637 / M637 * 100, 0)</f>
        <v>0</v>
      </c>
    </row>
    <row r="638" spans="1:24">
      <c r="A638" t="s">
        <v>4782</v>
      </c>
      <c r="B638" t="s">
        <v>512</v>
      </c>
      <c r="C638" t="s">
        <v>5449</v>
      </c>
      <c r="D638" t="s">
        <v>1007</v>
      </c>
      <c r="E638" t="s">
        <v>5482</v>
      </c>
      <c r="F638" t="s">
        <v>6118</v>
      </c>
      <c r="G638">
        <v>12.23</v>
      </c>
      <c r="H638">
        <v>32</v>
      </c>
      <c r="I638">
        <v>393.1</v>
      </c>
      <c r="J638">
        <v>7.61</v>
      </c>
      <c r="K638">
        <v>91.27</v>
      </c>
      <c r="L638">
        <v>0</v>
      </c>
      <c r="M638">
        <v>0</v>
      </c>
      <c r="N638">
        <v>0</v>
      </c>
      <c r="O638">
        <v>0</v>
      </c>
      <c r="P638" s="2">
        <f>(H638 + J638) - (L638 + N638)</f>
        <v>0</v>
      </c>
      <c r="Q638" s="2">
        <f>P638 * G638</f>
        <v>0</v>
      </c>
      <c r="R638">
        <v>23</v>
      </c>
      <c r="S638" s="2">
        <f>R638 * G638</f>
        <v>0</v>
      </c>
      <c r="T638" s="2">
        <f>(H638 + J638) - (L638 + N638) - R638</f>
        <v>0</v>
      </c>
      <c r="U638" s="2">
        <f>T638 * G638</f>
        <v>0</v>
      </c>
      <c r="V638" s="2">
        <f>I638 + K638 - S638</f>
        <v>0</v>
      </c>
      <c r="W638" s="2">
        <f>M638 - V638</f>
        <v>0</v>
      </c>
      <c r="X638" s="2">
        <f>IFERROR(W638 / M638 * 100, 0)</f>
        <v>0</v>
      </c>
    </row>
    <row r="639" spans="1:24">
      <c r="A639" t="s">
        <v>4783</v>
      </c>
      <c r="B639" t="s">
        <v>512</v>
      </c>
      <c r="C639" t="s">
        <v>5450</v>
      </c>
      <c r="D639" t="s">
        <v>1007</v>
      </c>
      <c r="E639" t="s">
        <v>5482</v>
      </c>
      <c r="F639" t="s">
        <v>6119</v>
      </c>
      <c r="G639">
        <v>9.199999999999999</v>
      </c>
      <c r="H639">
        <v>15</v>
      </c>
      <c r="I639">
        <v>150</v>
      </c>
      <c r="J639">
        <v>-52.82</v>
      </c>
      <c r="K639">
        <v>-445.92</v>
      </c>
      <c r="L639">
        <v>0</v>
      </c>
      <c r="M639">
        <v>0</v>
      </c>
      <c r="N639">
        <v>0</v>
      </c>
      <c r="O639">
        <v>0</v>
      </c>
      <c r="P639" s="2">
        <f>(H639 + J639) - (L639 + N639)</f>
        <v>0</v>
      </c>
      <c r="Q639" s="2">
        <f>P639 * G639</f>
        <v>0</v>
      </c>
      <c r="R639">
        <v>15</v>
      </c>
      <c r="S639" s="2">
        <f>R639 * G639</f>
        <v>0</v>
      </c>
      <c r="T639" s="2">
        <f>(H639 + J639) - (L639 + N639) - R639</f>
        <v>0</v>
      </c>
      <c r="U639" s="2">
        <f>T639 * G639</f>
        <v>0</v>
      </c>
      <c r="V639" s="2">
        <f>I639 + K639 - S639</f>
        <v>0</v>
      </c>
      <c r="W639" s="2">
        <f>M639 - V639</f>
        <v>0</v>
      </c>
      <c r="X639" s="2">
        <f>IFERROR(W639 / M639 * 100, 0)</f>
        <v>0</v>
      </c>
    </row>
    <row r="640" spans="1:24">
      <c r="A640" t="s">
        <v>4784</v>
      </c>
      <c r="B640" t="s">
        <v>512</v>
      </c>
      <c r="C640" t="s">
        <v>5451</v>
      </c>
      <c r="D640" t="s">
        <v>1007</v>
      </c>
      <c r="E640" t="s">
        <v>5482</v>
      </c>
      <c r="F640" t="s">
        <v>6120</v>
      </c>
      <c r="G640">
        <v>10.17</v>
      </c>
      <c r="H640">
        <v>1</v>
      </c>
      <c r="I640">
        <v>6.75</v>
      </c>
      <c r="J640">
        <v>-10.37</v>
      </c>
      <c r="K640">
        <v>-82.22</v>
      </c>
      <c r="L640">
        <v>0</v>
      </c>
      <c r="M640">
        <v>0</v>
      </c>
      <c r="N640">
        <v>0</v>
      </c>
      <c r="O640">
        <v>0</v>
      </c>
      <c r="P640" s="2">
        <f>(H640 + J640) - (L640 + N640)</f>
        <v>0</v>
      </c>
      <c r="Q640" s="2">
        <f>P640 * G640</f>
        <v>0</v>
      </c>
      <c r="R640">
        <v>0.25</v>
      </c>
      <c r="S640" s="2">
        <f>R640 * G640</f>
        <v>0</v>
      </c>
      <c r="T640" s="2">
        <f>(H640 + J640) - (L640 + N640) - R640</f>
        <v>0</v>
      </c>
      <c r="U640" s="2">
        <f>T640 * G640</f>
        <v>0</v>
      </c>
      <c r="V640" s="2">
        <f>I640 + K640 - S640</f>
        <v>0</v>
      </c>
      <c r="W640" s="2">
        <f>M640 - V640</f>
        <v>0</v>
      </c>
      <c r="X640" s="2">
        <f>IFERROR(W640 / M640 * 100, 0)</f>
        <v>0</v>
      </c>
    </row>
    <row r="641" spans="1:24">
      <c r="A641" t="s">
        <v>4785</v>
      </c>
      <c r="B641" t="s">
        <v>512</v>
      </c>
      <c r="C641" t="s">
        <v>5452</v>
      </c>
      <c r="D641" t="s">
        <v>1007</v>
      </c>
      <c r="E641" t="s">
        <v>5482</v>
      </c>
      <c r="F641" t="s">
        <v>6121</v>
      </c>
      <c r="G641">
        <v>4.46</v>
      </c>
      <c r="H641">
        <v>2</v>
      </c>
      <c r="I641">
        <v>11.84</v>
      </c>
      <c r="J641">
        <v>32.07</v>
      </c>
      <c r="K641">
        <v>140.07</v>
      </c>
      <c r="L641">
        <v>0</v>
      </c>
      <c r="M641">
        <v>0</v>
      </c>
      <c r="N641">
        <v>0</v>
      </c>
      <c r="O641">
        <v>0</v>
      </c>
      <c r="P641" s="2">
        <f>(H641 + J641) - (L641 + N641)</f>
        <v>0</v>
      </c>
      <c r="Q641" s="2">
        <f>P641 * G641</f>
        <v>0</v>
      </c>
      <c r="R641">
        <v>30</v>
      </c>
      <c r="S641" s="2">
        <f>R641 * G641</f>
        <v>0</v>
      </c>
      <c r="T641" s="2">
        <f>(H641 + J641) - (L641 + N641) - R641</f>
        <v>0</v>
      </c>
      <c r="U641" s="2">
        <f>T641 * G641</f>
        <v>0</v>
      </c>
      <c r="V641" s="2">
        <f>I641 + K641 - S641</f>
        <v>0</v>
      </c>
      <c r="W641" s="2">
        <f>M641 - V641</f>
        <v>0</v>
      </c>
      <c r="X641" s="2">
        <f>IFERROR(W641 / M641 * 100, 0)</f>
        <v>0</v>
      </c>
    </row>
    <row r="642" spans="1:24">
      <c r="A642" t="s">
        <v>4786</v>
      </c>
      <c r="B642" t="s">
        <v>512</v>
      </c>
      <c r="C642" t="s">
        <v>5453</v>
      </c>
      <c r="D642" t="s">
        <v>1007</v>
      </c>
      <c r="E642" t="s">
        <v>5482</v>
      </c>
      <c r="F642" t="s">
        <v>6122</v>
      </c>
      <c r="G642">
        <v>14.22</v>
      </c>
      <c r="H642">
        <v>9</v>
      </c>
      <c r="I642">
        <v>88.73</v>
      </c>
      <c r="J642">
        <v>1.58</v>
      </c>
      <c r="K642">
        <v>61.75</v>
      </c>
      <c r="L642">
        <v>0</v>
      </c>
      <c r="M642">
        <v>0</v>
      </c>
      <c r="N642">
        <v>0</v>
      </c>
      <c r="O642">
        <v>0</v>
      </c>
      <c r="P642" s="2">
        <f>(H642 + J642) - (L642 + N642)</f>
        <v>0</v>
      </c>
      <c r="Q642" s="2">
        <f>P642 * G642</f>
        <v>0</v>
      </c>
      <c r="R642">
        <v>7</v>
      </c>
      <c r="S642" s="2">
        <f>R642 * G642</f>
        <v>0</v>
      </c>
      <c r="T642" s="2">
        <f>(H642 + J642) - (L642 + N642) - R642</f>
        <v>0</v>
      </c>
      <c r="U642" s="2">
        <f>T642 * G642</f>
        <v>0</v>
      </c>
      <c r="V642" s="2">
        <f>I642 + K642 - S642</f>
        <v>0</v>
      </c>
      <c r="W642" s="2">
        <f>M642 - V642</f>
        <v>0</v>
      </c>
      <c r="X642" s="2">
        <f>IFERROR(W642 / M642 * 100, 0)</f>
        <v>0</v>
      </c>
    </row>
    <row r="643" spans="1:24">
      <c r="A643" t="s">
        <v>4787</v>
      </c>
      <c r="B643" t="s">
        <v>512</v>
      </c>
      <c r="C643" t="s">
        <v>5454</v>
      </c>
      <c r="D643" t="s">
        <v>1007</v>
      </c>
      <c r="E643" t="s">
        <v>5482</v>
      </c>
      <c r="F643" t="s">
        <v>6123</v>
      </c>
      <c r="G643">
        <v>1.25</v>
      </c>
      <c r="H643">
        <v>2</v>
      </c>
      <c r="I643">
        <v>3.49</v>
      </c>
      <c r="J643">
        <v>19.27</v>
      </c>
      <c r="K643">
        <v>-0.83</v>
      </c>
      <c r="L643">
        <v>0</v>
      </c>
      <c r="M643">
        <v>0</v>
      </c>
      <c r="N643">
        <v>0</v>
      </c>
      <c r="O643">
        <v>0</v>
      </c>
      <c r="P643" s="2">
        <f>(H643 + J643) - (L643 + N643)</f>
        <v>0</v>
      </c>
      <c r="Q643" s="2">
        <f>P643 * G643</f>
        <v>0</v>
      </c>
      <c r="R643">
        <v>7</v>
      </c>
      <c r="S643" s="2">
        <f>R643 * G643</f>
        <v>0</v>
      </c>
      <c r="T643" s="2">
        <f>(H643 + J643) - (L643 + N643) - R643</f>
        <v>0</v>
      </c>
      <c r="U643" s="2">
        <f>T643 * G643</f>
        <v>0</v>
      </c>
      <c r="V643" s="2">
        <f>I643 + K643 - S643</f>
        <v>0</v>
      </c>
      <c r="W643" s="2">
        <f>M643 - V643</f>
        <v>0</v>
      </c>
      <c r="X643" s="2">
        <f>IFERROR(W643 / M643 * 100, 0)</f>
        <v>0</v>
      </c>
    </row>
    <row r="644" spans="1:24">
      <c r="A644" t="s">
        <v>4788</v>
      </c>
      <c r="B644" t="s">
        <v>512</v>
      </c>
      <c r="C644" t="s">
        <v>5455</v>
      </c>
      <c r="D644" t="s">
        <v>1007</v>
      </c>
      <c r="E644" t="s">
        <v>5482</v>
      </c>
      <c r="F644" t="s">
        <v>6124</v>
      </c>
      <c r="G644">
        <v>44.51</v>
      </c>
      <c r="H644">
        <v>0</v>
      </c>
      <c r="I644">
        <v>0</v>
      </c>
      <c r="J644">
        <v>-0.04</v>
      </c>
      <c r="K644">
        <v>-1.78</v>
      </c>
      <c r="L644">
        <v>0</v>
      </c>
      <c r="M644">
        <v>0</v>
      </c>
      <c r="N644">
        <v>0</v>
      </c>
      <c r="O644">
        <v>0</v>
      </c>
      <c r="P644" s="2">
        <f>(H644 + J644) - (L644 + N644)</f>
        <v>0</v>
      </c>
      <c r="Q644" s="2">
        <f>P644 * G644</f>
        <v>0</v>
      </c>
      <c r="R644">
        <v>0</v>
      </c>
      <c r="S644" s="2">
        <f>R644 * G644</f>
        <v>0</v>
      </c>
      <c r="T644" s="2">
        <f>(H644 + J644) - (L644 + N644) - R644</f>
        <v>0</v>
      </c>
      <c r="U644" s="2">
        <f>T644 * G644</f>
        <v>0</v>
      </c>
      <c r="V644" s="2">
        <f>I644 + K644 - S644</f>
        <v>0</v>
      </c>
      <c r="W644" s="2">
        <f>M644 - V644</f>
        <v>0</v>
      </c>
      <c r="X644" s="2">
        <f>IFERROR(W644 / M644 * 100, 0)</f>
        <v>0</v>
      </c>
    </row>
    <row r="645" spans="1:24">
      <c r="A645" t="s">
        <v>4789</v>
      </c>
      <c r="B645" t="s">
        <v>512</v>
      </c>
      <c r="C645" t="s">
        <v>5456</v>
      </c>
      <c r="D645" t="s">
        <v>1007</v>
      </c>
      <c r="E645" t="s">
        <v>5482</v>
      </c>
      <c r="F645" t="s">
        <v>6125</v>
      </c>
      <c r="G645">
        <v>13.48</v>
      </c>
      <c r="H645">
        <v>1</v>
      </c>
      <c r="I645">
        <v>22.76</v>
      </c>
      <c r="J645">
        <v>-41.3</v>
      </c>
      <c r="K645">
        <v>-823.38</v>
      </c>
      <c r="L645">
        <v>0</v>
      </c>
      <c r="M645">
        <v>0</v>
      </c>
      <c r="N645">
        <v>0</v>
      </c>
      <c r="O645">
        <v>0</v>
      </c>
      <c r="P645" s="2">
        <f>(H645 + J645) - (L645 + N645)</f>
        <v>0</v>
      </c>
      <c r="Q645" s="2">
        <f>P645 * G645</f>
        <v>0</v>
      </c>
      <c r="R645">
        <v>4</v>
      </c>
      <c r="S645" s="2">
        <f>R645 * G645</f>
        <v>0</v>
      </c>
      <c r="T645" s="2">
        <f>(H645 + J645) - (L645 + N645) - R645</f>
        <v>0</v>
      </c>
      <c r="U645" s="2">
        <f>T645 * G645</f>
        <v>0</v>
      </c>
      <c r="V645" s="2">
        <f>I645 + K645 - S645</f>
        <v>0</v>
      </c>
      <c r="W645" s="2">
        <f>M645 - V645</f>
        <v>0</v>
      </c>
      <c r="X645" s="2">
        <f>IFERROR(W645 / M645 * 100, 0)</f>
        <v>0</v>
      </c>
    </row>
    <row r="646" spans="1:24">
      <c r="A646" t="s">
        <v>4790</v>
      </c>
      <c r="B646" t="s">
        <v>512</v>
      </c>
      <c r="C646" t="s">
        <v>5457</v>
      </c>
      <c r="D646" t="s">
        <v>1007</v>
      </c>
      <c r="E646" t="s">
        <v>5482</v>
      </c>
      <c r="F646" t="s">
        <v>6126</v>
      </c>
      <c r="G646">
        <v>22.25</v>
      </c>
      <c r="H646">
        <v>0</v>
      </c>
      <c r="I646">
        <v>0</v>
      </c>
      <c r="J646">
        <v>-20.95</v>
      </c>
      <c r="K646">
        <v>-466.04</v>
      </c>
      <c r="L646">
        <v>0</v>
      </c>
      <c r="M646">
        <v>0</v>
      </c>
      <c r="N646">
        <v>0</v>
      </c>
      <c r="O646">
        <v>0</v>
      </c>
      <c r="P646" s="2">
        <f>(H646 + J646) - (L646 + N646)</f>
        <v>0</v>
      </c>
      <c r="Q646" s="2">
        <f>P646 * G646</f>
        <v>0</v>
      </c>
      <c r="R646">
        <v>0</v>
      </c>
      <c r="S646" s="2">
        <f>R646 * G646</f>
        <v>0</v>
      </c>
      <c r="T646" s="2">
        <f>(H646 + J646) - (L646 + N646) - R646</f>
        <v>0</v>
      </c>
      <c r="U646" s="2">
        <f>T646 * G646</f>
        <v>0</v>
      </c>
      <c r="V646" s="2">
        <f>I646 + K646 - S646</f>
        <v>0</v>
      </c>
      <c r="W646" s="2">
        <f>M646 - V646</f>
        <v>0</v>
      </c>
      <c r="X646" s="2">
        <f>IFERROR(W646 / M646 * 100, 0)</f>
        <v>0</v>
      </c>
    </row>
    <row r="647" spans="1:24">
      <c r="A647" t="s">
        <v>4791</v>
      </c>
      <c r="B647" t="s">
        <v>512</v>
      </c>
      <c r="C647" t="s">
        <v>5458</v>
      </c>
      <c r="D647" t="s">
        <v>1007</v>
      </c>
      <c r="E647" t="s">
        <v>5482</v>
      </c>
      <c r="F647" t="s">
        <v>6127</v>
      </c>
      <c r="G647">
        <v>90.25</v>
      </c>
      <c r="H647">
        <v>0</v>
      </c>
      <c r="I647">
        <v>0</v>
      </c>
      <c r="J647">
        <v>0.19</v>
      </c>
      <c r="K647">
        <v>15.89</v>
      </c>
      <c r="L647">
        <v>0</v>
      </c>
      <c r="M647">
        <v>0</v>
      </c>
      <c r="N647">
        <v>0</v>
      </c>
      <c r="O647">
        <v>0</v>
      </c>
      <c r="P647" s="2">
        <f>(H647 + J647) - (L647 + N647)</f>
        <v>0</v>
      </c>
      <c r="Q647" s="2">
        <f>P647 * G647</f>
        <v>0</v>
      </c>
      <c r="R647">
        <v>0.25</v>
      </c>
      <c r="S647" s="2">
        <f>R647 * G647</f>
        <v>0</v>
      </c>
      <c r="T647" s="2">
        <f>(H647 + J647) - (L647 + N647) - R647</f>
        <v>0</v>
      </c>
      <c r="U647" s="2">
        <f>T647 * G647</f>
        <v>0</v>
      </c>
      <c r="V647" s="2">
        <f>I647 + K647 - S647</f>
        <v>0</v>
      </c>
      <c r="W647" s="2">
        <f>M647 - V647</f>
        <v>0</v>
      </c>
      <c r="X647" s="2">
        <f>IFERROR(W647 / M647 * 100, 0)</f>
        <v>0</v>
      </c>
    </row>
    <row r="648" spans="1:24">
      <c r="A648" t="s">
        <v>4792</v>
      </c>
      <c r="B648" t="s">
        <v>512</v>
      </c>
      <c r="C648" t="s">
        <v>5459</v>
      </c>
      <c r="D648" t="s">
        <v>1007</v>
      </c>
      <c r="E648" t="s">
        <v>5482</v>
      </c>
      <c r="F648" t="s">
        <v>6128</v>
      </c>
      <c r="G648">
        <v>1.41</v>
      </c>
      <c r="H648">
        <v>5</v>
      </c>
      <c r="I648">
        <v>10.86</v>
      </c>
      <c r="J648">
        <v>73.63</v>
      </c>
      <c r="K648">
        <v>101.22</v>
      </c>
      <c r="L648">
        <v>0</v>
      </c>
      <c r="M648">
        <v>0</v>
      </c>
      <c r="N648">
        <v>0</v>
      </c>
      <c r="O648">
        <v>0</v>
      </c>
      <c r="P648" s="2">
        <f>(H648 + J648) - (L648 + N648)</f>
        <v>0</v>
      </c>
      <c r="Q648" s="2">
        <f>P648 * G648</f>
        <v>0</v>
      </c>
      <c r="R648">
        <v>5</v>
      </c>
      <c r="S648" s="2">
        <f>R648 * G648</f>
        <v>0</v>
      </c>
      <c r="T648" s="2">
        <f>(H648 + J648) - (L648 + N648) - R648</f>
        <v>0</v>
      </c>
      <c r="U648" s="2">
        <f>T648 * G648</f>
        <v>0</v>
      </c>
      <c r="V648" s="2">
        <f>I648 + K648 - S648</f>
        <v>0</v>
      </c>
      <c r="W648" s="2">
        <f>M648 - V648</f>
        <v>0</v>
      </c>
      <c r="X648" s="2">
        <f>IFERROR(W648 / M648 * 100, 0)</f>
        <v>0</v>
      </c>
    </row>
    <row r="649" spans="1:24">
      <c r="A649" t="s">
        <v>4793</v>
      </c>
      <c r="B649" t="s">
        <v>512</v>
      </c>
      <c r="C649" t="s">
        <v>5460</v>
      </c>
      <c r="D649" t="s">
        <v>1007</v>
      </c>
      <c r="E649" t="s">
        <v>5482</v>
      </c>
      <c r="F649" t="s">
        <v>6129</v>
      </c>
      <c r="G649">
        <v>16</v>
      </c>
      <c r="H649">
        <v>0</v>
      </c>
      <c r="I649">
        <v>0</v>
      </c>
      <c r="J649">
        <v>-4.26</v>
      </c>
      <c r="K649">
        <v>-495.11</v>
      </c>
      <c r="L649">
        <v>0</v>
      </c>
      <c r="M649">
        <v>0</v>
      </c>
      <c r="N649">
        <v>0</v>
      </c>
      <c r="O649">
        <v>0</v>
      </c>
      <c r="P649" s="2">
        <f>(H649 + J649) - (L649 + N649)</f>
        <v>0</v>
      </c>
      <c r="Q649" s="2">
        <f>P649 * G649</f>
        <v>0</v>
      </c>
      <c r="R649">
        <v>0</v>
      </c>
      <c r="S649" s="2">
        <f>R649 * G649</f>
        <v>0</v>
      </c>
      <c r="T649" s="2">
        <f>(H649 + J649) - (L649 + N649) - R649</f>
        <v>0</v>
      </c>
      <c r="U649" s="2">
        <f>T649 * G649</f>
        <v>0</v>
      </c>
      <c r="V649" s="2">
        <f>I649 + K649 - S649</f>
        <v>0</v>
      </c>
      <c r="W649" s="2">
        <f>M649 - V649</f>
        <v>0</v>
      </c>
      <c r="X649" s="2">
        <f>IFERROR(W649 / M649 * 100, 0)</f>
        <v>0</v>
      </c>
    </row>
    <row r="650" spans="1:24">
      <c r="A650" t="s">
        <v>4794</v>
      </c>
      <c r="B650" t="s">
        <v>512</v>
      </c>
      <c r="C650" t="s">
        <v>5461</v>
      </c>
      <c r="D650" t="s">
        <v>1007</v>
      </c>
      <c r="E650" t="s">
        <v>5482</v>
      </c>
      <c r="F650" t="s">
        <v>6130</v>
      </c>
      <c r="G650">
        <v>14.3</v>
      </c>
      <c r="H650">
        <v>2</v>
      </c>
      <c r="I650">
        <v>37.98</v>
      </c>
      <c r="J650">
        <v>-9.69</v>
      </c>
      <c r="K650">
        <v>-180.04</v>
      </c>
      <c r="L650">
        <v>0</v>
      </c>
      <c r="M650">
        <v>0</v>
      </c>
      <c r="N650">
        <v>0</v>
      </c>
      <c r="O650">
        <v>0</v>
      </c>
      <c r="P650" s="2">
        <f>(H650 + J650) - (L650 + N650)</f>
        <v>0</v>
      </c>
      <c r="Q650" s="2">
        <f>P650 * G650</f>
        <v>0</v>
      </c>
      <c r="R650">
        <v>2</v>
      </c>
      <c r="S650" s="2">
        <f>R650 * G650</f>
        <v>0</v>
      </c>
      <c r="T650" s="2">
        <f>(H650 + J650) - (L650 + N650) - R650</f>
        <v>0</v>
      </c>
      <c r="U650" s="2">
        <f>T650 * G650</f>
        <v>0</v>
      </c>
      <c r="V650" s="2">
        <f>I650 + K650 - S650</f>
        <v>0</v>
      </c>
      <c r="W650" s="2">
        <f>M650 - V650</f>
        <v>0</v>
      </c>
      <c r="X650" s="2">
        <f>IFERROR(W650 / M650 * 100, 0)</f>
        <v>0</v>
      </c>
    </row>
    <row r="651" spans="1:24">
      <c r="A651" t="s">
        <v>4795</v>
      </c>
      <c r="B651" t="s">
        <v>512</v>
      </c>
      <c r="C651" t="s">
        <v>5462</v>
      </c>
      <c r="D651" t="s">
        <v>1007</v>
      </c>
      <c r="E651" t="s">
        <v>5482</v>
      </c>
      <c r="F651" t="s">
        <v>6131</v>
      </c>
      <c r="G651">
        <v>6.96</v>
      </c>
      <c r="H651">
        <v>1</v>
      </c>
      <c r="I651">
        <v>5.74</v>
      </c>
      <c r="J651">
        <v>65.36</v>
      </c>
      <c r="K651">
        <v>470.6</v>
      </c>
      <c r="L651">
        <v>0</v>
      </c>
      <c r="M651">
        <v>0</v>
      </c>
      <c r="N651">
        <v>0</v>
      </c>
      <c r="O651">
        <v>0</v>
      </c>
      <c r="P651" s="2">
        <f>(H651 + J651) - (L651 + N651)</f>
        <v>0</v>
      </c>
      <c r="Q651" s="2">
        <f>P651 * G651</f>
        <v>0</v>
      </c>
      <c r="R651">
        <v>3</v>
      </c>
      <c r="S651" s="2">
        <f>R651 * G651</f>
        <v>0</v>
      </c>
      <c r="T651" s="2">
        <f>(H651 + J651) - (L651 + N651) - R651</f>
        <v>0</v>
      </c>
      <c r="U651" s="2">
        <f>T651 * G651</f>
        <v>0</v>
      </c>
      <c r="V651" s="2">
        <f>I651 + K651 - S651</f>
        <v>0</v>
      </c>
      <c r="W651" s="2">
        <f>M651 - V651</f>
        <v>0</v>
      </c>
      <c r="X651" s="2">
        <f>IFERROR(W651 / M651 * 100, 0)</f>
        <v>0</v>
      </c>
    </row>
    <row r="652" spans="1:24">
      <c r="A652" t="s">
        <v>4796</v>
      </c>
      <c r="B652" t="s">
        <v>512</v>
      </c>
      <c r="C652" t="s">
        <v>5463</v>
      </c>
      <c r="D652" t="s">
        <v>1007</v>
      </c>
      <c r="E652" t="s">
        <v>5482</v>
      </c>
      <c r="F652" t="s">
        <v>6132</v>
      </c>
      <c r="G652">
        <v>26.07</v>
      </c>
      <c r="H652">
        <v>3</v>
      </c>
      <c r="I652">
        <v>78.2</v>
      </c>
      <c r="J652">
        <v>-7.35</v>
      </c>
      <c r="K652">
        <v>-191.59</v>
      </c>
      <c r="L652">
        <v>0</v>
      </c>
      <c r="M652">
        <v>0</v>
      </c>
      <c r="N652">
        <v>0</v>
      </c>
      <c r="O652">
        <v>0</v>
      </c>
      <c r="P652" s="2">
        <f>(H652 + J652) - (L652 + N652)</f>
        <v>0</v>
      </c>
      <c r="Q652" s="2">
        <f>P652 * G652</f>
        <v>0</v>
      </c>
      <c r="R652">
        <v>4</v>
      </c>
      <c r="S652" s="2">
        <f>R652 * G652</f>
        <v>0</v>
      </c>
      <c r="T652" s="2">
        <f>(H652 + J652) - (L652 + N652) - R652</f>
        <v>0</v>
      </c>
      <c r="U652" s="2">
        <f>T652 * G652</f>
        <v>0</v>
      </c>
      <c r="V652" s="2">
        <f>I652 + K652 - S652</f>
        <v>0</v>
      </c>
      <c r="W652" s="2">
        <f>M652 - V652</f>
        <v>0</v>
      </c>
      <c r="X652" s="2">
        <f>IFERROR(W652 / M652 * 100, 0)</f>
        <v>0</v>
      </c>
    </row>
    <row r="653" spans="1:24">
      <c r="A653" t="s">
        <v>4797</v>
      </c>
      <c r="B653" t="s">
        <v>512</v>
      </c>
      <c r="C653" t="s">
        <v>5464</v>
      </c>
      <c r="D653" t="s">
        <v>1007</v>
      </c>
      <c r="E653" t="s">
        <v>5482</v>
      </c>
      <c r="F653" t="s">
        <v>6133</v>
      </c>
      <c r="G653">
        <v>3.44</v>
      </c>
      <c r="H653">
        <v>2</v>
      </c>
      <c r="I653">
        <v>5.73</v>
      </c>
      <c r="J653">
        <v>10.29</v>
      </c>
      <c r="K653">
        <v>36.42</v>
      </c>
      <c r="L653">
        <v>0</v>
      </c>
      <c r="M653">
        <v>0</v>
      </c>
      <c r="N653">
        <v>0</v>
      </c>
      <c r="O653">
        <v>0</v>
      </c>
      <c r="P653" s="2">
        <f>(H653 + J653) - (L653 + N653)</f>
        <v>0</v>
      </c>
      <c r="Q653" s="2">
        <f>P653 * G653</f>
        <v>0</v>
      </c>
      <c r="R653">
        <v>3</v>
      </c>
      <c r="S653" s="2">
        <f>R653 * G653</f>
        <v>0</v>
      </c>
      <c r="T653" s="2">
        <f>(H653 + J653) - (L653 + N653) - R653</f>
        <v>0</v>
      </c>
      <c r="U653" s="2">
        <f>T653 * G653</f>
        <v>0</v>
      </c>
      <c r="V653" s="2">
        <f>I653 + K653 - S653</f>
        <v>0</v>
      </c>
      <c r="W653" s="2">
        <f>M653 - V653</f>
        <v>0</v>
      </c>
      <c r="X653" s="2">
        <f>IFERROR(W653 / M653 * 100, 0)</f>
        <v>0</v>
      </c>
    </row>
    <row r="654" spans="1:24">
      <c r="A654" t="s">
        <v>4798</v>
      </c>
      <c r="B654" t="s">
        <v>512</v>
      </c>
      <c r="C654" t="s">
        <v>5465</v>
      </c>
      <c r="D654" t="s">
        <v>1007</v>
      </c>
      <c r="E654" t="s">
        <v>5482</v>
      </c>
      <c r="F654" t="s">
        <v>6134</v>
      </c>
      <c r="G654">
        <v>4.49</v>
      </c>
      <c r="H654">
        <v>20</v>
      </c>
      <c r="I654">
        <v>81.04000000000001</v>
      </c>
      <c r="J654">
        <v>156.34</v>
      </c>
      <c r="K654">
        <v>674.91</v>
      </c>
      <c r="L654">
        <v>0</v>
      </c>
      <c r="M654">
        <v>0</v>
      </c>
      <c r="N654">
        <v>0</v>
      </c>
      <c r="O654">
        <v>0</v>
      </c>
      <c r="P654" s="2">
        <f>(H654 + J654) - (L654 + N654)</f>
        <v>0</v>
      </c>
      <c r="Q654" s="2">
        <f>P654 * G654</f>
        <v>0</v>
      </c>
      <c r="R654">
        <v>20</v>
      </c>
      <c r="S654" s="2">
        <f>R654 * G654</f>
        <v>0</v>
      </c>
      <c r="T654" s="2">
        <f>(H654 + J654) - (L654 + N654) - R654</f>
        <v>0</v>
      </c>
      <c r="U654" s="2">
        <f>T654 * G654</f>
        <v>0</v>
      </c>
      <c r="V654" s="2">
        <f>I654 + K654 - S654</f>
        <v>0</v>
      </c>
      <c r="W654" s="2">
        <f>M654 - V654</f>
        <v>0</v>
      </c>
      <c r="X654" s="2">
        <f>IFERROR(W654 / M654 * 100, 0)</f>
        <v>0</v>
      </c>
    </row>
    <row r="655" spans="1:24">
      <c r="A655" t="s">
        <v>4799</v>
      </c>
      <c r="B655" t="s">
        <v>512</v>
      </c>
      <c r="C655" t="s">
        <v>5466</v>
      </c>
      <c r="D655" t="s">
        <v>1007</v>
      </c>
      <c r="E655" t="s">
        <v>5482</v>
      </c>
      <c r="F655" t="s">
        <v>6135</v>
      </c>
      <c r="G655">
        <v>23.07</v>
      </c>
      <c r="H655">
        <v>1</v>
      </c>
      <c r="I655">
        <v>24</v>
      </c>
      <c r="J655">
        <v>56.11</v>
      </c>
      <c r="K655">
        <v>1293.16</v>
      </c>
      <c r="L655">
        <v>0</v>
      </c>
      <c r="M655">
        <v>0</v>
      </c>
      <c r="N655">
        <v>0</v>
      </c>
      <c r="O655">
        <v>0</v>
      </c>
      <c r="P655" s="2">
        <f>(H655 + J655) - (L655 + N655)</f>
        <v>0</v>
      </c>
      <c r="Q655" s="2">
        <f>P655 * G655</f>
        <v>0</v>
      </c>
      <c r="R655">
        <v>24</v>
      </c>
      <c r="S655" s="2">
        <f>R655 * G655</f>
        <v>0</v>
      </c>
      <c r="T655" s="2">
        <f>(H655 + J655) - (L655 + N655) - R655</f>
        <v>0</v>
      </c>
      <c r="U655" s="2">
        <f>T655 * G655</f>
        <v>0</v>
      </c>
      <c r="V655" s="2">
        <f>I655 + K655 - S655</f>
        <v>0</v>
      </c>
      <c r="W655" s="2">
        <f>M655 - V655</f>
        <v>0</v>
      </c>
      <c r="X655" s="2">
        <f>IFERROR(W655 / M655 * 100, 0)</f>
        <v>0</v>
      </c>
    </row>
    <row r="656" spans="1:24">
      <c r="A656" t="s">
        <v>4800</v>
      </c>
      <c r="B656" t="s">
        <v>512</v>
      </c>
      <c r="C656" t="s">
        <v>5467</v>
      </c>
      <c r="D656" t="s">
        <v>1007</v>
      </c>
      <c r="E656" t="s">
        <v>5482</v>
      </c>
      <c r="F656" t="s">
        <v>6136</v>
      </c>
      <c r="G656">
        <v>12.13</v>
      </c>
      <c r="H656">
        <v>0</v>
      </c>
      <c r="I656">
        <v>0</v>
      </c>
      <c r="J656">
        <v>-15.36</v>
      </c>
      <c r="K656">
        <v>-186.29</v>
      </c>
      <c r="L656">
        <v>0</v>
      </c>
      <c r="M656">
        <v>0</v>
      </c>
      <c r="N656">
        <v>0</v>
      </c>
      <c r="O656">
        <v>0</v>
      </c>
      <c r="P656" s="2">
        <f>(H656 + J656) - (L656 + N656)</f>
        <v>0</v>
      </c>
      <c r="Q656" s="2">
        <f>P656 * G656</f>
        <v>0</v>
      </c>
      <c r="R656">
        <v>0</v>
      </c>
      <c r="S656" s="2">
        <f>R656 * G656</f>
        <v>0</v>
      </c>
      <c r="T656" s="2">
        <f>(H656 + J656) - (L656 + N656) - R656</f>
        <v>0</v>
      </c>
      <c r="U656" s="2">
        <f>T656 * G656</f>
        <v>0</v>
      </c>
      <c r="V656" s="2">
        <f>I656 + K656 - S656</f>
        <v>0</v>
      </c>
      <c r="W656" s="2">
        <f>M656 - V656</f>
        <v>0</v>
      </c>
      <c r="X656" s="2">
        <f>IFERROR(W656 / M656 * 100, 0)</f>
        <v>0</v>
      </c>
    </row>
    <row r="657" spans="1:24">
      <c r="A657" t="s">
        <v>4801</v>
      </c>
      <c r="B657" t="s">
        <v>512</v>
      </c>
      <c r="C657" t="s">
        <v>5468</v>
      </c>
      <c r="D657" t="s">
        <v>1007</v>
      </c>
      <c r="E657" t="s">
        <v>5482</v>
      </c>
      <c r="F657" t="s">
        <v>6137</v>
      </c>
      <c r="G657">
        <v>2.55</v>
      </c>
      <c r="H657">
        <v>4</v>
      </c>
      <c r="I657">
        <v>11.58</v>
      </c>
      <c r="J657">
        <v>42.03</v>
      </c>
      <c r="K657">
        <v>106.08</v>
      </c>
      <c r="L657">
        <v>0</v>
      </c>
      <c r="M657">
        <v>0</v>
      </c>
      <c r="N657">
        <v>0</v>
      </c>
      <c r="O657">
        <v>0</v>
      </c>
      <c r="P657" s="2">
        <f>(H657 + J657) - (L657 + N657)</f>
        <v>0</v>
      </c>
      <c r="Q657" s="2">
        <f>P657 * G657</f>
        <v>0</v>
      </c>
      <c r="R657">
        <v>5</v>
      </c>
      <c r="S657" s="2">
        <f>R657 * G657</f>
        <v>0</v>
      </c>
      <c r="T657" s="2">
        <f>(H657 + J657) - (L657 + N657) - R657</f>
        <v>0</v>
      </c>
      <c r="U657" s="2">
        <f>T657 * G657</f>
        <v>0</v>
      </c>
      <c r="V657" s="2">
        <f>I657 + K657 - S657</f>
        <v>0</v>
      </c>
      <c r="W657" s="2">
        <f>M657 - V657</f>
        <v>0</v>
      </c>
      <c r="X657" s="2">
        <f>IFERROR(W657 / M657 * 100, 0)</f>
        <v>0</v>
      </c>
    </row>
    <row r="658" spans="1:24">
      <c r="A658" t="s">
        <v>4802</v>
      </c>
      <c r="B658" t="s">
        <v>512</v>
      </c>
      <c r="C658" t="s">
        <v>5469</v>
      </c>
      <c r="D658" t="s">
        <v>1007</v>
      </c>
      <c r="E658" t="s">
        <v>5482</v>
      </c>
      <c r="F658" t="s">
        <v>6138</v>
      </c>
      <c r="G658">
        <v>16.82</v>
      </c>
      <c r="H658">
        <v>0</v>
      </c>
      <c r="I658">
        <v>0</v>
      </c>
      <c r="J658">
        <v>2.31</v>
      </c>
      <c r="K658">
        <v>32.63</v>
      </c>
      <c r="L658">
        <v>0</v>
      </c>
      <c r="M658">
        <v>0</v>
      </c>
      <c r="N658">
        <v>0</v>
      </c>
      <c r="O658">
        <v>0</v>
      </c>
      <c r="P658" s="2">
        <f>(H658 + J658) - (L658 + N658)</f>
        <v>0</v>
      </c>
      <c r="Q658" s="2">
        <f>P658 * G658</f>
        <v>0</v>
      </c>
      <c r="R658">
        <v>0</v>
      </c>
      <c r="S658" s="2">
        <f>R658 * G658</f>
        <v>0</v>
      </c>
      <c r="T658" s="2">
        <f>(H658 + J658) - (L658 + N658) - R658</f>
        <v>0</v>
      </c>
      <c r="U658" s="2">
        <f>T658 * G658</f>
        <v>0</v>
      </c>
      <c r="V658" s="2">
        <f>I658 + K658 - S658</f>
        <v>0</v>
      </c>
      <c r="W658" s="2">
        <f>M658 - V658</f>
        <v>0</v>
      </c>
      <c r="X658" s="2">
        <f>IFERROR(W658 / M658 * 100, 0)</f>
        <v>0</v>
      </c>
    </row>
    <row r="659" spans="1:24">
      <c r="A659" t="s">
        <v>4803</v>
      </c>
      <c r="B659" t="s">
        <v>512</v>
      </c>
      <c r="C659" t="s">
        <v>5470</v>
      </c>
      <c r="D659" t="s">
        <v>1007</v>
      </c>
      <c r="E659" t="s">
        <v>5482</v>
      </c>
      <c r="F659" t="s">
        <v>6139</v>
      </c>
      <c r="G659">
        <v>92</v>
      </c>
      <c r="H659">
        <v>0</v>
      </c>
      <c r="I659">
        <v>0</v>
      </c>
      <c r="J659">
        <v>0.06</v>
      </c>
      <c r="K659">
        <v>5.15</v>
      </c>
      <c r="L659">
        <v>0</v>
      </c>
      <c r="M659">
        <v>0</v>
      </c>
      <c r="N659">
        <v>0</v>
      </c>
      <c r="O659">
        <v>0</v>
      </c>
      <c r="P659" s="2">
        <f>(H659 + J659) - (L659 + N659)</f>
        <v>0</v>
      </c>
      <c r="Q659" s="2">
        <f>P659 * G659</f>
        <v>0</v>
      </c>
      <c r="R659">
        <v>0</v>
      </c>
      <c r="S659" s="2">
        <f>R659 * G659</f>
        <v>0</v>
      </c>
      <c r="T659" s="2">
        <f>(H659 + J659) - (L659 + N659) - R659</f>
        <v>0</v>
      </c>
      <c r="U659" s="2">
        <f>T659 * G659</f>
        <v>0</v>
      </c>
      <c r="V659" s="2">
        <f>I659 + K659 - S659</f>
        <v>0</v>
      </c>
      <c r="W659" s="2">
        <f>M659 - V659</f>
        <v>0</v>
      </c>
      <c r="X659" s="2">
        <f>IFERROR(W659 / M659 * 100, 0)</f>
        <v>0</v>
      </c>
    </row>
    <row r="660" spans="1:24">
      <c r="A660" t="s">
        <v>4804</v>
      </c>
      <c r="B660" t="s">
        <v>512</v>
      </c>
      <c r="C660" t="s">
        <v>5471</v>
      </c>
      <c r="D660" t="s">
        <v>1007</v>
      </c>
      <c r="E660" t="s">
        <v>5482</v>
      </c>
      <c r="F660" t="s">
        <v>6140</v>
      </c>
      <c r="G660">
        <v>1.99</v>
      </c>
      <c r="H660">
        <v>135</v>
      </c>
      <c r="I660">
        <v>274.79</v>
      </c>
      <c r="J660">
        <v>106.33</v>
      </c>
      <c r="K660">
        <v>204.87</v>
      </c>
      <c r="L660">
        <v>0</v>
      </c>
      <c r="M660">
        <v>0</v>
      </c>
      <c r="N660">
        <v>0</v>
      </c>
      <c r="O660">
        <v>0</v>
      </c>
      <c r="P660" s="2">
        <f>(H660 + J660) - (L660 + N660)</f>
        <v>0</v>
      </c>
      <c r="Q660" s="2">
        <f>P660 * G660</f>
        <v>0</v>
      </c>
      <c r="R660">
        <v>55</v>
      </c>
      <c r="S660" s="2">
        <f>R660 * G660</f>
        <v>0</v>
      </c>
      <c r="T660" s="2">
        <f>(H660 + J660) - (L660 + N660) - R660</f>
        <v>0</v>
      </c>
      <c r="U660" s="2">
        <f>T660 * G660</f>
        <v>0</v>
      </c>
      <c r="V660" s="2">
        <f>I660 + K660 - S660</f>
        <v>0</v>
      </c>
      <c r="W660" s="2">
        <f>M660 - V660</f>
        <v>0</v>
      </c>
      <c r="X660" s="2">
        <f>IFERROR(W660 / M660 * 100, 0)</f>
        <v>0</v>
      </c>
    </row>
    <row r="661" spans="1:24">
      <c r="A661" t="s">
        <v>4805</v>
      </c>
      <c r="B661" t="s">
        <v>512</v>
      </c>
      <c r="C661" t="s">
        <v>5472</v>
      </c>
      <c r="D661" t="s">
        <v>1007</v>
      </c>
      <c r="E661" t="s">
        <v>5482</v>
      </c>
      <c r="F661" t="s">
        <v>6141</v>
      </c>
      <c r="G661">
        <v>18</v>
      </c>
      <c r="H661">
        <v>1</v>
      </c>
      <c r="I661">
        <v>18</v>
      </c>
      <c r="J661">
        <v>34.28</v>
      </c>
      <c r="K661">
        <v>617.11</v>
      </c>
      <c r="L661">
        <v>0</v>
      </c>
      <c r="M661">
        <v>0</v>
      </c>
      <c r="N661">
        <v>0</v>
      </c>
      <c r="O661">
        <v>0</v>
      </c>
      <c r="P661" s="2">
        <f>(H661 + J661) - (L661 + N661)</f>
        <v>0</v>
      </c>
      <c r="Q661" s="2">
        <f>P661 * G661</f>
        <v>0</v>
      </c>
      <c r="R661">
        <v>15</v>
      </c>
      <c r="S661" s="2">
        <f>R661 * G661</f>
        <v>0</v>
      </c>
      <c r="T661" s="2">
        <f>(H661 + J661) - (L661 + N661) - R661</f>
        <v>0</v>
      </c>
      <c r="U661" s="2">
        <f>T661 * G661</f>
        <v>0</v>
      </c>
      <c r="V661" s="2">
        <f>I661 + K661 - S661</f>
        <v>0</v>
      </c>
      <c r="W661" s="2">
        <f>M661 - V661</f>
        <v>0</v>
      </c>
      <c r="X661" s="2">
        <f>IFERROR(W661 / M661 * 100, 0)</f>
        <v>0</v>
      </c>
    </row>
    <row r="662" spans="1:24">
      <c r="A662" t="s">
        <v>4806</v>
      </c>
      <c r="B662" t="s">
        <v>512</v>
      </c>
      <c r="C662" t="s">
        <v>5473</v>
      </c>
      <c r="D662" t="s">
        <v>1007</v>
      </c>
      <c r="E662" t="s">
        <v>5482</v>
      </c>
      <c r="F662" t="s">
        <v>6142</v>
      </c>
      <c r="G662">
        <v>21.4</v>
      </c>
      <c r="H662">
        <v>0</v>
      </c>
      <c r="I662">
        <v>0</v>
      </c>
      <c r="J662">
        <v>-4.75</v>
      </c>
      <c r="K662">
        <v>-101.65</v>
      </c>
      <c r="L662">
        <v>0</v>
      </c>
      <c r="M662">
        <v>0</v>
      </c>
      <c r="N662">
        <v>0</v>
      </c>
      <c r="O662">
        <v>0</v>
      </c>
      <c r="P662" s="2">
        <f>(H662 + J662) - (L662 + N662)</f>
        <v>0</v>
      </c>
      <c r="Q662" s="2">
        <f>P662 * G662</f>
        <v>0</v>
      </c>
      <c r="R662">
        <v>0</v>
      </c>
      <c r="S662" s="2">
        <f>R662 * G662</f>
        <v>0</v>
      </c>
      <c r="T662" s="2">
        <f>(H662 + J662) - (L662 + N662) - R662</f>
        <v>0</v>
      </c>
      <c r="U662" s="2">
        <f>T662 * G662</f>
        <v>0</v>
      </c>
      <c r="V662" s="2">
        <f>I662 + K662 - S662</f>
        <v>0</v>
      </c>
      <c r="W662" s="2">
        <f>M662 - V662</f>
        <v>0</v>
      </c>
      <c r="X662" s="2">
        <f>IFERROR(W662 / M662 * 100, 0)</f>
        <v>0</v>
      </c>
    </row>
    <row r="663" spans="1:24">
      <c r="A663" t="s">
        <v>4807</v>
      </c>
      <c r="B663" t="s">
        <v>512</v>
      </c>
      <c r="C663" t="s">
        <v>5474</v>
      </c>
      <c r="D663" t="s">
        <v>1007</v>
      </c>
      <c r="E663" t="s">
        <v>5482</v>
      </c>
      <c r="F663" t="s">
        <v>6143</v>
      </c>
      <c r="G663">
        <v>16</v>
      </c>
      <c r="H663">
        <v>3</v>
      </c>
      <c r="I663">
        <v>48</v>
      </c>
      <c r="J663">
        <v>-9.74</v>
      </c>
      <c r="K663">
        <v>-155.77</v>
      </c>
      <c r="L663">
        <v>0</v>
      </c>
      <c r="M663">
        <v>0</v>
      </c>
      <c r="N663">
        <v>0</v>
      </c>
      <c r="O663">
        <v>0</v>
      </c>
      <c r="P663" s="2">
        <f>(H663 + J663) - (L663 + N663)</f>
        <v>0</v>
      </c>
      <c r="Q663" s="2">
        <f>P663 * G663</f>
        <v>0</v>
      </c>
      <c r="R663">
        <v>1</v>
      </c>
      <c r="S663" s="2">
        <f>R663 * G663</f>
        <v>0</v>
      </c>
      <c r="T663" s="2">
        <f>(H663 + J663) - (L663 + N663) - R663</f>
        <v>0</v>
      </c>
      <c r="U663" s="2">
        <f>T663 * G663</f>
        <v>0</v>
      </c>
      <c r="V663" s="2">
        <f>I663 + K663 - S663</f>
        <v>0</v>
      </c>
      <c r="W663" s="2">
        <f>M663 - V663</f>
        <v>0</v>
      </c>
      <c r="X663" s="2">
        <f>IFERROR(W663 / M663 * 100, 0)</f>
        <v>0</v>
      </c>
    </row>
    <row r="664" spans="1:24">
      <c r="A664" t="s">
        <v>4808</v>
      </c>
      <c r="B664" t="s">
        <v>512</v>
      </c>
      <c r="C664" t="s">
        <v>5475</v>
      </c>
      <c r="D664" t="s">
        <v>1007</v>
      </c>
      <c r="E664" t="s">
        <v>5482</v>
      </c>
      <c r="F664" t="s">
        <v>6144</v>
      </c>
      <c r="G664">
        <v>10.18</v>
      </c>
      <c r="H664">
        <v>0.5</v>
      </c>
      <c r="I664">
        <v>5.14</v>
      </c>
      <c r="J664">
        <v>3.19</v>
      </c>
      <c r="K664">
        <v>32.43</v>
      </c>
      <c r="L664">
        <v>0</v>
      </c>
      <c r="M664">
        <v>0</v>
      </c>
      <c r="N664">
        <v>0</v>
      </c>
      <c r="O664">
        <v>0</v>
      </c>
      <c r="P664" s="2">
        <f>(H664 + J664) - (L664 + N664)</f>
        <v>0</v>
      </c>
      <c r="Q664" s="2">
        <f>P664 * G664</f>
        <v>0</v>
      </c>
      <c r="R664">
        <v>0</v>
      </c>
      <c r="S664" s="2">
        <f>R664 * G664</f>
        <v>0</v>
      </c>
      <c r="T664" s="2">
        <f>(H664 + J664) - (L664 + N664) - R664</f>
        <v>0</v>
      </c>
      <c r="U664" s="2">
        <f>T664 * G664</f>
        <v>0</v>
      </c>
      <c r="V664" s="2">
        <f>I664 + K664 - S664</f>
        <v>0</v>
      </c>
      <c r="W664" s="2">
        <f>M664 - V664</f>
        <v>0</v>
      </c>
      <c r="X664" s="2">
        <f>IFERROR(W664 / M664 * 100, 0)</f>
        <v>0</v>
      </c>
    </row>
    <row r="665" spans="1:24">
      <c r="A665" t="s">
        <v>4809</v>
      </c>
      <c r="B665" t="s">
        <v>512</v>
      </c>
      <c r="C665" t="s">
        <v>5476</v>
      </c>
      <c r="D665" t="s">
        <v>1007</v>
      </c>
      <c r="E665" t="s">
        <v>5482</v>
      </c>
      <c r="F665" t="s">
        <v>6145</v>
      </c>
      <c r="G665">
        <v>7.33</v>
      </c>
      <c r="H665">
        <v>80</v>
      </c>
      <c r="I665">
        <v>643.3200000000001</v>
      </c>
      <c r="J665">
        <v>691.41</v>
      </c>
      <c r="K665">
        <v>4980.86</v>
      </c>
      <c r="L665">
        <v>0</v>
      </c>
      <c r="M665">
        <v>0</v>
      </c>
      <c r="N665">
        <v>0</v>
      </c>
      <c r="O665">
        <v>0</v>
      </c>
      <c r="P665" s="2">
        <f>(H665 + J665) - (L665 + N665)</f>
        <v>0</v>
      </c>
      <c r="Q665" s="2">
        <f>P665 * G665</f>
        <v>0</v>
      </c>
      <c r="R665">
        <v>47</v>
      </c>
      <c r="S665" s="2">
        <f>R665 * G665</f>
        <v>0</v>
      </c>
      <c r="T665" s="2">
        <f>(H665 + J665) - (L665 + N665) - R665</f>
        <v>0</v>
      </c>
      <c r="U665" s="2">
        <f>T665 * G665</f>
        <v>0</v>
      </c>
      <c r="V665" s="2">
        <f>I665 + K665 - S665</f>
        <v>0</v>
      </c>
      <c r="W665" s="2">
        <f>M665 - V665</f>
        <v>0</v>
      </c>
      <c r="X665" s="2">
        <f>IFERROR(W665 / M665 * 100, 0)</f>
        <v>0</v>
      </c>
    </row>
    <row r="666" spans="1:24">
      <c r="A666" t="s">
        <v>4810</v>
      </c>
      <c r="B666" t="s">
        <v>512</v>
      </c>
      <c r="C666" t="s">
        <v>5477</v>
      </c>
      <c r="D666" t="s">
        <v>1007</v>
      </c>
      <c r="E666" t="s">
        <v>5482</v>
      </c>
      <c r="F666" t="s">
        <v>6146</v>
      </c>
      <c r="G666">
        <v>96.87</v>
      </c>
      <c r="H666">
        <v>4</v>
      </c>
      <c r="I666">
        <v>387.47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 s="2">
        <f>(H666 + J666) - (L666 + N666)</f>
        <v>0</v>
      </c>
      <c r="Q666" s="2">
        <f>P666 * G666</f>
        <v>0</v>
      </c>
      <c r="R666">
        <v>4</v>
      </c>
      <c r="S666" s="2">
        <f>R666 * G666</f>
        <v>0</v>
      </c>
      <c r="T666" s="2">
        <f>(H666 + J666) - (L666 + N666) - R666</f>
        <v>0</v>
      </c>
      <c r="U666" s="2">
        <f>T666 * G666</f>
        <v>0</v>
      </c>
      <c r="V666" s="2">
        <f>I666 + K666 - S666</f>
        <v>0</v>
      </c>
      <c r="W666" s="2">
        <f>M666 - V666</f>
        <v>0</v>
      </c>
      <c r="X666" s="2">
        <f>IFERROR(W666 / M666 * 100, 0)</f>
        <v>0</v>
      </c>
    </row>
    <row r="667" spans="1:24">
      <c r="A667" t="s">
        <v>4811</v>
      </c>
      <c r="B667" t="s">
        <v>512</v>
      </c>
      <c r="C667" t="s">
        <v>5478</v>
      </c>
      <c r="D667" t="s">
        <v>1007</v>
      </c>
      <c r="E667" t="s">
        <v>5482</v>
      </c>
      <c r="F667" t="s">
        <v>6147</v>
      </c>
      <c r="G667">
        <v>13.2</v>
      </c>
      <c r="H667">
        <v>0</v>
      </c>
      <c r="I667">
        <v>0</v>
      </c>
      <c r="J667">
        <v>26.52</v>
      </c>
      <c r="K667">
        <v>248.07</v>
      </c>
      <c r="L667">
        <v>0</v>
      </c>
      <c r="M667">
        <v>0</v>
      </c>
      <c r="N667">
        <v>0</v>
      </c>
      <c r="O667">
        <v>0</v>
      </c>
      <c r="P667" s="2">
        <f>(H667 + J667) - (L667 + N667)</f>
        <v>0</v>
      </c>
      <c r="Q667" s="2">
        <f>P667 * G667</f>
        <v>0</v>
      </c>
      <c r="R667">
        <v>0</v>
      </c>
      <c r="S667" s="2">
        <f>R667 * G667</f>
        <v>0</v>
      </c>
      <c r="T667" s="2">
        <f>(H667 + J667) - (L667 + N667) - R667</f>
        <v>0</v>
      </c>
      <c r="U667" s="2">
        <f>T667 * G667</f>
        <v>0</v>
      </c>
      <c r="V667" s="2">
        <f>I667 + K667 - S667</f>
        <v>0</v>
      </c>
      <c r="W667" s="2">
        <f>M667 - V667</f>
        <v>0</v>
      </c>
      <c r="X667" s="2">
        <f>IFERROR(W667 / M667 * 100, 0)</f>
        <v>0</v>
      </c>
    </row>
    <row r="668" spans="1:24">
      <c r="A668" t="s">
        <v>4812</v>
      </c>
      <c r="B668" t="s">
        <v>512</v>
      </c>
      <c r="C668" t="s">
        <v>5479</v>
      </c>
      <c r="D668" t="s">
        <v>1007</v>
      </c>
      <c r="E668" t="s">
        <v>5482</v>
      </c>
      <c r="F668" t="s">
        <v>6148</v>
      </c>
      <c r="G668">
        <v>12.29</v>
      </c>
      <c r="H668">
        <v>0</v>
      </c>
      <c r="I668">
        <v>0</v>
      </c>
      <c r="J668">
        <v>2</v>
      </c>
      <c r="K668">
        <v>24.74</v>
      </c>
      <c r="L668">
        <v>0</v>
      </c>
      <c r="M668">
        <v>0</v>
      </c>
      <c r="N668">
        <v>0</v>
      </c>
      <c r="O668">
        <v>0</v>
      </c>
      <c r="P668" s="2">
        <f>(H668 + J668) - (L668 + N668)</f>
        <v>0</v>
      </c>
      <c r="Q668" s="2">
        <f>P668 * G668</f>
        <v>0</v>
      </c>
      <c r="R668">
        <v>0</v>
      </c>
      <c r="S668" s="2">
        <f>R668 * G668</f>
        <v>0</v>
      </c>
      <c r="T668" s="2">
        <f>(H668 + J668) - (L668 + N668) - R668</f>
        <v>0</v>
      </c>
      <c r="U668" s="2">
        <f>T668 * G668</f>
        <v>0</v>
      </c>
      <c r="V668" s="2">
        <f>I668 + K668 - S668</f>
        <v>0</v>
      </c>
      <c r="W668" s="2">
        <f>M668 - V668</f>
        <v>0</v>
      </c>
      <c r="X668" s="2">
        <f>IFERROR(W668 / M668 * 100, 0)</f>
        <v>0</v>
      </c>
    </row>
    <row r="669" spans="1:24">
      <c r="A669" t="s">
        <v>4813</v>
      </c>
      <c r="B669" t="s">
        <v>512</v>
      </c>
      <c r="C669" t="s">
        <v>5480</v>
      </c>
      <c r="D669" t="s">
        <v>1007</v>
      </c>
      <c r="E669" t="s">
        <v>5482</v>
      </c>
      <c r="F669" t="s">
        <v>6149</v>
      </c>
      <c r="G669">
        <v>6.48</v>
      </c>
      <c r="H669">
        <v>0</v>
      </c>
      <c r="I669">
        <v>0</v>
      </c>
      <c r="J669">
        <v>1.07</v>
      </c>
      <c r="K669">
        <v>6.83</v>
      </c>
      <c r="L669">
        <v>0</v>
      </c>
      <c r="M669">
        <v>0</v>
      </c>
      <c r="N669">
        <v>0</v>
      </c>
      <c r="O669">
        <v>0</v>
      </c>
      <c r="P669" s="2">
        <f>(H669 + J669) - (L669 + N669)</f>
        <v>0</v>
      </c>
      <c r="Q669" s="2">
        <f>P669 * G669</f>
        <v>0</v>
      </c>
      <c r="R669">
        <v>0</v>
      </c>
      <c r="S669" s="2">
        <f>R669 * G669</f>
        <v>0</v>
      </c>
      <c r="T669" s="2">
        <f>(H669 + J669) - (L669 + N669) - R669</f>
        <v>0</v>
      </c>
      <c r="U669" s="2">
        <f>T669 * G669</f>
        <v>0</v>
      </c>
      <c r="V669" s="2">
        <f>I669 + K669 - S669</f>
        <v>0</v>
      </c>
      <c r="W669" s="2">
        <f>M669 - V669</f>
        <v>0</v>
      </c>
      <c r="X669" s="2">
        <f>IFERROR(W669 / M669 * 100, 0)</f>
        <v>0</v>
      </c>
    </row>
    <row r="670" spans="1:24">
      <c r="A670" t="s">
        <v>4814</v>
      </c>
      <c r="B670" t="s">
        <v>512</v>
      </c>
      <c r="C670" t="s">
        <v>5481</v>
      </c>
      <c r="D670" t="s">
        <v>1007</v>
      </c>
      <c r="E670" t="s">
        <v>5482</v>
      </c>
      <c r="F670" t="s">
        <v>6150</v>
      </c>
      <c r="G670">
        <v>12</v>
      </c>
      <c r="H670">
        <v>0</v>
      </c>
      <c r="I670">
        <v>0</v>
      </c>
      <c r="J670">
        <v>-92.58</v>
      </c>
      <c r="K670">
        <v>-1110.98</v>
      </c>
      <c r="L670">
        <v>0</v>
      </c>
      <c r="M670">
        <v>0</v>
      </c>
      <c r="N670">
        <v>0</v>
      </c>
      <c r="O670">
        <v>0</v>
      </c>
      <c r="P670" s="2">
        <f>(H670 + J670) - (L670 + N670)</f>
        <v>0</v>
      </c>
      <c r="Q670" s="2">
        <f>P670 * G670</f>
        <v>0</v>
      </c>
      <c r="R670">
        <v>0</v>
      </c>
      <c r="S670" s="2">
        <f>R670 * G670</f>
        <v>0</v>
      </c>
      <c r="T670" s="2">
        <f>(H670 + J670) - (L670 + N670) - R670</f>
        <v>0</v>
      </c>
      <c r="U670" s="2">
        <f>T670 * G670</f>
        <v>0</v>
      </c>
      <c r="V670" s="2">
        <f>I670 + K670 - S670</f>
        <v>0</v>
      </c>
      <c r="W670" s="2">
        <f>M670 - V670</f>
        <v>0</v>
      </c>
      <c r="X670" s="2">
        <f>IFERROR(W670 / M670 * 100, 0)</f>
        <v>0</v>
      </c>
    </row>
    <row r="675" spans="8:24">
      <c r="H675" s="2">
        <f>SUM(H2:H670)</f>
        <v>0</v>
      </c>
      <c r="I675" s="2">
        <f>SUM(I2:I670)</f>
        <v>0</v>
      </c>
      <c r="J675" s="2">
        <f>SUM(J2:J670)</f>
        <v>0</v>
      </c>
      <c r="K675" s="2">
        <f>SUM(K2:K670)</f>
        <v>0</v>
      </c>
      <c r="L675" s="2">
        <f>SUM(L2:L670)</f>
        <v>0</v>
      </c>
      <c r="M675" s="2">
        <f>SUM(M2:M670)</f>
        <v>0</v>
      </c>
      <c r="N675" s="2">
        <f>SUM(N2:N670)</f>
        <v>0</v>
      </c>
      <c r="O675" s="2">
        <f>SUM(O2:O670)</f>
        <v>0</v>
      </c>
      <c r="P675" s="2">
        <f>SUM(P2:P670)</f>
        <v>0</v>
      </c>
      <c r="Q675" s="2">
        <f>SUM(Q2:Q670)</f>
        <v>0</v>
      </c>
      <c r="R675" s="2">
        <f>SUM(R2:R670)</f>
        <v>0</v>
      </c>
      <c r="S675" s="2">
        <f>SUM(S2:S670)</f>
        <v>0</v>
      </c>
      <c r="T675" s="2">
        <f>SUM(T2:T670)</f>
        <v>0</v>
      </c>
      <c r="U675" s="2">
        <f>SUM(U2:U670)</f>
        <v>0</v>
      </c>
      <c r="V675" s="2">
        <f>SUM(V2:V670)</f>
        <v>0</v>
      </c>
      <c r="W675" s="2">
        <f>SUM(W2:W670)</f>
        <v>0</v>
      </c>
      <c r="X675" s="2">
        <f>IFERROR((W675 / M675) * 100, 0)</f>
        <v>0</v>
      </c>
    </row>
  </sheetData>
  <conditionalFormatting sqref="A2:X670">
    <cfRule type="notContainsBlanks" dxfId="0" priority="1">
      <formula>LEN(TRIM(A2))&gt;0</formula>
    </cfRule>
  </conditionalFormatting>
  <conditionalFormatting sqref="X2:X670">
    <cfRule type="expression" dxfId="1" priority="2">
      <formula>AND($X2&lt;=0, $X2&lt;&gt;"")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FRUITS  AND  VEGETABLES(W)</vt:lpstr>
      <vt:lpstr>FISHERY (W)</vt:lpstr>
      <vt:lpstr>BUTCHERY (W)</vt:lpstr>
      <vt:lpstr> DELICATTESEN (W)</vt:lpstr>
      <vt:lpstr>HOT FOOD</vt:lpstr>
      <vt:lpstr>BAKERY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2026-03-07T07:15:26Z</dcterms:created>
  <dcterms:modified xsi:type="dcterms:W3CDTF">2026-03-07T07:15:26Z</dcterms:modified>
</cp:coreProperties>
</file>